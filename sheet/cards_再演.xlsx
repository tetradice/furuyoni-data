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dd9907ab464f20" /></Relationships>
</file>

<file path=xl/workbook.xml><?xml version="1.0" encoding="utf-8"?>
<x:workbook xmlns:x="http://schemas.openxmlformats.org/spreadsheetml/2006/main">
  <x:sheets>
    <x:sheet xmlns:r="http://schemas.openxmlformats.org/officeDocument/2006/relationships" name="再演" sheetId="15" r:id="Rb8c2f76be3b248fc"/>
    <x:sheet xmlns:r="http://schemas.openxmlformats.org/officeDocument/2006/relationships" name="メガミ" sheetId="16" r:id="Rbdbb4cbf0afd4784"/>
  </x:sheets>
</x:workbook>
</file>

<file path=xl/sharedStrings.xml><?xml version="1.0" encoding="utf-8"?>
<x:sst xmlns:x="http://schemas.openxmlformats.org/spreadsheetml/2006/main">
  <x:si>
    <x:t xml:space="preserve">カードID</x:t>
  </x:si>
  <x:si>
    <x:t xml:space="preserve">メガミ</x:t>
  </x:si>
  <x:si>
    <x:t xml:space="preserve">アナザーID</x:t>
  </x:si>
  <x:si>
    <x:t xml:space="preserve">置換元カード</x:t>
  </x:si>
  <x:si>
    <x:t xml:space="preserve">名前</x:t>
  </x:si>
  <x:si>
    <x:t xml:space="preserve">ふりがな</x:t>
  </x:si>
  <x:si>
    <x:t xml:space="preserve">名前（中国語）</x:t>
  </x:si>
  <x:si>
    <x:t xml:space="preserve">名前（中国語G1）</x:t>
  </x:si>
  <x:si>
    <x:t xml:space="preserve">ふりがな（中国語）</x:t>
  </x:si>
  <x:si>
    <x:t xml:space="preserve">名前（韓国語）</x:t>
  </x:si>
  <x:si>
    <x:t xml:space="preserve">名前（英語）</x:t>
  </x:si>
  <x:si>
    <x:t xml:space="preserve">ふりがな（英語）</x:t>
  </x:si>
  <x:si>
    <x:t xml:space="preserve">種別</x:t>
  </x:si>
  <x:si>
    <x:t xml:space="preserve">追加札</x:t>
  </x:si>
  <x:si>
    <x:t xml:space="preserve">追加元カード</x:t>
  </x:si>
  <x:si>
    <x:t xml:space="preserve">交換先</x:t>
  </x:si>
  <x:si>
    <x:t xml:space="preserve">毒</x:t>
  </x:si>
  <x:si>
    <x:t xml:space="preserve">タイプ</x:t>
  </x:si>
  <x:si>
    <x:t xml:space="preserve">サブタイプ</x:t>
  </x:si>
  <x:si>
    <x:t xml:space="preserve">適正距離</x:t>
  </x:si>
  <x:si>
    <x:t xml:space="preserve">（開）</x:t>
  </x:si>
  <x:si>
    <x:t xml:space="preserve">ダメージ</x:t>
  </x:si>
  <x:si>
    <x:t xml:space="preserve">納</x:t>
  </x:si>
  <x:si>
    <x:t xml:space="preserve">生育</x:t>
  </x:si>
  <x:si>
    <x:t xml:space="preserve">消費</x:t>
  </x:si>
  <x:si>
    <x:t xml:space="preserve">偽証</x:t>
  </x:si>
  <x:si>
    <x:t xml:space="preserve">封印</x:t>
  </x:si>
  <x:si>
    <x:t xml:space="preserve">取り除く</x:t>
  </x:si>
  <x:si>
    <x:t xml:space="preserve">投資券</x:t>
  </x:si>
  <x:si>
    <x:t xml:space="preserve">テキスト</x:t>
  </x:si>
  <x:si>
    <x:t xml:space="preserve">テキスト補足</x:t>
  </x:si>
  <x:si>
    <x:t xml:space="preserve">テキスト（中国語）</x:t>
  </x:si>
  <x:si>
    <x:t xml:space="preserve">テキスト補足（中国語）</x:t>
  </x:si>
  <x:si>
    <x:t xml:space="preserve">テキスト（中国語G1）</x:t>
  </x:si>
  <x:si>
    <x:t xml:space="preserve">テキスト補足（中国語G1）</x:t>
  </x:si>
  <x:si>
    <x:t xml:space="preserve">テキスト（韓国語）</x:t>
  </x:si>
  <x:si>
    <x:t xml:space="preserve">テキスト補足（韓国語）</x:t>
  </x:si>
  <x:si>
    <x:t xml:space="preserve">テキスト（英語）</x:t>
  </x:si>
  <x:si>
    <x:t xml:space="preserve">テキスト補足（英語）</x:t>
  </x:si>
  <x:si>
    <x:t xml:space="preserve">（開）（中国語）</x:t>
  </x:si>
  <x:si>
    <x:t xml:space="preserve">（開）（中国語G1）</x:t>
  </x:si>
  <x:si>
    <x:t xml:space="preserve">（開）（韓国語）</x:t>
  </x:si>
  <x:si>
    <x:t xml:space="preserve">（開）（英語）</x:t>
  </x:si>
  <x:si>
    <x:t xml:space="preserve">メガミID</x:t>
  </x:si>
  <x:si>
    <x:t xml:space="preserve">象徴武器</x:t>
  </x:si>
  <x:si>
    <x:t xml:space="preserve">象徴武器（中国語）</x:t>
  </x:si>
  <x:si>
    <x:t xml:space="preserve">象徴武器（中国語G1）</x:t>
  </x:si>
  <x:si>
    <x:t xml:space="preserve">象徴武器（韓国語）</x:t>
  </x:si>
  <x:si>
    <x:t xml:space="preserve">象徴武器（英語）</x:t>
  </x:si>
  <x:si>
    <x:t xml:space="preserve">NO</x:t>
  </x:si>
  <x:si>
    <x:t xml:space="preserve">ベース</x:t>
  </x:si>
  <x:si>
    <x:t xml:space="preserve">アナザーコード</x:t>
  </x:si>
  <x:si>
    <x:t xml:space="preserve">シーズン3から</x:t>
  </x:si>
  <x:si>
    <x:t xml:space="preserve">シーズン4から</x:t>
  </x:si>
  <x:si>
    <x:t xml:space="preserve">シーズン5から</x:t>
  </x:si>
  <x:si>
    <x:t xml:space="preserve">シーズン6から</x:t>
  </x:si>
  <x:si>
    <x:t xml:space="preserve">シーズン7から</x:t>
  </x:si>
  <x:si>
    <x:t xml:space="preserve">シーズン7-2から</x:t>
  </x:si>
  <x:si>
    <x:t xml:space="preserve">シーズン8から</x:t>
  </x:si>
  <x:si>
    <x:t xml:space="preserve">yurina</x:t>
  </x:si>
  <x:si>
    <x:t xml:space="preserve">ユリナ</x:t>
  </x:si>
  <x:si>
    <x:t xml:space="preserve">摇波</x:t>
  </x:si>
  <x:si>
    <x:t xml:space="preserve">유리나</x:t>
  </x:si>
  <x:si>
    <x:t xml:space="preserve">Yurina</x:t>
  </x:si>
  <x:si>
    <x:t xml:space="preserve">刀</x:t>
  </x:si>
  <x:si>
    <x:t xml:space="preserve">도</x:t>
  </x:si>
  <x:si>
    <x:t xml:space="preserve">Katana</x:t>
  </x:si>
  <x:si>
    <x:t xml:space="preserve">01</x:t>
  </x:si>
  <x:si>
    <x:t xml:space="preserve">yurina-a1</x:t>
  </x:si>
  <x:si>
    <x:t xml:space="preserve">第一章ユリナ</x:t>
  </x:si>
  <x:si>
    <x:t xml:space="preserve">第一章摇波</x:t>
  </x:si>
  <x:si>
    <x:t xml:space="preserve">제1장 유리나</x:t>
  </x:si>
  <x:si>
    <x:t xml:space="preserve">First Chapter Yurina</x:t>
  </x:si>
  <x:si>
    <x:t xml:space="preserve">古刀</x:t>
  </x:si>
  <x:si>
    <x:t xml:space="preserve">고도</x:t>
  </x:si>
  <x:si>
    <x:t xml:space="preserve">Kotō</x:t>
  </x:si>
  <x:si>
    <x:t xml:space="preserve">A1</x:t>
  </x:si>
  <x:si>
    <x:t xml:space="preserve">yurina-a2</x:t>
  </x:si>
  <x:si>
    <x:t xml:space="preserve">調停者ユリナ</x:t>
  </x:si>
  <x:si>
    <x:t xml:space="preserve">调停者摇波</x:t>
  </x:si>
  <x:si>
    <x:r>
      <x:rPr>
        <x:sz val="1000"/>
        <x:color rgb="FF000000"/>
        <x:rFont val="Malgun Gothic Semilight"/>
        <x:family val="3"/>
      </x:rPr>
      <x:t xml:space="preserve">조정자</x:t>
    </x:r>
    <x:r>
      <x:rPr>
        <x:sz val="1000"/>
        <x:color rgb="FF000000"/>
        <x:rFont val="돋움"/>
        <x:family val="3"/>
      </x:rPr>
      <x:t xml:space="preserve"> </x:t>
    </x:r>
    <x:r>
      <x:rPr>
        <x:sz val="1000"/>
        <x:color rgb="FF000000"/>
        <x:rFont val="Malgun Gothic Semilight"/>
        <x:family val="3"/>
      </x:rPr>
      <x:t xml:space="preserve">유리나</x:t>
    </x:r>
  </x:si>
  <x:si>
    <x:t xml:space="preserve">Arbitrator Yurina</x:t>
  </x:si>
  <x:si>
    <x:t xml:space="preserve">心</x:t>
  </x:si>
  <x:si>
    <x:t xml:space="preserve">마음</x:t>
  </x:si>
  <x:si>
    <x:t xml:space="preserve">Heart</x:t>
  </x:si>
  <x:si>
    <x:t xml:space="preserve">A2</x:t>
  </x:si>
  <x:si>
    <x:t xml:space="preserve">○</x:t>
  </x:si>
  <x:si>
    <x:t xml:space="preserve">saine</x:t>
  </x:si>
  <x:si>
    <x:t xml:space="preserve">サイネ</x:t>
  </x:si>
  <x:si>
    <x:t xml:space="preserve">细音</x:t>
  </x:si>
  <x:si>
    <x:t xml:space="preserve">사이네</x:t>
  </x:si>
  <x:si>
    <x:t xml:space="preserve">Saine</x:t>
  </x:si>
  <x:si>
    <x:t xml:space="preserve">薙刀</x:t>
  </x:si>
  <x:si>
    <x:t xml:space="preserve">장도</x:t>
  </x:si>
  <x:si>
    <x:t xml:space="preserve">Naginata</x:t>
  </x:si>
  <x:si>
    <x:t xml:space="preserve">02</x:t>
  </x:si>
  <x:si>
    <x:t xml:space="preserve">saine-a1</x:t>
  </x:si>
  <x:si>
    <x:t xml:space="preserve">第二章サイネ</x:t>
  </x:si>
  <x:si>
    <x:t xml:space="preserve">第二章细音</x:t>
  </x:si>
  <x:si>
    <x:t xml:space="preserve">제2장 사이네</x:t>
  </x:si>
  <x:si>
    <x:t xml:space="preserve">Second Chapter Saine</x:t>
  </x:si>
  <x:si>
    <x:t xml:space="preserve">琵琶</x:t>
  </x:si>
  <x:si>
    <x:t xml:space="preserve">비파</x:t>
  </x:si>
  <x:si>
    <x:t xml:space="preserve">Biwa</x:t>
  </x:si>
  <x:si>
    <x:t xml:space="preserve">saine-a2</x:t>
  </x:si>
  <x:si>
    <x:t xml:space="preserve">徒神サイネ</x:t>
  </x:si>
  <x:si>
    <x:t xml:space="preserve">徒神细音</x:t>
  </x:si>
  <x:si>
    <x:t xml:space="preserve">허무신 사이네</x:t>
  </x:si>
  <x:si>
    <x:t xml:space="preserve">Adagami Saine</x:t>
  </x:si>
  <x:si>
    <x:t xml:space="preserve">拒絶</x:t>
  </x:si>
  <x:si>
    <x:t xml:space="preserve">拒绝</x:t>
  </x:si>
  <x:si>
    <x:t xml:space="preserve">거절</x:t>
  </x:si>
  <x:si>
    <x:t xml:space="preserve">Refuse</x:t>
  </x:si>
  <x:si>
    <x:t xml:space="preserve">himika</x:t>
  </x:si>
  <x:si>
    <x:t xml:space="preserve">ヒミカ</x:t>
  </x:si>
  <x:si>
    <x:t xml:space="preserve">绯弥香</x:t>
  </x:si>
  <x:si>
    <x:t xml:space="preserve">히미카</x:t>
  </x:si>
  <x:si>
    <x:t xml:space="preserve">Himika</x:t>
  </x:si>
  <x:si>
    <x:t xml:space="preserve">銃</x:t>
  </x:si>
  <x:si>
    <x:t xml:space="preserve">铳</x:t>
  </x:si>
  <x:si>
    <x:t xml:space="preserve">火枪</x:t>
  </x:si>
  <x:si>
    <x:t xml:space="preserve">총</x:t>
  </x:si>
  <x:si>
    <x:t xml:space="preserve">Arquebus</x:t>
  </x:si>
  <x:si>
    <x:t xml:space="preserve">03</x:t>
  </x:si>
  <x:si>
    <x:t xml:space="preserve">himika-a1</x:t>
  </x:si>
  <x:si>
    <x:t xml:space="preserve">原初ヒミカ</x:t>
  </x:si>
  <x:si>
    <x:t xml:space="preserve">原初绯弥香</x:t>
  </x:si>
  <x:si>
    <x:t xml:space="preserve">원초 히미카</x:t>
  </x:si>
  <x:si>
    <x:t xml:space="preserve">Originally Himika</x:t>
  </x:si>
  <x:si>
    <x:t xml:space="preserve">炎</x:t>
  </x:si>
  <x:si>
    <x:t xml:space="preserve">불꽃</x:t>
  </x:si>
  <x:si>
    <x:t xml:space="preserve">Flame</x:t>
  </x:si>
  <x:si>
    <x:t xml:space="preserve">tokoyo</x:t>
  </x:si>
  <x:si>
    <x:t xml:space="preserve">トコヨ</x:t>
  </x:si>
  <x:si>
    <x:t xml:space="preserve">常世</x:t>
  </x:si>
  <x:si>
    <x:t xml:space="preserve">토코요</x:t>
  </x:si>
  <x:si>
    <x:t xml:space="preserve">Tokoyo</x:t>
  </x:si>
  <x:si>
    <x:t xml:space="preserve">扇</x:t>
  </x:si>
  <x:si>
    <x:t xml:space="preserve">부채</x:t>
  </x:si>
  <x:si>
    <x:t xml:space="preserve">Fan</x:t>
  </x:si>
  <x:si>
    <x:t xml:space="preserve">04</x:t>
  </x:si>
  <x:si>
    <x:t xml:space="preserve">tokoyo-a1</x:t>
  </x:si>
  <x:si>
    <x:t xml:space="preserve">旅芸人トコヨ</x:t>
  </x:si>
  <x:si>
    <x:t xml:space="preserve">旅艺人常世</x:t>
  </x:si>
  <x:si>
    <x:t xml:space="preserve">음유시인 토코요</x:t>
  </x:si>
  <x:si>
    <x:t xml:space="preserve">Bard Tokoyo</x:t>
  </x:si>
  <x:si>
    <x:t xml:space="preserve">笛</x:t>
  </x:si>
  <x:si>
    <x:t xml:space="preserve">피리</x:t>
  </x:si>
  <x:si>
    <x:t xml:space="preserve">Flute</x:t>
  </x:si>
  <x:si>
    <x:t xml:space="preserve">tokoyo-a2</x:t>
  </x:si>
  <x:si>
    <x:t xml:space="preserve">徒神トコヨ</x:t>
  </x:si>
  <x:si>
    <x:t xml:space="preserve">徒神常世</x:t>
  </x:si>
  <x:si>
    <x:t xml:space="preserve">허무신 토코요</x:t>
  </x:si>
  <x:si>
    <x:t xml:space="preserve">Adagami Tokoyo</x:t>
  </x:si>
  <x:si>
    <x:t xml:space="preserve">恐怖</x:t>
  </x:si>
  <x:si>
    <x:t xml:space="preserve">恐惧</x:t>
  </x:si>
  <x:si>
    <x:t xml:space="preserve">공포</x:t>
  </x:si>
  <x:si>
    <x:t xml:space="preserve">Fear</x:t>
  </x:si>
  <x:si>
    <x:t xml:space="preserve">oboro</x:t>
  </x:si>
  <x:si>
    <x:t xml:space="preserve">オボロ</x:t>
  </x:si>
  <x:si>
    <x:t xml:space="preserve">胧</x:t>
  </x:si>
  <x:si>
    <x:t xml:space="preserve">오보로</x:t>
  </x:si>
  <x:si>
    <x:t xml:space="preserve">Oboro</x:t>
  </x:si>
  <x:si>
    <x:t xml:space="preserve">忍</x:t>
  </x:si>
  <x:si>
    <x:t xml:space="preserve">인술</x:t>
  </x:si>
  <x:si>
    <x:t xml:space="preserve">Ninjutsu</x:t>
  </x:si>
  <x:si>
    <x:t xml:space="preserve">05</x:t>
  </x:si>
  <x:si>
    <x:t xml:space="preserve">oboro-a1</x:t>
  </x:si>
  <x:si>
    <x:t xml:space="preserve">第三章オボロ</x:t>
  </x:si>
  <x:si>
    <x:t xml:space="preserve">第三章胧</x:t>
  </x:si>
  <x:si>
    <x:t xml:space="preserve">제3장 오보로</x:t>
  </x:si>
  <x:si>
    <x:t xml:space="preserve">Third Chapter Oboro</x:t>
  </x:si>
  <x:si>
    <x:t xml:space="preserve">戦略</x:t>
  </x:si>
  <x:si>
    <x:t xml:space="preserve">战略</x:t>
  </x:si>
  <x:si>
    <x:t xml:space="preserve">전략</x:t>
  </x:si>
  <x:si>
    <x:t xml:space="preserve">Strategy</x:t>
  </x:si>
  <x:si>
    <x:t xml:space="preserve">yukihi</x:t>
  </x:si>
  <x:si>
    <x:t xml:space="preserve">ユキヒ</x:t>
  </x:si>
  <x:si>
    <x:t xml:space="preserve">雪灯</x:t>
  </x:si>
  <x:si>
    <x:t xml:space="preserve">유키히</x:t>
  </x:si>
  <x:si>
    <x:t xml:space="preserve">Yukihi</x:t>
  </x:si>
  <x:si>
    <x:t xml:space="preserve">傘/簪</x:t>
  </x:si>
  <x:si>
    <x:t xml:space="preserve">伞/簪</x:t>
  </x:si>
  <x:si>
    <x:t xml:space="preserve">우산/비녀</x:t>
  </x:si>
  <x:si>
    <x:t xml:space="preserve">Umbrella/Hairpin</x:t>
  </x:si>
  <x:si>
    <x:t xml:space="preserve">06</x:t>
  </x:si>
  <x:si>
    <x:t xml:space="preserve">yukihi-a1</x:t>
  </x:si>
  <x:si>
    <x:t xml:space="preserve">社交界ユキヒ</x:t>
  </x:si>
  <x:si>
    <x:t xml:space="preserve">社交界雪灯</x:t>
  </x:si>
  <x:si>
    <x:t xml:space="preserve">사교계 유키히</x:t>
  </x:si>
  <x:si>
    <x:t xml:space="preserve">Society Yukihi</x:t>
  </x:si>
  <x:si>
    <x:t xml:space="preserve">社交</x:t>
  </x:si>
  <x:si>
    <x:t xml:space="preserve">사교</x:t>
  </x:si>
  <x:si>
    <x:t xml:space="preserve">Society</x:t>
  </x:si>
  <x:si>
    <x:t xml:space="preserve">shinra</x:t>
  </x:si>
  <x:si>
    <x:t xml:space="preserve">シンラ</x:t>
  </x:si>
  <x:si>
    <x:t xml:space="preserve">森罗</x:t>
  </x:si>
  <x:si>
    <x:t xml:space="preserve">신라</x:t>
  </x:si>
  <x:si>
    <x:t xml:space="preserve">Shinra</x:t>
  </x:si>
  <x:si>
    <x:t xml:space="preserve">書</x:t>
  </x:si>
  <x:si>
    <x:t xml:space="preserve">书</x:t>
  </x:si>
  <x:si>
    <x:t xml:space="preserve">서책</x:t>
  </x:si>
  <x:si>
    <x:t xml:space="preserve">Scroll</x:t>
  </x:si>
  <x:si>
    <x:t xml:space="preserve">07</x:t>
  </x:si>
  <x:si>
    <x:t xml:space="preserve">shinra-a1</x:t>
  </x:si>
  <x:si>
    <x:t xml:space="preserve">教主シンラ</x:t>
  </x:si>
  <x:si>
    <x:t xml:space="preserve">教主森罗</x:t>
  </x:si>
  <x:si>
    <x:t xml:space="preserve">교주 신라</x:t>
  </x:si>
  <x:si>
    <x:t xml:space="preserve">Hierarch Shinra</x:t>
  </x:si>
  <x:si>
    <x:t xml:space="preserve">経典</x:t>
  </x:si>
  <x:si>
    <x:t xml:space="preserve">经卷</x:t>
  </x:si>
  <x:si>
    <x:t xml:space="preserve">经典</x:t>
  </x:si>
  <x:si>
    <x:t xml:space="preserve">경전</x:t>
  </x:si>
  <x:si>
    <x:t xml:space="preserve">Classics</x:t>
  </x:si>
  <x:si>
    <x:t xml:space="preserve">08</x:t>
  </x:si>
  <x:si>
    <x:t xml:space="preserve">hagane</x:t>
  </x:si>
  <x:si>
    <x:t xml:space="preserve">ハガネ</x:t>
  </x:si>
  <x:si>
    <x:t xml:space="preserve">破钟</x:t>
  </x:si>
  <x:si>
    <x:t xml:space="preserve">하가네</x:t>
  </x:si>
  <x:si>
    <x:t xml:space="preserve">Hagane</x:t>
  </x:si>
  <x:si>
    <x:t xml:space="preserve">鎚</x:t>
  </x:si>
  <x:si>
    <x:t xml:space="preserve">锤</x:t>
  </x:si>
  <x:si>
    <x:t xml:space="preserve">망치</x:t>
  </x:si>
  <x:si>
    <x:t xml:space="preserve">Hammer</x:t>
  </x:si>
  <x:si>
    <x:t xml:space="preserve">hagane-a1</x:t>
  </x:si>
  <x:si>
    <x:t xml:space="preserve">鍛治師ハガネ</x:t>
  </x:si>
  <x:si>
    <x:t xml:space="preserve">锻造师破钟</x:t>
  </x:si>
  <x:si>
    <x:t xml:space="preserve">대장장이 하가네</x:t>
  </x:si>
  <x:si>
    <x:t xml:space="preserve">Blacksmith Hagane</x:t>
  </x:si>
  <x:si>
    <x:t xml:space="preserve">金床</x:t>
  </x:si>
  <x:si>
    <x:t xml:space="preserve">铁砧</x:t>
  </x:si>
  <x:si>
    <x:t xml:space="preserve">모루</x:t>
  </x:si>
  <x:si>
    <x:t xml:space="preserve">Anvil</x:t>
  </x:si>
  <x:si>
    <x:t xml:space="preserve">chikage</x:t>
  </x:si>
  <x:si>
    <x:t xml:space="preserve">チカゲ</x:t>
  </x:si>
  <x:si>
    <x:t xml:space="preserve">千影</x:t>
  </x:si>
  <x:si>
    <x:t xml:space="preserve">치카게</x:t>
  </x:si>
  <x:si>
    <x:t xml:space="preserve">Chikage</x:t>
  </x:si>
  <x:si>
    <x:t xml:space="preserve">독</x:t>
  </x:si>
  <x:si>
    <x:t xml:space="preserve">Poison</x:t>
  </x:si>
  <x:si>
    <x:t xml:space="preserve">09</x:t>
  </x:si>
  <x:si>
    <x:t xml:space="preserve">chikage-a1</x:t>
  </x:si>
  <x:si>
    <x:t xml:space="preserve">第四章チカゲ</x:t>
  </x:si>
  <x:si>
    <x:t xml:space="preserve">第四章千影</x:t>
  </x:si>
  <x:si>
    <x:t xml:space="preserve">제4장 치카게</x:t>
  </x:si>
  <x:si>
    <x:t xml:space="preserve">Fourth Chapter Chikage</x:t>
  </x:si>
  <x:si>
    <x:t xml:space="preserve">絆</x:t>
  </x:si>
  <x:si>
    <x:t xml:space="preserve">绊</x:t>
  </x:si>
  <x:si>
    <x:t xml:space="preserve">인연</x:t>
  </x:si>
  <x:si>
    <x:t xml:space="preserve">Kizuna</x:t>
  </x:si>
  <x:si>
    <x:t xml:space="preserve">kururu</x:t>
  </x:si>
  <x:si>
    <x:t xml:space="preserve">クルル</x:t>
  </x:si>
  <x:si>
    <x:t xml:space="preserve">枢</x:t>
  </x:si>
  <x:si>
    <x:t xml:space="preserve">쿠루루</x:t>
  </x:si>
  <x:si>
    <x:t xml:space="preserve">Kururu</x:t>
  </x:si>
  <x:si>
    <x:t xml:space="preserve">絡繰</x:t>
  </x:si>
  <x:si>
    <x:t xml:space="preserve">机关</x:t>
  </x:si>
  <x:si>
    <x:t xml:space="preserve">机巧</x:t>
  </x:si>
  <x:si>
    <x:t xml:space="preserve">자동장치</x:t>
  </x:si>
  <x:si>
    <x:t xml:space="preserve">Karakuri</x:t>
  </x:si>
  <x:si>
    <x:t xml:space="preserve">10</x:t>
  </x:si>
  <x:si>
    <x:t xml:space="preserve">kururu-a1</x:t>
  </x:si>
  <x:si>
    <x:t xml:space="preserve">探索者クルル</x:t>
  </x:si>
  <x:si>
    <x:t xml:space="preserve">探索者枢</x:t>
  </x:si>
  <x:si>
    <x:t xml:space="preserve">탐색자 쿠루루</x:t>
  </x:si>
  <x:si>
    <x:t xml:space="preserve">Explorer Kururu</x:t>
  </x:si>
  <x:si>
    <x:t xml:space="preserve">機器</x:t>
  </x:si>
  <x:si>
    <x:t xml:space="preserve">机器</x:t>
  </x:si>
  <x:si>
    <x:t xml:space="preserve">기계</x:t>
  </x:si>
  <x:si>
    <x:t xml:space="preserve">Machanism</x:t>
  </x:si>
  <x:si>
    <x:t xml:space="preserve">kururu-a2</x:t>
  </x:si>
  <x:si>
    <x:t xml:space="preserve">徒神クルル</x:t>
  </x:si>
  <x:si>
    <x:t xml:space="preserve">徒神枢</x:t>
  </x:si>
  <x:si>
    <x:t xml:space="preserve">허무신 쿠루루</x:t>
  </x:si>
  <x:si>
    <x:t xml:space="preserve">Adagami Kururu</x:t>
  </x:si>
  <x:si>
    <x:t xml:space="preserve">友情</x:t>
  </x:si>
  <x:si>
    <x:t xml:space="preserve">우정</x:t>
  </x:si>
  <x:si>
    <x:t xml:space="preserve">Friendship</x:t>
  </x:si>
  <x:si>
    <x:t xml:space="preserve">thallya</x:t>
  </x:si>
  <x:si>
    <x:t xml:space="preserve">サリヤ</x:t>
  </x:si>
  <x:si>
    <x:t xml:space="preserve">萨莉娅</x:t>
  </x:si>
  <x:si>
    <x:t xml:space="preserve">탈리야</x:t>
  </x:si>
  <x:si>
    <x:t xml:space="preserve">Thallya</x:t>
  </x:si>
  <x:si>
    <x:t xml:space="preserve">乗騎</x:t>
  </x:si>
  <x:si>
    <x:t xml:space="preserve">骑</x:t>
  </x:si>
  <x:si>
    <x:t xml:space="preserve">车</x:t>
  </x:si>
  <x:si>
    <x:t xml:space="preserve">기승</x:t>
  </x:si>
  <x:si>
    <x:t xml:space="preserve">Mount</x:t>
  </x:si>
  <x:si>
    <x:t xml:space="preserve">11</x:t>
  </x:si>
  <x:si>
    <x:t xml:space="preserve">thallya-a1</x:t>
  </x:si>
  <x:si>
    <x:t xml:space="preserve">帰還サリヤ</x:t>
  </x:si>
  <x:si>
    <x:t xml:space="preserve">回返萨莉娅</x:t>
  </x:si>
  <x:si>
    <x:t xml:space="preserve">归还萨莉娅</x:t>
  </x:si>
  <x:si>
    <x:t xml:space="preserve">귀환 탈리야</x:t>
  </x:si>
  <x:si>
    <x:t xml:space="preserve">Return Thallya</x:t>
  </x:si>
  <x:si>
    <x:t xml:space="preserve">新型</x:t>
  </x:si>
  <x:si>
    <x:t xml:space="preserve">신형</x:t>
  </x:si>
  <x:si>
    <x:t xml:space="preserve">New Form</x:t>
  </x:si>
  <x:si>
    <x:t xml:space="preserve">raira</x:t>
  </x:si>
  <x:si>
    <x:t xml:space="preserve">ライラ</x:t>
  </x:si>
  <x:si>
    <x:t xml:space="preserve">雷螺</x:t>
  </x:si>
  <x:si>
    <x:t xml:space="preserve">라이라</x:t>
  </x:si>
  <x:si>
    <x:t xml:space="preserve">Raira</x:t>
  </x:si>
  <x:si>
    <x:t xml:space="preserve">爪</x:t>
  </x:si>
  <x:si>
    <x:t xml:space="preserve">손톱</x:t>
  </x:si>
  <x:si>
    <x:t xml:space="preserve">Claw</x:t>
  </x:si>
  <x:si>
    <x:t xml:space="preserve">12</x:t>
  </x:si>
  <x:si>
    <x:t xml:space="preserve">raira-a1</x:t>
  </x:si>
  <x:si>
    <x:t xml:space="preserve">祈祷師ライラ</x:t>
  </x:si>
  <x:si>
    <x:t xml:space="preserve">祈祷师雷螺</x:t>
  </x:si>
  <x:si>
    <x:t xml:space="preserve">기도사 라이라</x:t>
  </x:si>
  <x:si>
    <x:t xml:space="preserve">Prayer Raira</x:t>
  </x:si>
  <x:si>
    <x:t xml:space="preserve">嵐</x:t>
  </x:si>
  <x:si>
    <x:t xml:space="preserve">飓</x:t>
  </x:si>
  <x:si>
    <x:t xml:space="preserve">岚</x:t>
  </x:si>
  <x:si>
    <x:t xml:space="preserve">폭풍</x:t>
  </x:si>
  <x:si>
    <x:t xml:space="preserve">Storm</x:t>
  </x:si>
  <x:si>
    <x:t xml:space="preserve">utsuro</x:t>
  </x:si>
  <x:si>
    <x:t xml:space="preserve">ウツロ</x:t>
  </x:si>
  <x:si>
    <x:t xml:space="preserve">虚路</x:t>
  </x:si>
  <x:si>
    <x:t xml:space="preserve">우츠로</x:t>
  </x:si>
  <x:si>
    <x:t xml:space="preserve">Utsuro</x:t>
  </x:si>
  <x:si>
    <x:t xml:space="preserve">鎌</x:t>
  </x:si>
  <x:si>
    <x:t xml:space="preserve">镰</x:t>
  </x:si>
  <x:si>
    <x:t xml:space="preserve">대낫</x:t>
  </x:si>
  <x:si>
    <x:t xml:space="preserve">Scythe</x:t>
  </x:si>
  <x:si>
    <x:t xml:space="preserve">13</x:t>
  </x:si>
  <x:si>
    <x:t xml:space="preserve">utsuro-a1</x:t>
  </x:si>
  <x:si>
    <x:t xml:space="preserve">終章ウツロ</x:t>
  </x:si>
  <x:si>
    <x:t xml:space="preserve">终章虚路</x:t>
  </x:si>
  <x:si>
    <x:t xml:space="preserve">종장 우츠로</x:t>
  </x:si>
  <x:si>
    <x:t xml:space="preserve">Final Chapter Utsuro</x:t>
  </x:si>
  <x:si>
    <x:t xml:space="preserve">塵</x:t>
  </x:si>
  <x:si>
    <x:t xml:space="preserve">尘</x:t>
  </x:si>
  <x:si>
    <x:t xml:space="preserve">먼지</x:t>
  </x:si>
  <x:si>
    <x:t xml:space="preserve">Dust</x:t>
  </x:si>
  <x:si>
    <x:t xml:space="preserve">honoka</x:t>
  </x:si>
  <x:si>
    <x:t xml:space="preserve">ホノカ</x:t>
  </x:si>
  <x:si>
    <x:t xml:space="preserve">仄佳</x:t>
  </x:si>
  <x:si>
    <x:t xml:space="preserve">호노카</x:t>
  </x:si>
  <x:si>
    <x:t xml:space="preserve">Honoka</x:t>
  </x:si>
  <x:si>
    <x:t xml:space="preserve">旗</x:t>
  </x:si>
  <x:si>
    <x:t xml:space="preserve">깃발</x:t>
  </x:si>
  <x:si>
    <x:t xml:space="preserve">Flag</x:t>
  </x:si>
  <x:si>
    <x:t xml:space="preserve">14</x:t>
  </x:si>
  <x:si>
    <x:t xml:space="preserve">honoka-a1</x:t>
  </x:si>
  <x:si>
    <x:t xml:space="preserve">桜花拝ホノカ</x:t>
  </x:si>
  <x:si>
    <x:t xml:space="preserve">拜樱仄佳</x:t>
  </x:si>
  <x:si>
    <x:t xml:space="preserve">樱花拜仄佳</x:t>
  </x:si>
  <x:si>
    <x:t xml:space="preserve">오우카 호노카</x:t>
  </x:si>
  <x:si>
    <x:t xml:space="preserve">Sakuraist Honoka</x:t>
  </x:si>
  <x:si>
    <x:t xml:space="preserve">勾玉</x:t>
  </x:si>
  <x:si>
    <x:t xml:space="preserve">곡옥</x:t>
  </x:si>
  <x:si>
    <x:t xml:space="preserve">Magatama</x:t>
  </x:si>
  <x:si>
    <x:t xml:space="preserve">korunu</x:t>
  </x:si>
  <x:si>
    <x:t xml:space="preserve">コルヌ</x:t>
  </x:si>
  <x:si>
    <x:t xml:space="preserve">凝努</x:t>
  </x:si>
  <x:si>
    <x:t xml:space="preserve">코르누</x:t>
  </x:si>
  <x:si>
    <x:t xml:space="preserve">Korunu</x:t>
  </x:si>
  <x:si>
    <x:t xml:space="preserve">橇</x:t>
  </x:si>
  <x:si>
    <x:t xml:space="preserve">썰매날</x:t>
  </x:si>
  <x:si>
    <x:t xml:space="preserve">Skate blade</x:t>
  </x:si>
  <x:si>
    <x:t xml:space="preserve">15</x:t>
  </x:si>
  <x:si>
    <x:t xml:space="preserve">yatsuha</x:t>
  </x:si>
  <x:si>
    <x:t xml:space="preserve">ヤツハ</x:t>
  </x:si>
  <x:si>
    <x:r>
      <x:rPr>
        <x:sz val="10"/>
        <x:color rgb="FF000000"/>
        <x:rFont val="MS PGothic"/>
        <x:family val="3"/>
      </x:rPr>
      <x:t xml:space="preserve">完全</x:t>
    </x:r>
    <x:r>
      <x:rPr>
        <x:sz val="10"/>
        <x:color rgb="FF000000"/>
        <x:rFont val="NSimSun"/>
        <x:family val="3"/>
      </x:rPr>
      <x:t xml:space="preserve">态</x:t>
    </x:r>
    <x:r>
      <x:rPr>
        <x:sz val="10"/>
        <x:color rgb="FF000000"/>
        <x:rFont val="MS PGothic"/>
        <x:family val="3"/>
      </x:rPr>
      <x:t xml:space="preserve">八叶</x:t>
    </x:r>
  </x:si>
  <x:si>
    <x:t xml:space="preserve">八叶</x:t>
  </x:si>
  <x:si>
    <x:t xml:space="preserve">야츠하</x:t>
  </x:si>
  <x:si>
    <x:t xml:space="preserve">Yatsuha</x:t>
  </x:si>
  <x:si>
    <x:t xml:space="preserve">鏡</x:t>
  </x:si>
  <x:si>
    <x:t xml:space="preserve">镜</x:t>
  </x:si>
  <x:si>
    <x:t xml:space="preserve">거울</x:t>
  </x:si>
  <x:si>
    <x:t xml:space="preserve">Mirror</x:t>
  </x:si>
  <x:si>
    <x:t xml:space="preserve">16</x:t>
  </x:si>
  <x:si>
    <x:t xml:space="preserve">yatsuha-a1</x:t>
  </x:si>
  <x:si>
    <x:t xml:space="preserve">完全態ヤツハ</x:t>
  </x:si>
  <x:si>
    <x:t xml:space="preserve">完全态八叶</x:t>
  </x:si>
  <x:si>
    <x:r>
      <x:rPr>
        <x:sz val="10"/>
        <x:color rgb="FF000000"/>
        <x:rFont val="Malgun Gothic Semilight"/>
        <x:family val="3"/>
      </x:rPr>
      <x:t xml:space="preserve">자아</x:t>
    </x:r>
    <x:r>
      <x:rPr>
        <x:sz val="10"/>
        <x:color rgb="FF000000"/>
        <x:rFont val="돋움"/>
        <x:family val="3"/>
      </x:rPr>
      <x:t xml:space="preserve"> </x:t>
    </x:r>
    <x:r>
      <x:rPr>
        <x:sz val="10"/>
        <x:color rgb="FF000000"/>
        <x:rFont val="Malgun Gothic Semilight"/>
        <x:family val="3"/>
      </x:rPr>
      <x:t xml:space="preserve">야츠하</x:t>
    </x:r>
  </x:si>
  <x:si>
    <x:t xml:space="preserve">Perfect Yatsuha</x:t>
  </x:si>
  <x:si>
    <x:t xml:space="preserve">花</x:t>
  </x:si>
  <x:si>
    <x:t xml:space="preserve">꽃</x:t>
  </x:si>
  <x:si>
    <x:t xml:space="preserve">Flowers</x:t>
  </x:si>
  <x:si>
    <x:t xml:space="preserve">yatsuha-aa1</x:t>
  </x:si>
  <x:si>
    <x:t xml:space="preserve">自我ヤツハ</x:t>
  </x:si>
  <x:si>
    <x:t xml:space="preserve">自我八叶</x:t>
  </x:si>
  <x:si>
    <x:t xml:space="preserve">자아 야츠하</x:t>
  </x:si>
  <x:si>
    <x:t xml:space="preserve">Yatsuha Realized</x:t>
  </x:si>
  <x:si>
    <x:t xml:space="preserve">魂</x:t>
  </x:si>
  <x:si>
    <x:t xml:space="preserve">혼</x:t>
  </x:si>
  <x:si>
    <x:t xml:space="preserve">Soul</x:t>
  </x:si>
  <x:si>
    <x:t xml:space="preserve">AA1</x:t>
  </x:si>
  <x:si>
    <x:t xml:space="preserve">hatsumi</x:t>
  </x:si>
  <x:si>
    <x:t xml:space="preserve">ハツミ</x:t>
  </x:si>
  <x:si>
    <x:t xml:space="preserve">初海</x:t>
  </x:si>
  <x:si>
    <x:t xml:space="preserve">하츠미</x:t>
  </x:si>
  <x:si>
    <x:t xml:space="preserve">Hatsumi</x:t>
  </x:si>
  <x:si>
    <x:t xml:space="preserve">櫂</x:t>
  </x:si>
  <x:si>
    <x:t xml:space="preserve">桨</x:t>
  </x:si>
  <x:si>
    <x:t xml:space="preserve">棹</x:t>
  </x:si>
  <x:si>
    <x:t xml:space="preserve">노</x:t>
  </x:si>
  <x:si>
    <x:t xml:space="preserve">Quant</x:t>
  </x:si>
  <x:si>
    <x:t xml:space="preserve">17</x:t>
  </x:si>
  <x:si>
    <x:t xml:space="preserve">hatsumi-a1</x:t>
  </x:si>
  <x:si>
    <x:t xml:space="preserve">徒神ハツミ</x:t>
  </x:si>
  <x:si>
    <x:t xml:space="preserve">徒神初海</x:t>
  </x:si>
  <x:si>
    <x:t xml:space="preserve">허무신 하츠미</x:t>
  </x:si>
  <x:si>
    <x:t xml:space="preserve">Adagami Hatsumi</x:t>
  </x:si>
  <x:si>
    <x:t xml:space="preserve">信頼</x:t>
  </x:si>
  <x:si>
    <x:t xml:space="preserve">信赖</x:t>
  </x:si>
  <x:si>
    <x:t xml:space="preserve">신뢰</x:t>
  </x:si>
  <x:si>
    <x:t xml:space="preserve">Trust</x:t>
  </x:si>
  <x:si>
    <x:t xml:space="preserve">mizuki</x:t>
  </x:si>
  <x:si>
    <x:t xml:space="preserve">ミズキ</x:t>
  </x:si>
  <x:si>
    <x:t xml:space="preserve">水津城</x:t>
  </x:si>
  <x:si>
    <x:t xml:space="preserve">미즈키</x:t>
  </x:si>
  <x:si>
    <x:t xml:space="preserve">Mizuki</x:t>
  </x:si>
  <x:si>
    <x:t xml:space="preserve">兜</x:t>
  </x:si>
  <x:si>
    <x:t xml:space="preserve">盔</x:t>
  </x:si>
  <x:si>
    <x:t xml:space="preserve">투구</x:t>
  </x:si>
  <x:si>
    <x:t xml:space="preserve">Armet</x:t>
  </x:si>
  <x:si>
    <x:t xml:space="preserve">18</x:t>
  </x:si>
  <x:si>
    <x:t xml:space="preserve">megumi</x:t>
  </x:si>
  <x:si>
    <x:t xml:space="preserve">メグミ</x:t>
  </x:si>
  <x:si>
    <x:t xml:space="preserve">希</x:t>
  </x:si>
  <x:si>
    <x:t xml:space="preserve">메구미</x:t>
  </x:si>
  <x:si>
    <x:t xml:space="preserve">Megumi</x:t>
  </x:si>
  <x:si>
    <x:t xml:space="preserve">唐棹</x:t>
  </x:si>
  <x:si>
    <x:t xml:space="preserve">连枷</x:t>
  </x:si>
  <x:si>
    <x:t xml:space="preserve">梿枷</x:t>
  </x:si>
  <x:si>
    <x:t xml:space="preserve">도리깨</x:t>
  </x:si>
  <x:si>
    <x:t xml:space="preserve">Flail</x:t>
  </x:si>
  <x:si>
    <x:t xml:space="preserve">19</x:t>
  </x:si>
  <x:si>
    <x:t xml:space="preserve">kanawe</x:t>
  </x:si>
  <x:si>
    <x:t xml:space="preserve">カナヱ</x:t>
  </x:si>
  <x:si>
    <x:t xml:space="preserve">叶慧</x:t>
  </x:si>
  <x:si>
    <x:t xml:space="preserve">카나에</x:t>
  </x:si>
  <x:si>
    <x:t xml:space="preserve">Kanawe</x:t>
  </x:si>
  <x:si>
    <x:t xml:space="preserve">仮面</x:t>
  </x:si>
  <x:si>
    <x:t xml:space="preserve">假面</x:t>
  </x:si>
  <x:si>
    <x:t xml:space="preserve">面具</x:t>
  </x:si>
  <x:si>
    <x:t xml:space="preserve">가면</x:t>
  </x:si>
  <x:si>
    <x:t xml:space="preserve">Masks</x:t>
  </x:si>
  <x:si>
    <x:t xml:space="preserve">20</x:t>
  </x:si>
  <x:si>
    <x:t xml:space="preserve">kamuwi</x:t>
  </x:si>
  <x:si>
    <x:t xml:space="preserve">カムヰ</x:t>
  </x:si>
  <x:si>
    <x:t xml:space="preserve">神威</x:t>
  </x:si>
  <x:si>
    <x:t xml:space="preserve">神居</x:t>
  </x:si>
  <x:si>
    <x:t xml:space="preserve">카무이</x:t>
  </x:si>
  <x:si>
    <x:t xml:space="preserve">Kamuwi</x:t>
  </x:si>
  <x:si>
    <x:t xml:space="preserve">剣</x:t>
  </x:si>
  <x:si>
    <x:t xml:space="preserve">剑</x:t>
  </x:si>
  <x:si>
    <x:t xml:space="preserve">검</x:t>
  </x:si>
  <x:si>
    <x:t xml:space="preserve">Sword</x:t>
  </x:si>
  <x:si>
    <x:t xml:space="preserve">21</x:t>
  </x:si>
  <x:si>
    <x:t xml:space="preserve">renri</x:t>
  </x:si>
  <x:si>
    <x:t xml:space="preserve">レンリ</x:t>
  </x:si>
  <x:si>
    <x:t xml:space="preserve">恋离</x:t>
  </x:si>
  <x:si>
    <x:t xml:space="preserve">렌리</x:t>
  </x:si>
  <x:si>
    <x:t xml:space="preserve">Renri</x:t>
  </x:si>
  <x:si>
    <x:t xml:space="preserve">衣</x:t>
  </x:si>
  <x:si>
    <x:t xml:space="preserve">옷</x:t>
  </x:si>
  <x:si>
    <x:t xml:space="preserve">Robe</x:t>
  </x:si>
  <x:si>
    <x:t xml:space="preserve">22</x:t>
  </x:si>
  <x:si>
    <x:t xml:space="preserve">akina</x:t>
  </x:si>
  <x:si>
    <x:t xml:space="preserve">アキナ</x:t>
  </x:si>
  <x:si>
    <x:t xml:space="preserve">安歧那</x:t>
  </x:si>
  <x:si>
    <x:t xml:space="preserve">아키나</x:t>
  </x:si>
  <x:si>
    <x:t xml:space="preserve">Akina</x:t>
  </x:si>
  <x:si>
    <x:t xml:space="preserve">算盤</x:t>
  </x:si>
  <x:si>
    <x:t xml:space="preserve">算盘</x:t>
  </x:si>
  <x:si>
    <x:t xml:space="preserve">주판</x:t>
  </x:si>
  <x:si>
    <x:t xml:space="preserve">Abacus</x:t>
  </x:si>
  <x:si>
    <x:t xml:space="preserve">23</x:t>
  </x:si>
  <x:si>
    <x:t xml:space="preserve">shisui</x:t>
  </x:si>
  <x:si>
    <x:t xml:space="preserve">シスイ</x:t>
  </x:si>
  <x:si>
    <x:t xml:space="preserve">志水</x:t>
  </x:si>
  <x:si>
    <x:t xml:space="preserve">시스이</x:t>
  </x:si>
  <x:si>
    <x:t xml:space="preserve">Shisui</x:t>
  </x:si>
  <x:si>
    <x:t xml:space="preserve">鋸</x:t>
  </x:si>
  <x:si>
    <x:t xml:space="preserve">锯</x:t>
  </x:si>
  <x:si>
    <x:t xml:space="preserve">톱</x:t>
  </x:si>
  <x:si>
    <x:t xml:space="preserve">Saw</x:t>
  </x:si>
  <x:si>
    <x:t xml:space="preserve">24</x:t>
  </x:si>
  <x:si>
    <x:t xml:space="preserve">renri-a1</x:t>
  </x:si>
  <x:si>
    <x:t xml:space="preserve">歴史家レンリ</x:t>
  </x:si>
  <x:si>
    <x:t xml:space="preserve">史学家恋离</x:t>
  </x:si>
  <x:si>
    <x:t xml:space="preserve">역사가 렌리</x:t>
  </x:si>
  <x:si>
    <x:t xml:space="preserve">Historian Renri</x:t>
  </x:si>
  <x:si>
    <x:t xml:space="preserve">遺物</x:t>
  </x:si>
  <x:si>
    <x:t xml:space="preserve">유물</x:t>
  </x:si>
  <x:si>
    <x:t xml:space="preserve">Relic</x:t>
  </x:si>
  <x:si>
    <x:t xml:space="preserve">innealra-o1</x:t>
  </x:si>
  <x:si>
    <x:t xml:space="preserve">イニル・イヌル</x:t>
  </x:si>
  <x:si>
    <x:t xml:space="preserve">造神·忆瑠</x:t>
  </x:si>
  <x:si>
    <x:t xml:space="preserve">이니르 이누르</x:t>
  </x:si>
  <x:si>
    <x:t xml:space="preserve">過去</x:t>
  </x:si>
  <x:si>
    <x:t xml:space="preserve">过去</x:t>
  </x:si>
  <x:si>
    <x:t xml:space="preserve">과거</x:t>
  </x:si>
  <x:si>
    <x:t xml:space="preserve">26</x:t>
  </x:si>
  <x:si>
    <x:t xml:space="preserve">innealra</x:t>
  </x:si>
  <x:si>
    <x:t xml:space="preserve">O1</x:t>
  </x:si>
  <x:si>
    <x:t xml:space="preserve">innealra-o2</x:t>
  </x:si>
  <x:si>
    <x:t xml:space="preserve">イニル・マヒル</x:t>
  </x:si>
  <x:si>
    <x:t xml:space="preserve">造神·真昼</x:t>
  </x:si>
  <x:si>
    <x:t xml:space="preserve">이니르 마히르</x:t>
  </x:si>
  <x:si>
    <x:t xml:space="preserve">現在</x:t>
  </x:si>
  <x:si>
    <x:t xml:space="preserve">现在</x:t>
  </x:si>
  <x:si>
    <x:t xml:space="preserve">현재</x:t>
  </x:si>
  <x:si>
    <x:t xml:space="preserve">O2</x:t>
  </x:si>
  <x:si>
    <x:t xml:space="preserve">innealra-o3</x:t>
  </x:si>
  <x:si>
    <x:t xml:space="preserve">イニル・アクル</x:t>
  </x:si>
  <x:si>
    <x:t xml:space="preserve">造神·明来</x:t>
  </x:si>
  <x:si>
    <x:t xml:space="preserve">이니르 아쿠르</x:t>
  </x:si>
  <x:si>
    <x:t xml:space="preserve">未来</x:t>
  </x:si>
  <x:si>
    <x:t xml:space="preserve">미래</x:t>
  </x:si>
  <x:si>
    <x:t xml:space="preserve">O3</x:t>
  </x:si>
</x:sst>
</file>

<file path=xl/styles.xml><?xml version="1.0" encoding="utf-8"?>
<x:styleSheet xmlns:x="http://schemas.openxmlformats.org/spreadsheetml/2006/main">
  <x:numFmts count="2">
    <x:numFmt numFmtId="164" formatCode="General"/>
    <x:numFmt numFmtId="165" formatCode="@"/>
  </x:numFmts>
  <x:fonts count="145">
    <x:font>
      <x:sz val="11"/>
      <x:color rgb="FF000000"/>
      <x:name val="MS PGothic"/>
    </x:font>
    <x:font>
      <x:sz val="10"/>
      <x:name val="Arial"/>
    </x:font>
    <x:font>
      <x:sz val="10"/>
      <x:name val="Arial"/>
    </x:font>
    <x:font>
      <x:sz val="10"/>
      <x:name val="Arial"/>
    </x:font>
    <x:font>
      <x:sz val="12"/>
      <x:name val="宋体"/>
    </x:font>
    <x:font>
      <x:sz val="11"/>
      <x:color rgb="FF000000"/>
      <x:name val="MS PGothic"/>
    </x:font>
    <x:font>
      <x:sz val="10"/>
      <x:color rgb="FF000000"/>
      <x:name val="Arial"/>
    </x:font>
    <x:font>
      <x:sz val="10"/>
      <x:color rgb="FF000000"/>
      <x:name val="MS PGothic"/>
    </x:font>
    <x:font>
      <x:sz val="9"/>
      <x:color rgb="FF000000"/>
      <x:name val="SimSun"/>
    </x:font>
    <x:font>
      <x:sz val="10"/>
      <x:color rgb="FF000000"/>
      <x:name val="SimSun"/>
    </x:font>
    <x:font>
      <x:sz val="9"/>
      <x:color rgb="FF0000FF"/>
      <x:name val="ＭＳ ゴシック"/>
    </x:font>
    <x:font>
      <x:sz val="9"/>
      <x:color rgb="FFC0504D"/>
      <x:name val="ＭＳ ゴシック"/>
    </x:font>
    <x:font>
      <x:sz val="9"/>
      <x:color rgb="FF77933C"/>
      <x:name val="ＭＳ ゴシック"/>
    </x:font>
    <x:font>
      <x:sz val="10"/>
      <x:color rgb="FFFF0000"/>
      <x:name val="MS PGothic"/>
    </x:font>
    <x:font>
      <x:sz val="10"/>
      <x:color rgb="FF000000"/>
      <x:name val="SimSun"/>
    </x:font>
    <x:font>
      <x:sz val="9"/>
      <x:name val="宋体"/>
    </x:font>
    <x:font>
      <x:b/>
      <x:sz val="10"/>
      <x:name val="Arial"/>
    </x:font>
    <x:font>
      <x:i/>
      <x:sz val="10"/>
      <x:name val="宋体"/>
    </x:font>
    <x:font>
      <x:sz val="10"/>
      <x:name val="宋体"/>
    </x:font>
    <x:font>
      <x:b/>
      <x:sz val="10"/>
      <x:name val="宋体"/>
    </x:font>
    <x:font>
      <x:b/>
      <x:i/>
      <x:sz val="10"/>
      <x:name val="宋体"/>
    </x:font>
    <x:font>
      <x:b/>
      <x:sz val="10"/>
      <x:color rgb="FF000000"/>
      <x:name val="Arial"/>
    </x:font>
    <x:font>
      <x:sz val="10"/>
      <x:name val="Arial"/>
    </x:font>
    <x:font>
      <x:sz val="11"/>
      <x:color rgb="FF000000"/>
      <x:name val="SimSun"/>
    </x:font>
    <x:font>
      <x:b/>
      <x:i/>
      <x:sz val="10"/>
      <x:color rgb="FF000000"/>
      <x:name val="SimSun"/>
    </x:font>
    <x:font>
      <x:b/>
      <x:sz val="10"/>
      <x:color rgb="FF000000"/>
      <x:name val="SimSun"/>
    </x:font>
    <x:font>
      <x:sz val="10"/>
      <x:name val="MS Gothic"/>
    </x:font>
    <x:font>
      <x:sz val="11"/>
      <x:color rgb="FF000000"/>
      <x:name val="ＭＳ Ｐゴシック"/>
    </x:font>
    <x:font>
      <x:sz val="9"/>
      <x:color rgb="FF2A2A2A"/>
      <x:name val="MS PGothic"/>
    </x:font>
    <x:font>
      <x:sz val="10"/>
      <x:color rgb="FF2A2A2A"/>
      <x:name val="SimSun"/>
    </x:font>
    <x:font>
      <x:sz val="11"/>
      <x:color rgb="FF2A2A2A"/>
      <x:name val="MS PGothic"/>
    </x:font>
    <x:font>
      <x:b/>
      <x:i/>
      <x:sz val="10"/>
      <x:color rgb="FF000000"/>
      <x:name val="Arial"/>
    </x:font>
    <x:font>
      <x:b/>
      <x:sz val="10"/>
      <x:name val="ＭＳ Ｐゴシック"/>
    </x:font>
    <x:font>
      <x:b/>
      <x:i/>
      <x:sz val="10"/>
      <x:color rgb="FF000000"/>
      <x:name val="MS PGothic"/>
    </x:font>
    <x:font>
      <x:sz val="9"/>
      <x:color rgb="FFFF0000"/>
      <x:name val="ＭＳ ゴシック"/>
    </x:font>
    <x:font>
      <x:sz val="9"/>
      <x:color rgb="FF000000"/>
      <x:name val="Arial"/>
    </x:font>
    <x:font>
      <x:sz val="9"/>
      <x:color rgb="FF000000"/>
      <x:name val="SimSun"/>
    </x:font>
    <x:font>
      <x:sz val="9"/>
      <x:color rgb="FF000000"/>
      <x:name val="BatangChe"/>
    </x:font>
    <x:font>
      <x:sz val="9"/>
      <x:color rgb="FF000000"/>
      <x:name val="宋体"/>
    </x:font>
    <x:font>
      <x:sz val="10"/>
      <x:color rgb="FF000000"/>
      <x:name val="SimSun"/>
    </x:font>
    <x:font>
      <x:sz val="10"/>
      <x:color rgb="FF000000"/>
      <x:name val="ＭＳ Ｐゴシック"/>
    </x:font>
    <x:font>
      <x:sz val="10"/>
      <x:color rgb="FF000000"/>
      <x:name val="宋体"/>
    </x:font>
    <x:font>
      <x:sz val="10"/>
      <x:name val="ＭＳ Ｐゴシック"/>
    </x:font>
    <x:font>
      <x:sz val="11"/>
      <x:color rgb="FF000000"/>
      <x:name val="Arial"/>
    </x:font>
    <x:font>
      <x:sz val="10"/>
      <x:color rgb="FFFF0000"/>
      <x:name val="SimSun"/>
    </x:font>
    <x:font>
      <x:sz val="11"/>
      <x:color rgb="FF000000"/>
      <x:name val="SimSun"/>
    </x:font>
    <x:font>
      <x:b/>
      <x:i/>
      <x:sz val="10"/>
      <x:color rgb="FF000000"/>
      <x:name val="宋体"/>
    </x:font>
    <x:font>
      <x:sz val="10"/>
      <x:color rgb="FFFF0000"/>
      <x:name val="宋体"/>
    </x:font>
    <x:font>
      <x:b/>
      <x:sz val="10"/>
      <x:color rgb="FF000000"/>
      <x:name val="宋体"/>
    </x:font>
    <x:font>
      <x:sz val="9"/>
      <x:color rgb="FFFF0000"/>
      <x:name val="SimSun"/>
    </x:font>
    <x:font>
      <x:i/>
      <x:sz val="10"/>
      <x:color rgb="FF000000"/>
      <x:name val="ＭＳ ゴシック"/>
    </x:font>
    <x:font>
      <x:sz val="10"/>
      <x:color rgb="FF000000"/>
      <x:name val="ＭＳ ゴシック"/>
    </x:font>
    <x:font>
      <x:b/>
      <x:sz val="10"/>
      <x:color rgb="FF000000"/>
      <x:name val="SimSun"/>
    </x:font>
    <x:font>
      <x:sz val="10"/>
      <x:name val="宋体"/>
    </x:font>
    <x:font>
      <x:sz val="10"/>
      <x:color rgb="FF000000"/>
      <x:name val="NSimSun"/>
    </x:font>
    <x:font>
      <x:sz val="10"/>
      <x:color rgb="FF212121"/>
      <x:name val="Inherit"/>
    </x:font>
    <x:font>
      <x:sz val="10"/>
      <x:color rgb="FF000000"/>
      <x:name val="MS PGothic"/>
    </x:font>
    <x:font>
      <x:sz val="9"/>
      <x:color rgb="FF000000"/>
      <x:name val="MS PGothic"/>
    </x:font>
    <x:font>
      <x:sz val="11"/>
      <x:color rgb="FF000000"/>
      <x:name val="NSimSun"/>
    </x:font>
    <x:font>
      <x:b/>
      <x:sz val="9"/>
      <x:color rgb="FF000000"/>
      <x:name val="SimSun"/>
    </x:font>
    <x:font>
      <x:sz val="10"/>
      <x:name val="MS PGothic"/>
    </x:font>
    <x:font>
      <x:sz val="9"/>
      <x:color rgb="FF000000"/>
      <x:name val="MS Gothic"/>
    </x:font>
    <x:font>
      <x:sz val="9"/>
      <x:color rgb="FF000000"/>
      <x:name val="宋体"/>
    </x:font>
    <x:font>
      <x:sz val="10"/>
      <x:color rgb="FF0000FF"/>
      <x:name val="MS PGothic"/>
    </x:font>
    <x:font>
      <x:sz val="9"/>
      <x:color rgb="FF0000FF"/>
      <x:name val="MS PGothic"/>
    </x:font>
    <x:font>
      <x:sz val="10"/>
      <x:color rgb="FF2A2A2A"/>
      <x:name val="SimSun"/>
    </x:font>
    <x:font>
      <x:sz val="11"/>
      <x:color rgb="FF2A2A2A"/>
      <x:name val="Arial"/>
    </x:font>
    <x:font>
      <x:i/>
      <x:sz val="10"/>
      <x:name val="SimSun"/>
    </x:font>
    <x:font>
      <x:sz val="9"/>
      <x:color rgb="FF000000"/>
      <x:name val="SimSun"/>
    </x:font>
    <x:font>
      <x:b/>
      <x:sz val="10"/>
      <x:name val="SimSun"/>
    </x:font>
    <x:font>
      <x:sz val="11"/>
      <x:color rgb="FF0000FF"/>
      <x:name val="MS PGothic"/>
    </x:font>
    <x:font>
      <x:b/>
      <x:sz val="10"/>
      <x:name val="MS PGothic"/>
    </x:font>
    <x:font>
      <x:sz val="9"/>
      <x:color rgb="FF000000"/>
      <x:name val="ＭＳ Ｐゴシック"/>
    </x:font>
    <x:font>
      <x:sz val="9"/>
      <x:color rgb="FF000000"/>
      <x:name val="ＭＳ Ｐゴシック"/>
    </x:font>
    <x:font>
      <x:sz val="11"/>
      <x:name val="MS PGothic"/>
    </x:font>
    <x:font>
      <x:sz val="10"/>
      <x:color rgb="FFFF0000"/>
      <x:name val="SimSun"/>
    </x:font>
    <x:font>
      <x:i/>
      <x:sz val="10"/>
      <x:name val="Arial"/>
    </x:font>
    <x:font>
      <x:sz val="9"/>
      <x:color rgb="FF000000"/>
      <x:name val="NSimSun"/>
    </x:font>
    <x:font>
      <x:sz val="10"/>
      <x:color rgb="FF000000"/>
      <x:name val="Malgun Gothic Semilight"/>
    </x:font>
    <x:font>
      <x:sz val="10"/>
      <x:color rgb="FF000000"/>
      <x:name val="ＭＳ Ｐゴシック"/>
    </x:font>
    <x:font>
      <x:sz val="10"/>
      <x:name val="돋움"/>
    </x:font>
    <x:font>
      <x:sz val="10"/>
      <x:color rgb="FF000000"/>
      <x:name val="돋움"/>
    </x:font>
    <x:font>
      <x:sz val="10"/>
      <x:color rgb="FF4F81BD"/>
      <x:name val="ＭＳ Ｐゴシック"/>
    </x:font>
    <x:font>
      <x:sz val="10"/>
      <x:color rgb="FF000000"/>
      <x:name val="맑은 고딕"/>
    </x:font>
    <x:font>
      <x:sz val="10"/>
      <x:name val="맑은 고딕"/>
    </x:font>
    <x:font>
      <x:sz val="10"/>
      <x:name val="Malgun Gothic Semilight"/>
    </x:font>
    <x:font>
      <x:sz val="11"/>
      <x:color rgb="FF000000"/>
      <x:name val="맑은 고딕"/>
    </x:font>
    <x:font>
      <x:sz val="10"/>
      <x:color rgb="FF000000"/>
      <x:name val="MS PGothic"/>
    </x:font>
    <x:font>
      <x:sz val="10"/>
      <x:color rgb="FFD9D9D9"/>
      <x:name val="Arial"/>
    </x:font>
    <x:font>
      <x:sz val="11"/>
      <x:color rgb="FF000000"/>
      <x:name val="SimSun"/>
    </x:font>
    <x:font>
      <x:sz val="11"/>
      <x:color rgb="FF000000"/>
      <x:name val="Malgun Gothic Semilight"/>
    </x:font>
    <x:font>
      <x:i/>
      <x:sz val="10"/>
      <x:color rgb="FF000000"/>
      <x:name val="ＭＳ Ｐゴシック"/>
    </x:font>
    <x:font>
      <x:sz val="10"/>
      <x:name val="SimSun"/>
    </x:font>
    <x:font>
      <x:sz val="10"/>
      <x:color rgb="FF000000"/>
      <x:name val="MS PGothic"/>
    </x:font>
    <x:font>
      <x:sz val="10"/>
      <x:color rgb="FF000000"/>
      <x:name val="Calibri"/>
    </x:font>
    <x:font>
      <x:b/>
      <x:i/>
      <x:sz val="10"/>
      <x:name val="宋体"/>
    </x:font>
    <x:font>
      <x:sz val="10"/>
      <x:color rgb="FF000000"/>
      <x:name val="SimSun"/>
    </x:font>
    <x:font>
      <x:sz val="11"/>
      <x:color rgb="FF000000"/>
      <x:name val="MS PGothic"/>
    </x:font>
    <x:font>
      <x:sz val="10"/>
      <x:color rgb="FF000000"/>
      <x:name val="Arial"/>
    </x:font>
    <x:font>
      <x:sz val="11"/>
      <x:color rgb="FF000000"/>
      <x:name val="MS PGothic"/>
    </x:font>
    <x:font>
      <x:sz val="10"/>
      <x:color rgb="FF000000"/>
      <x:name val="NSimSun"/>
    </x:font>
    <x:font>
      <x:sz val="10"/>
      <x:color rgb="FFFF0000"/>
      <x:name val="MS PGothic"/>
    </x:font>
    <x:font>
      <x:sz val="9"/>
      <x:color rgb="FF000000"/>
      <x:name val="SimSun"/>
    </x:font>
    <x:font>
      <x:sz val="9"/>
      <x:color rgb="FF000000"/>
      <x:name val="MS PGothic"/>
    </x:font>
    <x:font>
      <x:sz val="10"/>
      <x:color rgb="FF000000"/>
      <x:name val="Dotum"/>
    </x:font>
    <x:font>
      <x:b/>
      <x:i/>
      <x:sz val="10"/>
      <x:color rgb="FF000000"/>
      <x:name val="MS PGothic"/>
    </x:font>
    <x:font>
      <x:sz val="9"/>
      <x:color rgb="FF0000FF"/>
      <x:name val="ＭＳ ゴシック"/>
    </x:font>
    <x:font>
      <x:sz val="9"/>
      <x:color rgb="FFC0504D"/>
      <x:name val="ＭＳ ゴシック"/>
    </x:font>
    <x:font>
      <x:sz val="9"/>
      <x:color rgb="FF77933C"/>
      <x:name val="ＭＳ ゴシック"/>
    </x:font>
    <x:font>
      <x:sz val="10"/>
      <x:color rgb="FF000000"/>
      <x:name val="Arial"/>
    </x:font>
    <x:font>
      <x:sz val="11"/>
      <x:color rgb="FF0032FF"/>
      <x:name val="MS PGothic"/>
    </x:font>
    <x:font>
      <x:sz val="11"/>
      <x:color rgb="FF000000"/>
      <x:name val="Arial"/>
    </x:font>
    <x:font>
      <x:i/>
      <x:sz val="10"/>
      <x:color rgb="FF0032FF"/>
      <x:name val="宋体"/>
    </x:font>
    <x:font>
      <x:b/>
      <x:sz val="10"/>
      <x:color rgb="FF0032FF"/>
      <x:name val="宋体"/>
    </x:font>
    <x:font>
      <x:sz val="10"/>
      <x:color rgb="FF0032FF"/>
      <x:name val="宋体"/>
    </x:font>
    <x:font>
      <x:sz val="9"/>
      <x:color rgb="FF0032FF"/>
      <x:name val="SimSun"/>
    </x:font>
    <x:font>
      <x:sz val="10"/>
      <x:color rgb="FF4F81BD"/>
      <x:name val="MS PGothic"/>
    </x:font>
    <x:font>
      <x:sz val="10"/>
      <x:color rgb="FF0032FF"/>
      <x:name val="MS PGothic"/>
    </x:font>
    <x:font>
      <x:sz val="10"/>
      <x:color rgb="FF000000"/>
      <x:name val="ＭＳ Ｐゴシック"/>
    </x:font>
    <x:font>
      <x:sz val="10"/>
      <x:color rgb="FF000000"/>
      <x:name val="Malgun Gothic Semilight"/>
    </x:font>
    <x:font>
      <x:sz val="11"/>
      <x:color rgb="FF000000"/>
      <x:name val="Dotum"/>
    </x:font>
    <x:font>
      <x:b/>
      <x:i/>
      <x:sz val="11"/>
      <x:color rgb="FF000000"/>
      <x:name val="MS PGothic"/>
    </x:font>
    <x:font>
      <x:b/>
      <x:sz val="11"/>
      <x:color rgb="FF0000FF"/>
      <x:name val="ＭＳ ゴシック"/>
    </x:font>
    <x:font>
      <x:sz val="11"/>
      <x:color rgb="FFC0504D"/>
      <x:name val="ＭＳ ゴシック"/>
    </x:font>
    <x:font>
      <x:sz val="11"/>
      <x:color rgb="FF77933C"/>
      <x:name val="ＭＳ ゴシック"/>
    </x:font>
    <x:font>
      <x:sz val="11"/>
      <x:color rgb="FF0032FF"/>
      <x:name val="MS PGothic"/>
    </x:font>
    <x:font>
      <x:sz val="11"/>
      <x:color rgb="FF000000"/>
      <x:name val="Arial"/>
    </x:font>
    <x:font>
      <x:sz val="10"/>
      <x:color rgb="FF000000"/>
      <x:name val="MS PGothic"/>
    </x:font>
    <x:font>
      <x:sz val="10"/>
      <x:color rgb="FF0032FF"/>
      <x:name val="MS PGothic"/>
    </x:font>
    <x:font>
      <x:sz val="11"/>
      <x:color rgb="FF4F81BD"/>
      <x:name val="MS PGothic"/>
    </x:font>
    <x:font>
      <x:b/>
      <x:i/>
      <x:sz val="11"/>
      <x:color rgb="FF000000"/>
      <x:name val="宋体"/>
    </x:font>
    <x:font>
      <x:b/>
      <x:i/>
      <x:sz val="11"/>
      <x:color rgb="FF000000"/>
      <x:name val="MS PGothic"/>
    </x:font>
    <x:font>
      <x:sz val="10"/>
      <x:color rgb="FF000000"/>
      <x:name val="Calibri"/>
    </x:font>
    <x:font>
      <x:sz val="10"/>
      <x:color rgb="FF000000"/>
      <x:name val="MS PGothic"/>
    </x:font>
    <x:font>
      <x:sz val="11"/>
      <x:color rgb="FF000000"/>
      <x:name val="ＭＳ Ｐゴシック"/>
    </x:font>
    <x:font>
      <x:b/>
      <x:sz val="11"/>
      <x:color rgb="FF0000FF"/>
      <x:name val="ＭＳ Ｐゴシック"/>
    </x:font>
    <x:font>
      <x:sz val="11"/>
      <x:color rgb="FFC0504D"/>
      <x:name val="ＭＳ Ｐゴシック"/>
    </x:font>
    <x:font>
      <x:sz val="11"/>
      <x:color rgb="FF77933C"/>
      <x:name val="ＭＳ Ｐゴシック"/>
    </x:font>
    <x:font>
      <x:b/>
      <x:i/>
      <x:sz val="11"/>
      <x:color rgb="FF000000"/>
      <x:name val="ＭＳ Ｐゴシック"/>
    </x:font>
    <x:font>
      <x:sz val="10"/>
      <x:color rgb="FF000000"/>
      <x:name val="Malgun Gothic Semilight"/>
    </x:font>
    <x:font>
      <x:sz val="11"/>
      <x:name val="ＭＳ Ｐゴシック"/>
    </x:font>
    <x:font>
      <x:sz val="11"/>
      <x:color rgb="FF4F81BD"/>
      <x:name val="ＭＳ Ｐゴシック"/>
    </x:font>
    <x:font>
      <x:sz val="10"/>
      <x:color rgb="FF000000"/>
      <x:name val="Dotum"/>
    </x:font>
    <x:font>
      <x:sz val="10"/>
      <x:color rgb="FF000000"/>
      <x:name val="돋움"/>
    </x:font>
    <x:font>
      <x:sz val="11"/>
      <x:color rgb="FF000000"/>
      <x:name val="Calibri"/>
    </x:font>
  </x:fonts>
  <x:fills count="13">
    <x:fill>
      <x:patternFill patternType="none"/>
    </x:fill>
    <x:fill>
      <x:patternFill patternType="gray125"/>
    </x:fill>
    <x:fill>
      <x:patternFill patternType="solid">
        <x:fgColor rgb="FFBFBFBF"/>
      </x:patternFill>
    </x:fill>
    <x:fill>
      <x:patternFill patternType="solid">
        <x:fgColor rgb="FFFFFFFF"/>
      </x:patternFill>
    </x:fill>
    <x:fill>
      <x:patternFill patternType="solid">
        <x:fgColor rgb="FFFDEADA"/>
      </x:patternFill>
    </x:fill>
    <x:fill>
      <x:patternFill patternType="solid">
        <x:fgColor rgb="FFFFFFCC"/>
      </x:patternFill>
    </x:fill>
    <x:fill>
      <x:patternFill patternType="solid">
        <x:fgColor rgb="FFFFFFE0"/>
      </x:patternFill>
    </x:fill>
    <x:fill>
      <x:patternFill patternType="solid">
        <x:fgColor rgb="FFFFFFD7"/>
      </x:patternFill>
    </x:fill>
    <x:fill>
      <x:patternFill patternType="solid">
        <x:fgColor rgb="FFB2B2B2"/>
      </x:patternFill>
    </x:fill>
    <x:fill>
      <x:patternFill patternType="solid">
        <x:fgColor rgb="FFEEEEEE"/>
      </x:patternFill>
    </x:fill>
    <x:fill>
      <x:patternFill patternType="solid">
        <x:fgColor rgb="FFFFF2CC"/>
      </x:patternFill>
    </x:fill>
    <x:fill>
      <x:patternFill patternType="solid">
        <x:fgColor rgb="FFFFF2CC"/>
      </x:patternFill>
    </x:fill>
    <x:fill>
      <x:patternFill patternType="solid">
        <x:fgColor rgb="FFFFF2CC"/>
      </x:patternFill>
    </x:fill>
  </x:fills>
  <x:borders count="2">
    <x:border diagonalUp="0" diagonalDown="0"/>
    <x:border diagonalUp="0" diagonalDown="0">
      <x:left style="thin">
        <x:color rgb="FFCCCCCC"/>
      </x:left>
      <x:right style="thin">
        <x:color rgb="FFCCCCCC"/>
      </x:right>
      <x:top style="thin">
        <x:color rgb="FFCCCCCC"/>
      </x:top>
      <x:bottom style="thin">
        <x:color rgb="FFCCCCCC"/>
      </x:bottom>
    </x:border>
  </x:borders>
  <x:cellStyleXfs count="24">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0"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cellStyleXfs>
  <x:cellXfs count="500">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5" fontId="7" fillId="0" borderId="0" xfId="0" applyFont="1" applyBorder="0" applyAlignment="1">
      <x:alignment horizontal="general" vertical="center" wrapText="0"/>
    </x:xf>
    <x:xf numFmtId="165" fontId="7" fillId="2" borderId="0" xfId="0" applyFont="1" applyBorder="1" applyAlignment="1">
      <x:alignment horizontal="general" vertical="center" wrapText="0"/>
    </x:xf>
    <x:xf numFmtId="165" fontId="7" fillId="0" borderId="0" xfId="0" applyFont="1" applyBorder="0" applyAlignment="1">
      <x:alignment horizontal="general" vertical="center" wrapText="1"/>
    </x:xf>
    <x:xf numFmtId="164" fontId="7" fillId="0" borderId="0" xfId="0" applyFont="1" applyBorder="0" applyAlignment="1">
      <x:alignment horizontal="general" vertical="center" wrapText="0"/>
    </x:xf>
    <x:xf numFmtId="165" fontId="8" fillId="0" borderId="0" xfId="0" applyFont="1" applyBorder="0" applyAlignment="1">
      <x:alignment horizontal="general" vertical="top" wrapText="0"/>
    </x:xf>
    <x:xf numFmtId="165" fontId="9" fillId="0" borderId="0" xfId="0" applyFont="1" applyBorder="0" applyAlignment="1">
      <x:alignment horizontal="general" vertical="center" wrapText="0"/>
    </x:xf>
    <x:xf numFmtId="165" fontId="0" fillId="0" borderId="1" xfId="0" applyFont="1" applyBorder="1" applyAlignment="1">
      <x:alignment horizontal="general" vertical="center" wrapText="1"/>
    </x:xf>
    <x:xf numFmtId="164" fontId="10" fillId="0" borderId="0" xfId="0" applyFont="1" applyBorder="0" applyAlignment="1">
      <x:alignment horizontal="general" vertical="center" wrapText="0"/>
    </x:xf>
    <x:xf numFmtId="164" fontId="11" fillId="0" borderId="0" xfId="21" applyFont="1" applyBorder="0" applyAlignment="1">
      <x:alignment horizontal="general" vertical="center" wrapText="0"/>
    </x:xf>
    <x:xf numFmtId="164" fontId="12" fillId="0" borderId="0" xfId="21" applyFont="1" applyBorder="0" applyAlignment="1">
      <x:alignment horizontal="general" vertical="center" wrapText="0"/>
    </x:xf>
    <x:xf numFmtId="165" fontId="8" fillId="0" borderId="0" xfId="0" applyFont="1" applyBorder="0" applyAlignment="1">
      <x:alignment horizontal="general" vertical="top" wrapText="1"/>
    </x:xf>
    <x:xf numFmtId="165" fontId="9" fillId="0" borderId="0" xfId="0" applyFont="1" applyBorder="0" applyAlignment="1">
      <x:alignment horizontal="general" vertical="center" wrapText="1"/>
    </x:xf>
    <x:xf numFmtId="165" fontId="5" fillId="0" borderId="1" xfId="0" applyFont="1" applyBorder="1" applyAlignment="1">
      <x:alignment horizontal="general" vertical="center" wrapText="1"/>
    </x:xf>
    <x:xf numFmtId="165" fontId="13" fillId="0" borderId="0" xfId="0" applyFont="1" applyBorder="0" applyAlignment="1">
      <x:alignment horizontal="general" vertical="center" wrapText="0"/>
    </x:xf>
    <x:xf numFmtId="165" fontId="14" fillId="0" borderId="0" xfId="0" applyFont="1" applyBorder="0" applyAlignment="1">
      <x:alignment horizontal="general" vertical="center" wrapText="0"/>
    </x:xf>
    <x:xf numFmtId="165" fontId="15" fillId="0" borderId="0" xfId="0" applyFont="1" applyBorder="0" applyAlignment="1">
      <x:alignment horizontal="general" vertical="top" wrapText="1"/>
    </x:xf>
    <x:xf numFmtId="164" fontId="16" fillId="0" borderId="0" xfId="0" applyFont="1" applyBorder="0" applyAlignment="1">
      <x:alignment horizontal="general" vertical="bottom" wrapText="0"/>
    </x:xf>
    <x:xf numFmtId="164" fontId="19" fillId="0" borderId="0" xfId="0" applyFont="1" applyBorder="0" applyAlignment="1">
      <x:alignment horizontal="general" vertical="bottom" wrapText="0"/>
    </x:xf>
    <x:xf numFmtId="164" fontId="21" fillId="0" borderId="0" xfId="0" applyFont="1" applyBorder="0" applyAlignment="1">
      <x:alignment horizontal="general" vertical="bottom" wrapText="1"/>
    </x:xf>
    <x:xf numFmtId="164" fontId="22" fillId="0" borderId="0" xfId="0" applyFont="1" applyBorder="0" applyAlignment="1">
      <x:alignment horizontal="general" vertical="bottom" wrapText="1"/>
    </x:xf>
    <x:xf numFmtId="164" fontId="16" fillId="0" borderId="0" xfId="0" applyFont="1" applyBorder="0" applyAlignment="1">
      <x:alignment horizontal="general" vertical="bottom" wrapText="1"/>
    </x:xf>
    <x:xf numFmtId="164" fontId="19" fillId="0" borderId="0" xfId="0" applyFont="1" applyBorder="0" applyAlignment="1">
      <x:alignment horizontal="general" vertical="bottom" wrapText="1"/>
    </x:xf>
    <x:xf numFmtId="164" fontId="23" fillId="0" borderId="0" xfId="0" applyFont="1" applyBorder="0" applyAlignment="1">
      <x:alignment horizontal="general" vertical="center" wrapText="0"/>
    </x:xf>
    <x:xf numFmtId="164" fontId="6" fillId="0" borderId="0" xfId="0" applyFont="1" applyBorder="0" applyAlignment="1">
      <x:alignment horizontal="general" vertical="bottom" wrapText="0"/>
    </x:xf>
    <x:xf numFmtId="164" fontId="24" fillId="0" borderId="0" xfId="0" applyFont="1" applyBorder="0" applyAlignment="1">
      <x:alignment horizontal="general" vertical="bottom" wrapText="1"/>
    </x:xf>
    <x:xf numFmtId="164" fontId="25" fillId="0" borderId="0" xfId="0" applyFont="1" applyBorder="0" applyAlignment="1">
      <x:alignment horizontal="general" vertical="bottom" wrapText="1"/>
    </x:xf>
    <x:xf numFmtId="164" fontId="9" fillId="0" borderId="0" xfId="0" applyFont="1" applyBorder="0" applyAlignment="1">
      <x:alignment horizontal="general" vertical="center" wrapText="1"/>
    </x:xf>
    <x:xf numFmtId="165" fontId="27" fillId="0" borderId="1" xfId="0" applyFont="1" applyBorder="1" applyAlignment="1">
      <x:alignment horizontal="general" vertical="center" wrapText="1"/>
    </x:xf>
    <x:xf numFmtId="164" fontId="28" fillId="0" borderId="0" xfId="0" applyFont="1" applyBorder="0" applyAlignment="1">
      <x:alignment horizontal="general" vertical="center" wrapText="0"/>
    </x:xf>
    <x:xf numFmtId="164" fontId="29" fillId="0" borderId="0" xfId="0" applyFont="1" applyBorder="0" applyAlignment="1">
      <x:alignment horizontal="general" vertical="center" wrapText="0"/>
    </x:xf>
    <x:xf numFmtId="164" fontId="30" fillId="0" borderId="1" xfId="0" applyFont="1" applyBorder="1" applyAlignment="1">
      <x:alignment horizontal="general" vertical="center" wrapText="1"/>
    </x:xf>
    <x:xf numFmtId="164" fontId="31" fillId="0" borderId="0" xfId="0" applyFont="1" applyBorder="0" applyAlignment="1">
      <x:alignment horizontal="general" vertical="bottom" wrapText="0"/>
    </x:xf>
    <x:xf numFmtId="164" fontId="28" fillId="0" borderId="0" xfId="0" applyFont="1" applyBorder="0" applyAlignment="1">
      <x:alignment horizontal="general" vertical="center" wrapText="1"/>
    </x:xf>
    <x:xf numFmtId="164" fontId="29" fillId="0" borderId="0" xfId="0" applyFont="1" applyBorder="0" applyAlignment="1">
      <x:alignment horizontal="general" vertical="center" wrapText="1"/>
    </x:xf>
    <x:xf numFmtId="164" fontId="17" fillId="0" borderId="0" xfId="0" applyFont="1" applyBorder="0" applyAlignment="1">
      <x:alignment horizontal="general" vertical="bottom" wrapText="1"/>
    </x:xf>
    <x:xf numFmtId="164" fontId="9" fillId="0" borderId="0" xfId="0" applyFont="1" applyBorder="0" applyAlignment="1">
      <x:alignment horizontal="general" vertical="center" wrapText="0"/>
    </x:xf>
    <x:xf numFmtId="165" fontId="7" fillId="3" borderId="0" xfId="0" applyFont="1" applyBorder="1" applyAlignment="1">
      <x:alignment horizontal="general" vertical="center" wrapText="0"/>
    </x:xf>
    <x:xf numFmtId="164" fontId="33" fillId="0" borderId="0" xfId="0" applyFont="1" applyBorder="0" applyAlignment="1">
      <x:alignment horizontal="general" vertical="bottom" wrapText="1"/>
    </x:xf>
    <x:xf numFmtId="164" fontId="34" fillId="0" borderId="0" xfId="0" applyFont="1" applyBorder="0" applyAlignment="1">
      <x:alignment horizontal="general" vertical="center" wrapText="1"/>
    </x:xf>
    <x:xf numFmtId="164" fontId="8" fillId="0" borderId="0" xfId="0" applyFont="1" applyBorder="0" applyAlignment="1">
      <x:alignment horizontal="general" vertical="top" wrapText="0"/>
    </x:xf>
    <x:xf numFmtId="164" fontId="35" fillId="3" borderId="0" xfId="0" applyFont="1" applyBorder="1" applyAlignment="1">
      <x:alignment horizontal="general" vertical="bottom" wrapText="0"/>
    </x:xf>
    <x:xf numFmtId="164" fontId="9" fillId="0" borderId="0" xfId="0" applyFont="1" applyBorder="0" applyAlignment="1">
      <x:alignment horizontal="general" vertical="bottom" wrapText="1"/>
    </x:xf>
    <x:xf numFmtId="165" fontId="36" fillId="0" borderId="0" xfId="0" applyFont="1" applyBorder="0" applyAlignment="1">
      <x:alignment horizontal="general" vertical="top" wrapText="1"/>
    </x:xf>
    <x:xf numFmtId="164" fontId="39" fillId="0" borderId="0" xfId="0" applyFont="1" applyBorder="0" applyAlignment="1">
      <x:alignment horizontal="general" vertical="center" wrapText="1"/>
    </x:xf>
    <x:xf numFmtId="164" fontId="31" fillId="0" borderId="0" xfId="0" applyFont="1" applyBorder="0" applyAlignment="1">
      <x:alignment horizontal="general" vertical="bottom" wrapText="1"/>
    </x:xf>
    <x:xf numFmtId="165" fontId="43" fillId="0" borderId="1" xfId="0" applyFont="1" applyBorder="1" applyAlignment="1">
      <x:alignment horizontal="general" vertical="center" wrapText="1"/>
    </x:xf>
    <x:xf numFmtId="164" fontId="6" fillId="0" borderId="0" xfId="0" applyFont="1" applyBorder="0" applyAlignment="1">
      <x:alignment horizontal="general" vertical="bottom" wrapText="1"/>
    </x:xf>
    <x:xf numFmtId="164" fontId="25" fillId="0" borderId="0" xfId="0" applyFont="1" applyBorder="0" applyAlignment="1">
      <x:alignment horizontal="general" vertical="bottom" wrapText="0"/>
    </x:xf>
    <x:xf numFmtId="164" fontId="35" fillId="0" borderId="0" xfId="0" applyFont="1" applyBorder="0" applyAlignment="1">
      <x:alignment horizontal="general" vertical="bottom" wrapText="0"/>
    </x:xf>
    <x:xf numFmtId="164" fontId="18" fillId="0" borderId="0" xfId="0" applyFont="1" applyBorder="0" applyAlignment="1">
      <x:alignment horizontal="general" vertical="bottom" wrapText="1"/>
    </x:xf>
    <x:xf numFmtId="164" fontId="44" fillId="0" borderId="0" xfId="0" applyFont="1" applyBorder="0" applyAlignment="1">
      <x:alignment horizontal="general" vertical="center" wrapText="1"/>
    </x:xf>
    <x:xf numFmtId="164" fontId="20" fillId="0" borderId="0" xfId="0" applyFont="1" applyBorder="0" applyAlignment="1">
      <x:alignment horizontal="general" vertical="bottom" wrapText="1"/>
    </x:xf>
    <x:xf numFmtId="164" fontId="44" fillId="0" borderId="0" xfId="0" applyFont="1" applyBorder="0" applyAlignment="1">
      <x:alignment horizontal="general" vertical="center" wrapText="0"/>
    </x:xf>
    <x:xf numFmtId="164" fontId="45" fillId="0" borderId="0" xfId="0" applyFont="1" applyBorder="0" applyAlignment="1">
      <x:alignment horizontal="general" vertical="center" wrapText="0"/>
    </x:xf>
    <x:xf numFmtId="164" fontId="18" fillId="0" borderId="0" xfId="0" applyFont="1" applyBorder="0" applyAlignment="1">
      <x:alignment horizontal="general" vertical="bottom" wrapText="0"/>
    </x:xf>
    <x:xf numFmtId="164" fontId="46" fillId="0" borderId="0" xfId="0" applyFont="1" applyBorder="0" applyAlignment="1">
      <x:alignment horizontal="general" vertical="bottom" wrapText="1"/>
    </x:xf>
    <x:xf numFmtId="164" fontId="41" fillId="0" borderId="0" xfId="0" applyFont="1" applyBorder="0" applyAlignment="1">
      <x:alignment horizontal="general" vertical="center" wrapText="1"/>
    </x:xf>
    <x:xf numFmtId="164" fontId="47" fillId="0" borderId="0" xfId="0" applyFont="1" applyBorder="0" applyAlignment="1">
      <x:alignment horizontal="general" vertical="center" wrapText="1"/>
    </x:xf>
    <x:xf numFmtId="165" fontId="39" fillId="0" borderId="0" xfId="0" applyFont="1" applyBorder="0" applyAlignment="1">
      <x:alignment horizontal="general" vertical="center" wrapText="0"/>
    </x:xf>
    <x:xf numFmtId="164" fontId="48" fillId="0" borderId="0" xfId="0" applyFont="1" applyBorder="0" applyAlignment="1">
      <x:alignment horizontal="general" vertical="bottom" wrapText="1"/>
    </x:xf>
    <x:xf numFmtId="164" fontId="14" fillId="0" borderId="0" xfId="0" applyFont="1" applyBorder="0" applyAlignment="1">
      <x:alignment horizontal="general" vertical="center" wrapText="1"/>
    </x:xf>
    <x:xf numFmtId="164" fontId="0" fillId="0" borderId="0" xfId="0" applyFont="1" applyBorder="0" applyAlignment="1">
      <x:alignment horizontal="general" vertical="center" wrapText="0"/>
    </x:xf>
    <x:xf numFmtId="165" fontId="40" fillId="0" borderId="0" xfId="0" applyFont="1" applyBorder="0" applyAlignment="1">
      <x:alignment horizontal="general" vertical="center" wrapText="0"/>
    </x:xf>
    <x:xf numFmtId="165" fontId="49" fillId="0" borderId="0" xfId="0" applyFont="1" applyBorder="0" applyAlignment="1">
      <x:alignment horizontal="general" vertical="top" wrapText="1"/>
    </x:xf>
    <x:xf numFmtId="165" fontId="13" fillId="2" borderId="0" xfId="0" applyFont="1" applyBorder="1" applyAlignment="1">
      <x:alignment horizontal="general" vertical="center" wrapText="0"/>
    </x:xf>
    <x:xf numFmtId="165" fontId="13" fillId="0" borderId="0" xfId="0" applyFont="1" applyBorder="0" applyAlignment="1">
      <x:alignment horizontal="general" vertical="center" wrapText="1"/>
    </x:xf>
    <x:xf numFmtId="165" fontId="44" fillId="0" borderId="0" xfId="0" applyFont="1" applyBorder="0" applyAlignment="1">
      <x:alignment horizontal="general" vertical="center" wrapText="1"/>
    </x:xf>
    <x:xf numFmtId="164" fontId="34" fillId="0" borderId="0" xfId="0" applyFont="1" applyBorder="0" applyAlignment="1">
      <x:alignment horizontal="general" vertical="center" wrapText="0"/>
    </x:xf>
    <x:xf numFmtId="164" fontId="8" fillId="0" borderId="0" xfId="0" applyFont="1" applyBorder="0" applyAlignment="1">
      <x:alignment horizontal="general" vertical="top" wrapText="1"/>
    </x:xf>
    <x:xf numFmtId="164" fontId="50" fillId="0" borderId="0" xfId="0" applyFont="1" applyBorder="0" applyAlignment="1">
      <x:alignment horizontal="general" vertical="bottom" wrapText="1"/>
    </x:xf>
    <x:xf numFmtId="164" fontId="51" fillId="0" borderId="0" xfId="0" applyFont="1" applyBorder="0" applyAlignment="1">
      <x:alignment horizontal="general" vertical="bottom" wrapText="0"/>
    </x:xf>
    <x:xf numFmtId="164" fontId="23" fillId="0" borderId="0" xfId="0" applyFont="1" applyBorder="0" applyAlignment="1">
      <x:alignment horizontal="general" vertical="center" wrapText="1"/>
    </x:xf>
    <x:xf numFmtId="165" fontId="40" fillId="0" borderId="0" xfId="0" applyFont="1" applyBorder="0" applyAlignment="1">
      <x:alignment horizontal="general" vertical="center" wrapText="1"/>
    </x:xf>
    <x:xf numFmtId="164" fontId="52" fillId="0" borderId="0" xfId="0" applyFont="1" applyBorder="0" applyAlignment="1">
      <x:alignment horizontal="general" vertical="bottom" wrapText="1"/>
    </x:xf>
    <x:xf numFmtId="164" fontId="55" fillId="3" borderId="0" xfId="0" applyFont="1" applyBorder="1" applyAlignment="1">
      <x:alignment horizontal="left" vertical="bottom" wrapText="1"/>
    </x:xf>
    <x:xf numFmtId="165" fontId="56" fillId="0" borderId="0" xfId="0" applyFont="1" applyBorder="0" applyAlignment="1">
      <x:alignment horizontal="general" vertical="center" wrapText="0"/>
    </x:xf>
    <x:xf numFmtId="165" fontId="0" fillId="0" borderId="0" xfId="0" applyFont="1" applyBorder="0" applyAlignment="1">
      <x:alignment horizontal="general" vertical="center" wrapText="0"/>
    </x:xf>
    <x:xf numFmtId="164" fontId="5" fillId="0" borderId="0" xfId="0" applyFont="1" applyBorder="0" applyAlignment="1">
      <x:alignment horizontal="general" vertical="center" wrapText="0"/>
    </x:xf>
    <x:xf numFmtId="164" fontId="20" fillId="0" borderId="0" xfId="0" applyFont="1" applyBorder="0" applyAlignment="1">
      <x:alignment horizontal="general" vertical="bottom" wrapText="0"/>
    </x:xf>
    <x:xf numFmtId="164" fontId="57" fillId="0" borderId="0" xfId="0" applyFont="1" applyBorder="0" applyAlignment="1">
      <x:alignment horizontal="general" vertical="top" wrapText="0"/>
    </x:xf>
    <x:xf numFmtId="164" fontId="6" fillId="0" borderId="0" xfId="0" applyFont="1" applyBorder="0" applyAlignment="1">
      <x:alignment horizontal="general" vertical="center" wrapText="0"/>
    </x:xf>
    <x:xf numFmtId="164" fontId="19" fillId="0" borderId="0" xfId="0" applyFont="1" applyBorder="0" applyAlignment="1">
      <x:alignment horizontal="left" vertical="bottom" wrapText="1"/>
    </x:xf>
    <x:xf numFmtId="165" fontId="0" fillId="0" borderId="0" xfId="0" applyFont="1" applyBorder="0" applyAlignment="1">
      <x:alignment horizontal="general" vertical="bottom" wrapText="0"/>
    </x:xf>
    <x:xf numFmtId="165" fontId="7" fillId="0" borderId="0" xfId="21" applyFont="1" applyBorder="0" applyAlignment="1">
      <x:alignment horizontal="general" vertical="center" wrapText="0"/>
    </x:xf>
    <x:xf numFmtId="164" fontId="5" fillId="0" borderId="0" xfId="21" applyFont="1" applyBorder="0" applyAlignment="1">
      <x:alignment horizontal="general" vertical="center" wrapText="0"/>
    </x:xf>
    <x:xf numFmtId="164" fontId="57" fillId="0" borderId="0" xfId="21" applyFont="1" applyBorder="0" applyAlignment="1">
      <x:alignment horizontal="general" vertical="center" wrapText="0"/>
    </x:xf>
    <x:xf numFmtId="165" fontId="62" fillId="0" borderId="0" xfId="21" applyFont="1" applyBorder="1" applyAlignment="1">
      <x:alignment horizontal="general" vertical="top" wrapText="0"/>
    </x:xf>
    <x:xf numFmtId="165" fontId="7" fillId="2" borderId="0" xfId="21" applyFont="1" applyBorder="1" applyAlignment="1">
      <x:alignment horizontal="general" vertical="center" wrapText="0"/>
    </x:xf>
    <x:xf numFmtId="165" fontId="7" fillId="0" borderId="0" xfId="21" applyFont="1" applyBorder="0" applyAlignment="1">
      <x:alignment horizontal="general" vertical="center" wrapText="1"/>
    </x:xf>
    <x:xf numFmtId="164" fontId="7" fillId="0" borderId="0" xfId="21" applyFont="1" applyBorder="0" applyAlignment="1">
      <x:alignment horizontal="general" vertical="center" wrapText="0"/>
    </x:xf>
    <x:xf numFmtId="165" fontId="9" fillId="0" borderId="0" xfId="21" applyFont="1" applyBorder="0" applyAlignment="1">
      <x:alignment horizontal="general" vertical="center" wrapText="0"/>
    </x:xf>
    <x:xf numFmtId="165" fontId="63" fillId="0" borderId="0" xfId="21" applyFont="1" applyBorder="0" applyAlignment="1">
      <x:alignment horizontal="general" vertical="center" wrapText="0"/>
    </x:xf>
    <x:xf numFmtId="165" fontId="63" fillId="0" borderId="0" xfId="21" applyFont="1" applyBorder="0" applyAlignment="1">
      <x:alignment horizontal="general" vertical="center" wrapText="1"/>
    </x:xf>
    <x:xf numFmtId="165" fontId="62" fillId="0" borderId="0" xfId="21" applyFont="1" applyBorder="1" applyAlignment="1">
      <x:alignment horizontal="general" vertical="top" wrapText="1"/>
    </x:xf>
    <x:xf numFmtId="165" fontId="9" fillId="0" borderId="0" xfId="21" applyFont="1" applyBorder="0" applyAlignment="1">
      <x:alignment horizontal="general" vertical="center" wrapText="1"/>
    </x:xf>
    <x:xf numFmtId="165" fontId="5" fillId="0" borderId="1" xfId="21" applyFont="1" applyBorder="1" applyAlignment="1">
      <x:alignment horizontal="general" vertical="center" wrapText="1"/>
    </x:xf>
    <x:xf numFmtId="164" fontId="10" fillId="0" borderId="0" xfId="21" applyFont="1" applyBorder="0" applyAlignment="1">
      <x:alignment horizontal="general" vertical="center" wrapText="0"/>
    </x:xf>
    <x:xf numFmtId="164" fontId="22" fillId="0" borderId="0" xfId="21" applyFont="1" applyBorder="0" applyAlignment="1">
      <x:alignment horizontal="general" vertical="bottom" wrapText="1"/>
    </x:xf>
    <x:xf numFmtId="164" fontId="23" fillId="0" borderId="0" xfId="21" applyFont="1" applyBorder="0" applyAlignment="1">
      <x:alignment horizontal="general" vertical="center" wrapText="0"/>
    </x:xf>
    <x:xf numFmtId="164" fontId="64" fillId="0" borderId="0" xfId="21" applyFont="1" applyBorder="0" applyAlignment="1">
      <x:alignment horizontal="general" vertical="center" wrapText="1"/>
    </x:xf>
    <x:xf numFmtId="164" fontId="28" fillId="0" borderId="0" xfId="21" applyFont="1" applyBorder="0" applyAlignment="1">
      <x:alignment horizontal="general" vertical="center" wrapText="1"/>
    </x:xf>
    <x:xf numFmtId="164" fontId="65" fillId="0" borderId="0" xfId="21" applyFont="1" applyBorder="0" applyAlignment="1">
      <x:alignment horizontal="general" vertical="center" wrapText="1"/>
    </x:xf>
    <x:xf numFmtId="164" fontId="30" fillId="0" borderId="1" xfId="21" applyFont="1" applyBorder="1" applyAlignment="1">
      <x:alignment horizontal="general" vertical="center" wrapText="1"/>
    </x:xf>
    <x:xf numFmtId="164" fontId="67" fillId="0" borderId="0" xfId="21" applyFont="1" applyBorder="0" applyAlignment="1">
      <x:alignment horizontal="general" vertical="bottom" wrapText="1"/>
    </x:xf>
    <x:xf numFmtId="164" fontId="9" fillId="0" borderId="0" xfId="21" applyFont="1" applyBorder="0" applyAlignment="1">
      <x:alignment horizontal="general" vertical="center" wrapText="1"/>
    </x:xf>
    <x:xf numFmtId="164" fontId="16" fillId="0" borderId="0" xfId="21" applyFont="1" applyBorder="0" applyAlignment="1">
      <x:alignment horizontal="general" vertical="bottom" wrapText="1"/>
    </x:xf>
    <x:xf numFmtId="165" fontId="68" fillId="0" borderId="0" xfId="21" applyFont="1" applyBorder="1" applyAlignment="1">
      <x:alignment horizontal="general" vertical="top" wrapText="1"/>
    </x:xf>
    <x:xf numFmtId="164" fontId="69" fillId="0" borderId="0" xfId="21" applyFont="1" applyBorder="0" applyAlignment="1">
      <x:alignment horizontal="general" vertical="bottom" wrapText="1"/>
    </x:xf>
    <x:xf numFmtId="165" fontId="5" fillId="0" borderId="0" xfId="21" applyFont="1" applyBorder="0" applyAlignment="1">
      <x:alignment horizontal="general" vertical="center" wrapText="0"/>
    </x:xf>
    <x:xf numFmtId="165" fontId="70" fillId="0" borderId="0" xfId="21" applyFont="1" applyBorder="0" applyAlignment="1">
      <x:alignment horizontal="general" vertical="center" wrapText="0"/>
    </x:xf>
    <x:xf numFmtId="164" fontId="28" fillId="0" borderId="0" xfId="21" applyFont="1" applyBorder="0" applyAlignment="1">
      <x:alignment horizontal="general" vertical="center" wrapText="0"/>
    </x:xf>
    <x:xf numFmtId="164" fontId="5" fillId="0" borderId="0" xfId="21" applyFont="1" applyBorder="0" applyAlignment="1">
      <x:alignment horizontal="general" vertical="center" wrapText="1"/>
    </x:xf>
    <x:xf numFmtId="164" fontId="27" fillId="0" borderId="0" xfId="21" applyFont="1" applyBorder="0" applyAlignment="1">
      <x:alignment horizontal="general" vertical="center" wrapText="0"/>
    </x:xf>
    <x:xf numFmtId="165" fontId="40" fillId="0" borderId="0" xfId="21" applyFont="1" applyBorder="0" applyAlignment="1">
      <x:alignment horizontal="general" vertical="center" wrapText="0"/>
    </x:xf>
    <x:xf numFmtId="165" fontId="72" fillId="0" borderId="0" xfId="21" applyFont="1" applyBorder="0" applyAlignment="1">
      <x:alignment horizontal="general" vertical="top" wrapText="0"/>
    </x:xf>
    <x:xf numFmtId="165" fontId="40" fillId="2" borderId="0" xfId="21" applyFont="1" applyBorder="1" applyAlignment="1">
      <x:alignment horizontal="general" vertical="center" wrapText="0"/>
    </x:xf>
    <x:xf numFmtId="165" fontId="40" fillId="0" borderId="0" xfId="21" applyFont="1" applyBorder="0" applyAlignment="1">
      <x:alignment horizontal="general" vertical="center" wrapText="1"/>
    </x:xf>
    <x:xf numFmtId="164" fontId="40" fillId="0" borderId="0" xfId="21" applyFont="1" applyBorder="0" applyAlignment="1">
      <x:alignment horizontal="general" vertical="center" wrapText="0"/>
    </x:xf>
    <x:xf numFmtId="165" fontId="42" fillId="0" borderId="0" xfId="21" applyFont="1" applyBorder="0" applyAlignment="1">
      <x:alignment horizontal="general" vertical="center" wrapText="1"/>
    </x:xf>
    <x:xf numFmtId="165" fontId="72" fillId="0" borderId="0" xfId="21" applyFont="1" applyBorder="0" applyAlignment="1">
      <x:alignment horizontal="general" vertical="top" wrapText="1"/>
    </x:xf>
    <x:xf numFmtId="165" fontId="41" fillId="0" borderId="0" xfId="0" applyFont="1" applyBorder="1" applyAlignment="1">
      <x:alignment horizontal="general" vertical="center" wrapText="0"/>
    </x:xf>
    <x:xf numFmtId="165" fontId="73" fillId="0" borderId="0" xfId="21" applyFont="1" applyBorder="0" applyAlignment="1">
      <x:alignment horizontal="general" vertical="top" wrapText="1"/>
    </x:xf>
    <x:xf numFmtId="165" fontId="14" fillId="0" borderId="0" xfId="0" applyFont="1" applyBorder="0" applyAlignment="1">
      <x:alignment horizontal="left" vertical="center" wrapText="1"/>
    </x:xf>
    <x:xf numFmtId="164" fontId="41" fillId="0" borderId="0" xfId="0" applyFont="1" applyBorder="1" applyAlignment="1">
      <x:alignment horizontal="general" vertical="bottom" wrapText="0"/>
    </x:xf>
    <x:xf numFmtId="164" fontId="40" fillId="0" borderId="0" xfId="21" applyFont="1" applyBorder="0" applyAlignment="1">
      <x:alignment horizontal="left" vertical="bottom" wrapText="1"/>
    </x:xf>
    <x:xf numFmtId="165" fontId="41" fillId="0" borderId="0" xfId="0" applyFont="1" applyBorder="0" applyAlignment="1">
      <x:alignment horizontal="left" vertical="center" wrapText="1"/>
    </x:xf>
    <x:xf numFmtId="164" fontId="72" fillId="0" borderId="0" xfId="21" applyFont="1" applyBorder="0" applyAlignment="1">
      <x:alignment horizontal="general" vertical="top" wrapText="1"/>
    </x:xf>
    <x:xf numFmtId="165" fontId="75" fillId="0" borderId="0" xfId="0" applyFont="1" applyBorder="0" applyAlignment="1">
      <x:alignment horizontal="left" vertical="center" wrapText="1"/>
    </x:xf>
    <x:xf numFmtId="164" fontId="40" fillId="0" borderId="0" xfId="21" applyFont="1" applyBorder="0" applyAlignment="1">
      <x:alignment horizontal="general" vertical="bottom" wrapText="0"/>
    </x:xf>
    <x:xf numFmtId="165" fontId="78" fillId="0" borderId="0" xfId="21" applyFont="1" applyBorder="0" applyAlignment="1">
      <x:alignment horizontal="general" vertical="center" wrapText="1"/>
    </x:xf>
    <x:xf numFmtId="165" fontId="72" fillId="0" borderId="0" xfId="0" applyFont="1" applyBorder="0" applyAlignment="1">
      <x:alignment horizontal="general" vertical="top" wrapText="0"/>
    </x:xf>
    <x:xf numFmtId="164" fontId="40" fillId="0" borderId="0" xfId="0" applyFont="1" applyBorder="0" applyAlignment="1">
      <x:alignment horizontal="general" vertical="bottom" wrapText="0"/>
    </x:xf>
    <x:xf numFmtId="165" fontId="40" fillId="0" borderId="0" xfId="0" applyFont="1" applyBorder="1" applyAlignment="1">
      <x:alignment horizontal="general" vertical="center" wrapText="0"/>
    </x:xf>
    <x:xf numFmtId="165" fontId="40" fillId="3" borderId="0" xfId="0" applyFont="1" applyBorder="0" applyAlignment="1">
      <x:alignment horizontal="general" vertical="center" wrapText="0"/>
    </x:xf>
    <x:xf numFmtId="165" fontId="42" fillId="0" borderId="0" xfId="0" applyFont="1" applyBorder="0" applyAlignment="1">
      <x:alignment horizontal="general" vertical="center" wrapText="1"/>
    </x:xf>
    <x:xf numFmtId="165" fontId="72" fillId="0" borderId="0" xfId="0" applyFont="1" applyBorder="0" applyAlignment="1">
      <x:alignment horizontal="general" vertical="top" wrapText="1"/>
    </x:xf>
    <x:xf numFmtId="164" fontId="40" fillId="0" borderId="0" xfId="0" applyFont="1" applyBorder="0" applyAlignment="1">
      <x:alignment horizontal="left" vertical="bottom" wrapText="1"/>
    </x:xf>
    <x:xf numFmtId="165" fontId="40" fillId="3" borderId="0" xfId="0" applyFont="1" applyBorder="1" applyAlignment="1">
      <x:alignment horizontal="general" vertical="center" wrapText="0"/>
    </x:xf>
    <x:xf numFmtId="165" fontId="40" fillId="3" borderId="0" xfId="0" applyFont="1" applyBorder="1" applyAlignment="1">
      <x:alignment horizontal="general" vertical="center" wrapText="1"/>
    </x:xf>
    <x:xf numFmtId="164" fontId="27" fillId="0" borderId="0" xfId="0" applyFont="1" applyBorder="0" applyAlignment="1">
      <x:alignment horizontal="general" vertical="center" wrapText="0"/>
    </x:xf>
    <x:xf numFmtId="165" fontId="40" fillId="2" borderId="0" xfId="0" applyFont="1" applyBorder="1" applyAlignment="1">
      <x:alignment horizontal="general" vertical="center" wrapText="0"/>
    </x:xf>
    <x:xf numFmtId="164" fontId="40" fillId="0" borderId="0" xfId="0" applyFont="1" applyBorder="0" applyAlignment="1">
      <x:alignment horizontal="left" vertical="bottom" wrapText="0"/>
    </x:xf>
    <x:xf numFmtId="165" fontId="77" fillId="0" borderId="0" xfId="0" applyFont="1" applyBorder="0" applyAlignment="1">
      <x:alignment horizontal="general" vertical="top" wrapText="1"/>
    </x:xf>
    <x:xf numFmtId="165" fontId="40" fillId="4" borderId="0" xfId="0" applyFont="1" applyBorder="0" applyAlignment="1">
      <x:alignment horizontal="general" vertical="center" wrapText="0"/>
    </x:xf>
    <x:xf numFmtId="165" fontId="72" fillId="4" borderId="0" xfId="0" applyFont="1" applyBorder="0" applyAlignment="1">
      <x:alignment horizontal="general" vertical="top" wrapText="0"/>
    </x:xf>
    <x:xf numFmtId="164" fontId="40" fillId="4" borderId="0" xfId="0" applyFont="1" applyBorder="0" applyAlignment="1">
      <x:alignment horizontal="general" vertical="bottom" wrapText="0"/>
    </x:xf>
    <x:xf numFmtId="165" fontId="40" fillId="4" borderId="0" xfId="0" applyFont="1" applyBorder="1" applyAlignment="1">
      <x:alignment horizontal="general" vertical="center" wrapText="0"/>
    </x:xf>
    <x:xf numFmtId="165" fontId="42" fillId="4" borderId="0" xfId="0" applyFont="1" applyBorder="0" applyAlignment="1">
      <x:alignment horizontal="general" vertical="center" wrapText="1"/>
    </x:xf>
    <x:xf numFmtId="165" fontId="72" fillId="4" borderId="0" xfId="0" applyFont="1" applyBorder="0" applyAlignment="1">
      <x:alignment horizontal="general" vertical="top" wrapText="1"/>
    </x:xf>
    <x:xf numFmtId="165" fontId="40" fillId="4" borderId="0" xfId="0" applyFont="1" applyBorder="0" applyAlignment="1">
      <x:alignment horizontal="general" vertical="center" wrapText="1"/>
    </x:xf>
    <x:xf numFmtId="165" fontId="77" fillId="4" borderId="0" xfId="0" applyFont="1" applyBorder="0" applyAlignment="1">
      <x:alignment horizontal="general" vertical="top" wrapText="1"/>
    </x:xf>
    <x:xf numFmtId="164" fontId="40" fillId="4" borderId="0" xfId="0" applyFont="1" applyBorder="0" applyAlignment="1">
      <x:alignment horizontal="left" vertical="bottom" wrapText="1"/>
    </x:xf>
    <x:xf numFmtId="164" fontId="42" fillId="0" borderId="0" xfId="0" applyFont="1" applyBorder="0" applyAlignment="1">
      <x:alignment horizontal="left" vertical="bottom" wrapText="1"/>
    </x:xf>
    <x:xf numFmtId="164" fontId="42" fillId="0" borderId="0" xfId="0" applyFont="1" applyBorder="0" applyAlignment="1">
      <x:alignment horizontal="general" vertical="bottom" wrapText="1"/>
    </x:xf>
    <x:xf numFmtId="165" fontId="27" fillId="0" borderId="0" xfId="0" applyFont="1" applyBorder="0" applyAlignment="1">
      <x:alignment horizontal="general" vertical="bottom" wrapText="0"/>
    </x:xf>
    <x:xf numFmtId="164" fontId="40" fillId="0" borderId="0" xfId="0" applyFont="1" applyBorder="0" applyAlignment="1">
      <x:alignment horizontal="general" vertical="center" wrapText="0"/>
    </x:xf>
    <x:xf numFmtId="165" fontId="79" fillId="0" borderId="0" xfId="0" applyFont="1" applyBorder="0" applyAlignment="1">
      <x:alignment horizontal="general" vertical="center" wrapText="0"/>
    </x:xf>
    <x:xf numFmtId="164" fontId="32" fillId="0" borderId="0" xfId="0" applyFont="1" applyBorder="0" applyAlignment="1">
      <x:alignment horizontal="general" vertical="bottom" wrapText="1"/>
    </x:xf>
    <x:xf numFmtId="164" fontId="40" fillId="0" borderId="0" xfId="0" applyFont="1" applyBorder="0" applyAlignment="1">
      <x:alignment horizontal="general" vertical="bottom" wrapText="1"/>
    </x:xf>
    <x:xf numFmtId="165" fontId="73" fillId="0" borderId="0" xfId="0" applyFont="1" applyBorder="0" applyAlignment="1">
      <x:alignment horizontal="general" vertical="top" wrapText="1"/>
    </x:xf>
    <x:xf numFmtId="164" fontId="72" fillId="0" borderId="0" xfId="21" applyFont="1" applyBorder="0" applyAlignment="1">
      <x:alignment horizontal="general" vertical="center" wrapText="0"/>
    </x:xf>
    <x:xf numFmtId="165" fontId="8" fillId="0" borderId="0" xfId="21" applyFont="1" applyBorder="0" applyAlignment="1">
      <x:alignment horizontal="general" vertical="top" wrapText="0"/>
    </x:xf>
    <x:xf numFmtId="164" fontId="6" fillId="0" borderId="0" xfId="21" applyFont="1" applyBorder="0" applyAlignment="1">
      <x:alignment horizontal="general" vertical="bottom" wrapText="0"/>
    </x:xf>
    <x:xf numFmtId="165" fontId="8" fillId="0" borderId="0" xfId="21" applyFont="1" applyBorder="0" applyAlignment="1">
      <x:alignment horizontal="general" vertical="top" wrapText="1"/>
    </x:xf>
    <x:xf numFmtId="164" fontId="9" fillId="0" borderId="0" xfId="21" applyFont="1" applyBorder="0" applyAlignment="1">
      <x:alignment horizontal="general" vertical="center" wrapText="0"/>
    </x:xf>
    <x:xf numFmtId="164" fontId="40" fillId="0" borderId="0" xfId="21" applyFont="1" applyBorder="0" applyAlignment="1">
      <x:alignment horizontal="left" vertical="bottom" wrapText="0"/>
    </x:xf>
    <x:xf numFmtId="165" fontId="40" fillId="4" borderId="0" xfId="21" applyFont="1" applyBorder="0" applyAlignment="1">
      <x:alignment horizontal="general" vertical="center" wrapText="0"/>
    </x:xf>
    <x:xf numFmtId="165" fontId="72" fillId="4" borderId="0" xfId="21" applyFont="1" applyBorder="0" applyAlignment="1">
      <x:alignment horizontal="general" vertical="top" wrapText="0"/>
    </x:xf>
    <x:xf numFmtId="164" fontId="40" fillId="4" borderId="0" xfId="21" applyFont="1" applyBorder="0" applyAlignment="1">
      <x:alignment horizontal="general" vertical="bottom" wrapText="0"/>
    </x:xf>
    <x:xf numFmtId="165" fontId="40" fillId="4" borderId="0" xfId="21" applyFont="1" applyBorder="1" applyAlignment="1">
      <x:alignment horizontal="general" vertical="center" wrapText="0"/>
    </x:xf>
    <x:xf numFmtId="165" fontId="42" fillId="4" borderId="0" xfId="21" applyFont="1" applyBorder="0" applyAlignment="1">
      <x:alignment horizontal="general" vertical="center" wrapText="1"/>
    </x:xf>
    <x:xf numFmtId="165" fontId="72" fillId="4" borderId="0" xfId="21" applyFont="1" applyBorder="0" applyAlignment="1">
      <x:alignment horizontal="general" vertical="top" wrapText="1"/>
    </x:xf>
    <x:xf numFmtId="165" fontId="40" fillId="4" borderId="0" xfId="21" applyFont="1" applyBorder="0" applyAlignment="1">
      <x:alignment horizontal="general" vertical="center" wrapText="1"/>
    </x:xf>
    <x:xf numFmtId="164" fontId="40" fillId="4" borderId="0" xfId="21" applyFont="1" applyBorder="0" applyAlignment="1">
      <x:alignment horizontal="left" vertical="bottom" wrapText="1"/>
    </x:xf>
    <x:xf numFmtId="165" fontId="5" fillId="0" borderId="0" xfId="21" applyFont="1" applyBorder="0" applyAlignment="1">
      <x:alignment horizontal="general" vertical="bottom" wrapText="0"/>
    </x:xf>
    <x:xf numFmtId="164" fontId="21" fillId="0" borderId="0" xfId="21" applyFont="1" applyBorder="0" applyAlignment="1">
      <x:alignment horizontal="general" vertical="bottom" wrapText="1"/>
    </x:xf>
    <x:xf numFmtId="164" fontId="6" fillId="0" borderId="0" xfId="21" applyFont="1" applyBorder="0" applyAlignment="1">
      <x:alignment horizontal="general" vertical="bottom" wrapText="1"/>
    </x:xf>
    <x:xf numFmtId="164" fontId="40" fillId="0" borderId="0" xfId="21" applyFont="1" applyBorder="0" applyAlignment="1">
      <x:alignment horizontal="general" vertical="bottom" wrapText="1"/>
    </x:xf>
    <x:xf numFmtId="165" fontId="77" fillId="0" borderId="0" xfId="21" applyFont="1" applyBorder="0" applyAlignment="1">
      <x:alignment horizontal="general" vertical="top" wrapText="1"/>
    </x:xf>
    <x:xf numFmtId="165" fontId="80" fillId="0" borderId="0" xfId="21" applyFont="1" applyBorder="0" applyAlignment="1">
      <x:alignment horizontal="general" vertical="center" wrapText="1"/>
    </x:xf>
    <x:xf numFmtId="164" fontId="42" fillId="0" borderId="0" xfId="21" applyFont="1" applyBorder="0" applyAlignment="1">
      <x:alignment horizontal="general" vertical="bottom" wrapText="1"/>
    </x:xf>
    <x:xf numFmtId="165" fontId="5" fillId="0" borderId="0" xfId="21" applyFont="1" applyBorder="1" applyAlignment="1">
      <x:alignment horizontal="general" vertical="center" wrapText="1"/>
    </x:xf>
    <x:xf numFmtId="165" fontId="81" fillId="0" borderId="0" xfId="21" applyFont="1" applyBorder="0" applyAlignment="1">
      <x:alignment horizontal="general" vertical="center" wrapText="0"/>
    </x:xf>
    <x:xf numFmtId="165" fontId="54" fillId="0" borderId="0" xfId="21" applyFont="1" applyBorder="0" applyAlignment="1">
      <x:alignment horizontal="general" vertical="center" wrapText="1"/>
    </x:xf>
    <x:xf numFmtId="165" fontId="82" fillId="0" borderId="0" xfId="21" applyFont="1" applyBorder="0" applyAlignment="1">
      <x:alignment horizontal="general" vertical="center" wrapText="1"/>
    </x:xf>
    <x:xf numFmtId="165" fontId="8" fillId="0" borderId="0" xfId="21" applyFont="1" applyBorder="0" applyAlignment="1">
      <x:alignment horizontal="general" vertical="center" wrapText="0"/>
    </x:xf>
    <x:xf numFmtId="165" fontId="54" fillId="0" borderId="0" xfId="0" applyFont="1" applyBorder="0" applyAlignment="1">
      <x:alignment horizontal="general" vertical="center" wrapText="1"/>
    </x:xf>
    <x:xf numFmtId="165" fontId="83" fillId="0" borderId="0" xfId="0" applyFont="1" applyBorder="0" applyAlignment="1">
      <x:alignment horizontal="general" vertical="center" wrapText="1"/>
    </x:xf>
    <x:xf numFmtId="165" fontId="7" fillId="0" borderId="0" xfId="0" applyFont="1" applyBorder="1" applyAlignment="1">
      <x:alignment horizontal="general" vertical="center" wrapText="1"/>
    </x:xf>
    <x:xf numFmtId="164" fontId="7" fillId="0" borderId="0" xfId="0" applyFont="1" applyBorder="1" applyAlignment="1">
      <x:alignment horizontal="left" vertical="bottom" wrapText="1"/>
    </x:xf>
    <x:xf numFmtId="164" fontId="83" fillId="0" borderId="0" xfId="21" applyFont="1" applyBorder="0" applyAlignment="1">
      <x:alignment horizontal="general" vertical="bottom" wrapText="1"/>
    </x:xf>
    <x:xf numFmtId="165" fontId="60" fillId="0" borderId="0" xfId="0" applyFont="1" applyBorder="1" applyAlignment="1">
      <x:alignment horizontal="general" vertical="center" wrapText="1"/>
    </x:xf>
    <x:xf numFmtId="165" fontId="84" fillId="0" borderId="0" xfId="21" applyFont="1" applyBorder="0" applyAlignment="1">
      <x:alignment horizontal="general" vertical="center" wrapText="1"/>
    </x:xf>
    <x:xf numFmtId="165" fontId="7" fillId="0" borderId="0" xfId="0" applyFont="1" applyBorder="1" applyAlignment="1">
      <x:alignment horizontal="general" vertical="center" wrapText="0"/>
    </x:xf>
    <x:xf numFmtId="165" fontId="85" fillId="0" borderId="0" xfId="21" applyFont="1" applyBorder="0" applyAlignment="1">
      <x:alignment horizontal="general" vertical="center" wrapText="1"/>
    </x:xf>
    <x:xf numFmtId="165" fontId="7" fillId="5" borderId="0" xfId="21" applyFont="1" applyBorder="0" applyAlignment="1">
      <x:alignment horizontal="general" vertical="center" wrapText="1"/>
    </x:xf>
    <x:xf numFmtId="165" fontId="42" fillId="5" borderId="0" xfId="21" applyFont="1" applyBorder="0" applyAlignment="1">
      <x:alignment horizontal="general" vertical="center" wrapText="1"/>
    </x:xf>
    <x:xf numFmtId="165" fontId="7" fillId="5" borderId="0" xfId="0" applyFont="1" applyBorder="1" applyAlignment="1">
      <x:alignment horizontal="general" vertical="center" wrapText="1"/>
    </x:xf>
    <x:xf numFmtId="164" fontId="6" fillId="5" borderId="0" xfId="0" applyFont="1" applyBorder="1" applyAlignment="1">
      <x:alignment horizontal="general" vertical="bottom" wrapText="0"/>
    </x:xf>
    <x:xf numFmtId="165" fontId="8" fillId="5" borderId="0" xfId="21" applyFont="1" applyBorder="0" applyAlignment="1">
      <x:alignment horizontal="general" vertical="top" wrapText="1"/>
    </x:xf>
    <x:xf numFmtId="164" fontId="6" fillId="5" borderId="0" xfId="0" applyFont="1" applyBorder="1" applyAlignment="1">
      <x:alignment horizontal="general" vertical="bottom" wrapText="1"/>
    </x:xf>
    <x:xf numFmtId="165" fontId="86" fillId="0" borderId="1" xfId="21" applyFont="1" applyBorder="1" applyAlignment="1">
      <x:alignment horizontal="general" vertical="center" wrapText="1"/>
    </x:xf>
    <x:xf numFmtId="165" fontId="7" fillId="4" borderId="0" xfId="21" applyFont="1" applyBorder="0" applyAlignment="1">
      <x:alignment horizontal="general" vertical="center" wrapText="0"/>
    </x:xf>
    <x:xf numFmtId="165" fontId="8" fillId="4" borderId="0" xfId="21" applyFont="1" applyBorder="0" applyAlignment="1">
      <x:alignment horizontal="general" vertical="top" wrapText="0"/>
    </x:xf>
    <x:xf numFmtId="164" fontId="23" fillId="4" borderId="0" xfId="21" applyFont="1" applyBorder="0" applyAlignment="1">
      <x:alignment horizontal="general" vertical="center" wrapText="0"/>
    </x:xf>
    <x:xf numFmtId="165" fontId="7" fillId="4" borderId="0" xfId="21" applyFont="1" applyBorder="1" applyAlignment="1">
      <x:alignment horizontal="general" vertical="center" wrapText="0"/>
    </x:xf>
    <x:xf numFmtId="165" fontId="7" fillId="4" borderId="0" xfId="21" applyFont="1" applyBorder="0" applyAlignment="1">
      <x:alignment horizontal="general" vertical="center" wrapText="1"/>
    </x:xf>
    <x:xf numFmtId="164" fontId="9" fillId="4" borderId="0" xfId="21" applyFont="1" applyBorder="0" applyAlignment="1">
      <x:alignment horizontal="general" vertical="center" wrapText="1"/>
    </x:xf>
    <x:xf numFmtId="165" fontId="5" fillId="4" borderId="1" xfId="21" applyFont="1" applyBorder="1" applyAlignment="1">
      <x:alignment horizontal="general" vertical="center" wrapText="1"/>
    </x:xf>
    <x:xf numFmtId="164" fontId="10" fillId="4" borderId="0" xfId="21" applyFont="1" applyBorder="0" applyAlignment="1">
      <x:alignment horizontal="general" vertical="center" wrapText="0"/>
    </x:xf>
    <x:xf numFmtId="164" fontId="11" fillId="4" borderId="0" xfId="21" applyFont="1" applyBorder="0" applyAlignment="1">
      <x:alignment horizontal="general" vertical="center" wrapText="0"/>
    </x:xf>
    <x:xf numFmtId="164" fontId="12" fillId="4" borderId="0" xfId="21" applyFont="1" applyBorder="0" applyAlignment="1">
      <x:alignment horizontal="general" vertical="center" wrapText="0"/>
    </x:xf>
    <x:xf numFmtId="164" fontId="5" fillId="4" borderId="0" xfId="21" applyFont="1" applyBorder="0" applyAlignment="1">
      <x:alignment horizontal="general" vertical="center" wrapText="0"/>
    </x:xf>
    <x:xf numFmtId="164" fontId="7" fillId="0" borderId="0" xfId="21" applyFont="1" applyBorder="0" applyAlignment="1">
      <x:alignment horizontal="general" vertical="center" wrapText="1"/>
    </x:xf>
    <x:xf numFmtId="165" fontId="87" fillId="0" borderId="0" xfId="0" applyFont="1" applyBorder="0" applyAlignment="1">
      <x:alignment horizontal="general" vertical="center" wrapText="0"/>
    </x:xf>
    <x:xf numFmtId="164" fontId="88" fillId="5" borderId="0" xfId="0" applyFont="1" applyBorder="0" applyAlignment="1">
      <x:alignment horizontal="general" vertical="bottom" wrapText="0"/>
    </x:xf>
    <x:xf numFmtId="164" fontId="6" fillId="5" borderId="0" xfId="0" applyFont="1" applyBorder="0" applyAlignment="1">
      <x:alignment horizontal="general" vertical="bottom" wrapText="0"/>
    </x:xf>
    <x:xf numFmtId="164" fontId="8" fillId="5" borderId="0" xfId="21" applyFont="1" applyBorder="0" applyAlignment="1">
      <x:alignment horizontal="general" vertical="top" wrapText="1"/>
    </x:xf>
    <x:xf numFmtId="164" fontId="22" fillId="5" borderId="0" xfId="0" applyFont="1" applyBorder="0" applyAlignment="1">
      <x:alignment horizontal="general" vertical="bottom" wrapText="0"/>
    </x:xf>
    <x:xf numFmtId="165" fontId="36" fillId="0" borderId="0" xfId="21" applyFont="1" applyBorder="0" applyAlignment="1">
      <x:alignment horizontal="general" vertical="top" wrapText="0"/>
    </x:xf>
    <x:xf numFmtId="165" fontId="39" fillId="0" borderId="0" xfId="21" applyFont="1" applyBorder="0" applyAlignment="1">
      <x:alignment horizontal="general" vertical="center" wrapText="0"/>
    </x:xf>
    <x:xf numFmtId="165" fontId="36" fillId="6" borderId="0" xfId="21" applyFont="1" applyBorder="0" applyAlignment="1">
      <x:alignment horizontal="general" vertical="top" wrapText="1"/>
    </x:xf>
    <x:xf numFmtId="165" fontId="36" fillId="0" borderId="0" xfId="21" applyFont="1" applyBorder="0" applyAlignment="1">
      <x:alignment horizontal="general" vertical="top" wrapText="1"/>
    </x:xf>
    <x:xf numFmtId="165" fontId="7" fillId="6" borderId="0" xfId="21" applyFont="1" applyBorder="0" applyAlignment="1">
      <x:alignment horizontal="general" vertical="center" wrapText="1"/>
    </x:xf>
    <x:xf numFmtId="164" fontId="42" fillId="6" borderId="0" xfId="21" applyFont="1" applyBorder="0" applyAlignment="1">
      <x:alignment horizontal="left" vertical="bottom" wrapText="1"/>
    </x:xf>
    <x:xf numFmtId="164" fontId="19" fillId="0" borderId="0" xfId="21" applyFont="1" applyBorder="0" applyAlignment="1">
      <x:alignment horizontal="left" vertical="bottom" wrapText="1"/>
    </x:xf>
    <x:xf numFmtId="164" fontId="89" fillId="0" borderId="0" xfId="21" applyFont="1" applyBorder="0" applyAlignment="1">
      <x:alignment horizontal="general" vertical="center" wrapText="0"/>
    </x:xf>
    <x:xf numFmtId="164" fontId="39" fillId="5" borderId="0" xfId="21" applyFont="1" applyBorder="0" applyAlignment="1">
      <x:alignment horizontal="general" vertical="center" wrapText="1"/>
    </x:xf>
    <x:xf numFmtId="164" fontId="71" fillId="0" borderId="0" xfId="21" applyFont="1" applyBorder="0" applyAlignment="1">
      <x:alignment horizontal="general" vertical="bottom" wrapText="1"/>
    </x:xf>
    <x:xf numFmtId="164" fontId="44" fillId="0" borderId="0" xfId="21" applyFont="1" applyBorder="0" applyAlignment="1">
      <x:alignment horizontal="general" vertical="center" wrapText="1"/>
    </x:xf>
    <x:xf numFmtId="165" fontId="43" fillId="0" borderId="1" xfId="21" applyFont="1" applyBorder="1" applyAlignment="1">
      <x:alignment horizontal="general" vertical="center" wrapText="1"/>
    </x:xf>
    <x:xf numFmtId="164" fontId="91" fillId="0" borderId="0" xfId="21" applyFont="1" applyBorder="0" applyAlignment="1">
      <x:alignment horizontal="general" vertical="bottom" wrapText="1"/>
    </x:xf>
    <x:xf numFmtId="164" fontId="46" fillId="0" borderId="0" xfId="21" applyFont="1" applyBorder="0" applyAlignment="1">
      <x:alignment horizontal="general" vertical="bottom" wrapText="1"/>
    </x:xf>
    <x:xf numFmtId="164" fontId="39" fillId="5" borderId="0" xfId="21" applyFont="1" applyBorder="0" applyAlignment="1">
      <x:alignment horizontal="general" vertical="center" wrapText="0"/>
    </x:xf>
    <x:xf numFmtId="164" fontId="39" fillId="0" borderId="0" xfId="21" applyFont="1" applyBorder="0" applyAlignment="1">
      <x:alignment horizontal="general" vertical="center" wrapText="0"/>
    </x:xf>
    <x:xf numFmtId="164" fontId="42" fillId="0" borderId="0" xfId="21" applyFont="1" applyBorder="0" applyAlignment="1">
      <x:alignment horizontal="general" vertical="bottom" wrapText="0"/>
    </x:xf>
    <x:xf numFmtId="165" fontId="39" fillId="0" borderId="0" xfId="21" applyFont="1" applyBorder="0" applyAlignment="1">
      <x:alignment horizontal="general" vertical="center" wrapText="1"/>
    </x:xf>
    <x:xf numFmtId="165" fontId="39" fillId="5" borderId="0" xfId="21" applyFont="1" applyBorder="0" applyAlignment="1">
      <x:alignment horizontal="general" vertical="center" wrapText="1"/>
    </x:xf>
    <x:xf numFmtId="165" fontId="36" fillId="5" borderId="0" xfId="21" applyFont="1" applyBorder="0" applyAlignment="1">
      <x:alignment horizontal="general" vertical="top" wrapText="1"/>
    </x:xf>
    <x:xf numFmtId="164" fontId="6" fillId="0" borderId="0" xfId="21" applyFont="1" applyBorder="1" applyAlignment="1">
      <x:alignment horizontal="general" vertical="bottom" wrapText="0"/>
    </x:xf>
    <x:xf numFmtId="164" fontId="6" fillId="5" borderId="0" xfId="21" applyFont="1" applyBorder="1" applyAlignment="1">
      <x:alignment horizontal="general" vertical="bottom" wrapText="1"/>
    </x:xf>
    <x:xf numFmtId="165" fontId="27" fillId="0" borderId="0" xfId="21" applyFont="1" applyBorder="0" applyAlignment="1">
      <x:alignment horizontal="general" vertical="bottom" wrapText="0"/>
    </x:xf>
    <x:xf numFmtId="165" fontId="72" fillId="6" borderId="0" xfId="21" applyFont="1" applyBorder="0" applyAlignment="1">
      <x:alignment horizontal="general" vertical="top" wrapText="1"/>
    </x:xf>
    <x:xf numFmtId="165" fontId="72" fillId="5" borderId="0" xfId="21" applyFont="1" applyBorder="0" applyAlignment="1">
      <x:alignment horizontal="general" vertical="top" wrapText="1"/>
    </x:xf>
    <x:xf numFmtId="164" fontId="42" fillId="0" borderId="0" xfId="21" applyFont="1" applyBorder="0" applyAlignment="1">
      <x:alignment horizontal="general" vertical="center" wrapText="1"/>
    </x:xf>
    <x:xf numFmtId="165" fontId="77" fillId="6" borderId="0" xfId="21" applyFont="1" applyBorder="0" applyAlignment="1">
      <x:alignment horizontal="general" vertical="top" wrapText="1"/>
    </x:xf>
    <x:xf numFmtId="164" fontId="7" fillId="0" borderId="0" xfId="21" applyFont="1" applyBorder="0" applyAlignment="1">
      <x:alignment horizontal="general" vertical="bottom" wrapText="0"/>
    </x:xf>
    <x:xf numFmtId="165" fontId="54" fillId="0" borderId="0" xfId="21" applyFont="1" applyBorder="0" applyAlignment="1">
      <x:alignment horizontal="general" vertical="center" wrapText="0"/>
    </x:xf>
    <x:xf numFmtId="165" fontId="40" fillId="0" borderId="0" xfId="21" applyFont="1" applyBorder="1" applyAlignment="1">
      <x:alignment horizontal="general" vertical="center" wrapText="0"/>
    </x:xf>
    <x:xf numFmtId="165" fontId="36" fillId="0" borderId="0" xfId="0" applyFont="1" applyBorder="0" applyAlignment="1">
      <x:alignment horizontal="general" vertical="top" wrapText="0"/>
    </x:xf>
    <x:xf numFmtId="164" fontId="89" fillId="0" borderId="0" xfId="0" applyFont="1" applyBorder="0" applyAlignment="1">
      <x:alignment horizontal="general" vertical="center" wrapText="0"/>
    </x:xf>
    <x:xf numFmtId="165" fontId="36" fillId="5" borderId="0" xfId="0" applyFont="1" applyBorder="0" applyAlignment="1">
      <x:alignment horizontal="general" vertical="top" wrapText="1"/>
    </x:xf>
    <x:xf numFmtId="164" fontId="92" fillId="0" borderId="0" xfId="0" applyFont="1" applyBorder="0" applyAlignment="1">
      <x:alignment horizontal="general" vertical="center" wrapText="1"/>
    </x:xf>
    <x:xf numFmtId="165" fontId="5" fillId="5" borderId="1" xfId="0" applyFont="1" applyBorder="1" applyAlignment="1">
      <x:alignment horizontal="general" vertical="center" wrapText="1"/>
    </x:xf>
    <x:xf numFmtId="164" fontId="20" fillId="5" borderId="0" xfId="0" applyFont="1" applyBorder="0" applyAlignment="1">
      <x:alignment horizontal="general" vertical="bottom" wrapText="1"/>
    </x:xf>
    <x:xf numFmtId="164" fontId="93" fillId="0" borderId="0" xfId="0" applyFont="1" applyBorder="1" applyAlignment="1">
      <x:alignment horizontal="general" vertical="bottom" wrapText="0"/>
    </x:xf>
    <x:xf numFmtId="164" fontId="60" fillId="0" borderId="0" xfId="21" applyFont="1" applyBorder="0" applyAlignment="1">
      <x:alignment horizontal="general" vertical="center" wrapText="1"/>
    </x:xf>
    <x:xf numFmtId="164" fontId="39" fillId="0" borderId="0" xfId="21" applyFont="1" applyBorder="0" applyAlignment="1">
      <x:alignment horizontal="general" vertical="center" wrapText="1"/>
    </x:xf>
    <x:xf numFmtId="164" fontId="93" fillId="0" borderId="0" xfId="0" applyFont="1" applyBorder="1" applyAlignment="1">
      <x:alignment horizontal="general" vertical="bottom" wrapText="1"/>
    </x:xf>
    <x:xf numFmtId="165" fontId="36" fillId="5" borderId="0" xfId="21" applyFont="1" applyBorder="0" applyAlignment="1">
      <x:alignment horizontal="general" vertical="top" wrapText="0"/>
    </x:xf>
    <x:xf numFmtId="164" fontId="89" fillId="5" borderId="0" xfId="21" applyFont="1" applyBorder="0" applyAlignment="1">
      <x:alignment horizontal="general" vertical="center" wrapText="0"/>
    </x:xf>
    <x:xf numFmtId="164" fontId="0" fillId="0" borderId="0" xfId="0" applyFont="1" applyBorder="0" applyAlignment="1">
      <x:alignment horizontal="general" vertical="bottom" wrapText="1"/>
    </x:xf>
    <x:xf numFmtId="165" fontId="7" fillId="5" borderId="0" xfId="0" applyFont="1" applyBorder="0" applyAlignment="1">
      <x:alignment horizontal="general" vertical="center" wrapText="1"/>
    </x:xf>
    <x:xf numFmtId="164" fontId="74" fillId="0" borderId="0" xfId="21" applyFont="1" applyBorder="0" applyAlignment="1">
      <x:alignment horizontal="general" vertical="center" wrapText="1"/>
    </x:xf>
    <x:xf numFmtId="164" fontId="0" fillId="0" borderId="0" xfId="0" applyFont="1" applyBorder="0" applyAlignment="1">
      <x:alignment horizontal="general" vertical="bottom" wrapText="0"/>
    </x:xf>
    <x:xf numFmtId="165" fontId="78" fillId="5" borderId="0" xfId="21" applyFont="1" applyBorder="0" applyAlignment="1">
      <x:alignment horizontal="general" vertical="center" wrapText="1"/>
    </x:xf>
    <x:xf numFmtId="164" fontId="95" fillId="0" borderId="0" xfId="0" applyFont="1" applyBorder="0" applyAlignment="1">
      <x:alignment horizontal="general" vertical="bottom" wrapText="1"/>
    </x:xf>
    <x:xf numFmtId="164" fontId="18" fillId="5" borderId="0" xfId="0" applyFont="1" applyBorder="0" applyAlignment="1">
      <x:alignment horizontal="general" vertical="bottom" wrapText="1"/>
    </x:xf>
    <x:xf numFmtId="164" fontId="42" fillId="0" borderId="0" xfId="0" applyFont="1" applyBorder="0" applyAlignment="1">
      <x:alignment horizontal="general" vertical="center" wrapText="1"/>
    </x:xf>
    <x:xf numFmtId="165" fontId="7" fillId="7" borderId="0" xfId="21" applyFont="1" applyBorder="0" applyAlignment="1">
      <x:alignment horizontal="general" vertical="center" wrapText="0"/>
    </x:xf>
    <x:xf numFmtId="165" fontId="81" fillId="7" borderId="0" xfId="21" applyFont="1" applyBorder="0" applyAlignment="1">
      <x:alignment horizontal="general" vertical="center" wrapText="0"/>
    </x:xf>
    <x:xf numFmtId="165" fontId="40" fillId="7" borderId="0" xfId="21" applyFont="1" applyBorder="0" applyAlignment="1">
      <x:alignment horizontal="general" vertical="center" wrapText="0"/>
    </x:xf>
    <x:xf numFmtId="165" fontId="20" fillId="5" borderId="0" xfId="0" applyFont="1" applyBorder="0" applyAlignment="1">
      <x:alignment horizontal="general" vertical="center" wrapText="1"/>
    </x:xf>
    <x:xf numFmtId="164" fontId="6" fillId="0" borderId="0" xfId="0" applyFont="1" applyBorder="1" applyAlignment="1">
      <x:alignment horizontal="general" vertical="bottom" wrapText="0"/>
    </x:xf>
    <x:xf numFmtId="164" fontId="7" fillId="5" borderId="0" xfId="0" applyFont="1" applyBorder="0" applyAlignment="1">
      <x:alignment horizontal="general" vertical="center" wrapText="1"/>
    </x:xf>
    <x:xf numFmtId="164" fontId="6" fillId="0" borderId="0" xfId="0" applyFont="1" applyBorder="1" applyAlignment="1">
      <x:alignment horizontal="general" vertical="bottom" wrapText="1"/>
    </x:xf>
    <x:xf numFmtId="164" fontId="5" fillId="0" borderId="0" xfId="21" applyFont="1" applyBorder="0" applyAlignment="1">
      <x:alignment horizontal="general" vertical="bottom" wrapText="0"/>
    </x:xf>
    <x:xf numFmtId="165" fontId="7" fillId="7" borderId="0" xfId="21" applyFont="1" applyBorder="0" applyAlignment="1">
      <x:alignment horizontal="general" vertical="center" wrapText="1"/>
    </x:xf>
    <x:xf numFmtId="164" fontId="99" fillId="0" borderId="0" xfId="21" applyFont="1" applyBorder="0" applyAlignment="1">
      <x:alignment horizontal="general" vertical="bottom" wrapText="0"/>
    </x:xf>
    <x:xf numFmtId="165" fontId="93" fillId="0" borderId="0" xfId="0" applyFont="1" applyBorder="0" applyAlignment="1">
      <x:alignment horizontal="general" vertical="center" wrapText="0"/>
    </x:xf>
    <x:xf numFmtId="165" fontId="8" fillId="0" borderId="0" xfId="0" applyFont="1" applyBorder="0" applyAlignment="1">
      <x:alignment horizontal="general" vertical="center" wrapText="1"/>
    </x:xf>
    <x:xf numFmtId="165" fontId="93" fillId="0" borderId="0" xfId="0" applyFont="1" applyBorder="0" applyAlignment="1">
      <x:alignment horizontal="general" vertical="center" wrapText="1"/>
    </x:xf>
    <x:xf numFmtId="165" fontId="93" fillId="5" borderId="0" xfId="21" applyFont="1" applyBorder="0" applyAlignment="1">
      <x:alignment horizontal="general" vertical="top" wrapText="1"/>
    </x:xf>
    <x:xf numFmtId="165" fontId="7" fillId="0" borderId="0" xfId="21" applyFont="1" applyBorder="1" applyAlignment="1">
      <x:alignment horizontal="general" vertical="center" wrapText="0"/>
    </x:xf>
    <x:xf numFmtId="165" fontId="93" fillId="0" borderId="0" xfId="21" applyFont="1" applyBorder="0" applyAlignment="1">
      <x:alignment horizontal="general" vertical="top" wrapText="1"/>
    </x:xf>
    <x:xf numFmtId="165" fontId="93" fillId="7" borderId="0" xfId="0" applyFont="1" applyBorder="0" applyAlignment="1">
      <x:alignment horizontal="general" vertical="center" wrapText="0"/>
    </x:xf>
    <x:xf numFmtId="164" fontId="5" fillId="7" borderId="0" xfId="21" applyFont="1" applyBorder="0" applyAlignment="1">
      <x:alignment horizontal="general" vertical="bottom" wrapText="0"/>
    </x:xf>
    <x:xf numFmtId="164" fontId="0" fillId="7" borderId="0" xfId="0" applyFont="1" applyBorder="0" applyAlignment="1">
      <x:alignment horizontal="general" vertical="bottom" wrapText="0"/>
    </x:xf>
    <x:xf numFmtId="165" fontId="8" fillId="0" borderId="0" xfId="0" applyFont="1" applyBorder="0" applyAlignment="1">
      <x:alignment horizontal="general" vertical="center" wrapText="0"/>
    </x:xf>
    <x:xf numFmtId="165" fontId="103" fillId="0" borderId="0" xfId="0" applyFont="1" applyBorder="0" applyAlignment="1">
      <x:alignment horizontal="general" vertical="top" wrapText="0"/>
    </x:xf>
    <x:xf numFmtId="165" fontId="93" fillId="2" borderId="0" xfId="0" applyFont="1" applyBorder="1" applyAlignment="1">
      <x:alignment horizontal="general" vertical="center" wrapText="0"/>
    </x:xf>
    <x:xf numFmtId="164" fontId="93" fillId="0" borderId="0" xfId="0" applyFont="1" applyBorder="0" applyAlignment="1">
      <x:alignment horizontal="general" vertical="center" wrapText="0"/>
    </x:xf>
    <x:xf numFmtId="165" fontId="93" fillId="7" borderId="0" xfId="0" applyFont="1" applyBorder="1" applyAlignment="1">
      <x:alignment horizontal="general" vertical="center" wrapText="0"/>
    </x:xf>
    <x:xf numFmtId="165" fontId="104" fillId="7" borderId="0" xfId="0" applyFont="1" applyBorder="1" applyAlignment="1">
      <x:alignment horizontal="general" vertical="center" wrapText="0"/>
    </x:xf>
    <x:xf numFmtId="164" fontId="93" fillId="7" borderId="0" xfId="0" applyFont="1" applyBorder="0" applyAlignment="1">
      <x:alignment horizontal="general" vertical="center" wrapText="1"/>
    </x:xf>
    <x:xf numFmtId="164" fontId="105" fillId="0" borderId="0" xfId="0" applyFont="1" applyBorder="0" applyAlignment="1">
      <x:alignment horizontal="general" vertical="bottom" wrapText="1"/>
    </x:xf>
    <x:xf numFmtId="165" fontId="93" fillId="7" borderId="0" xfId="0" applyFont="1" applyBorder="1" applyAlignment="1">
      <x:alignment horizontal="general" vertical="center" wrapText="1"/>
    </x:xf>
    <x:xf numFmtId="164" fontId="106" fillId="0" borderId="0" xfId="0" applyFont="1" applyBorder="0" applyAlignment="1">
      <x:alignment horizontal="general" vertical="center" wrapText="0"/>
    </x:xf>
    <x:xf numFmtId="164" fontId="107" fillId="0" borderId="0" xfId="0" applyFont="1" applyBorder="0" applyAlignment="1">
      <x:alignment horizontal="general" vertical="center" wrapText="0"/>
    </x:xf>
    <x:xf numFmtId="164" fontId="108" fillId="0" borderId="0" xfId="0" applyFont="1" applyBorder="0" applyAlignment="1">
      <x:alignment horizontal="general" vertical="center" wrapText="0"/>
    </x:xf>
    <x:xf numFmtId="164" fontId="109" fillId="0" borderId="0" xfId="0" applyFont="1" applyBorder="0" applyAlignment="1">
      <x:alignment horizontal="general" vertical="bottom" wrapText="0"/>
    </x:xf>
    <x:xf numFmtId="164" fontId="93" fillId="0" borderId="0" xfId="0" applyFont="1" applyBorder="0" applyAlignment="1">
      <x:alignment horizontal="general" vertical="center" wrapText="1"/>
    </x:xf>
    <x:xf numFmtId="164" fontId="110" fillId="5" borderId="1" xfId="0" applyFont="1" applyBorder="1" applyAlignment="1">
      <x:alignment horizontal="general" vertical="center" wrapText="1"/>
    </x:xf>
    <x:xf numFmtId="164" fontId="112" fillId="5" borderId="0" xfId="0" applyFont="1" applyBorder="1" applyAlignment="1">
      <x:alignment horizontal="general" vertical="bottom" wrapText="1"/>
    </x:xf>
    <x:xf numFmtId="165" fontId="0" fillId="5" borderId="1" xfId="0" applyFont="1" applyBorder="1" applyAlignment="1">
      <x:alignment horizontal="general" vertical="center" wrapText="1"/>
    </x:xf>
    <x:xf numFmtId="164" fontId="46" fillId="5" borderId="0" xfId="0" applyFont="1" applyBorder="1" applyAlignment="1">
      <x:alignment horizontal="general" vertical="bottom" wrapText="1"/>
    </x:xf>
    <x:xf numFmtId="165" fontId="46" fillId="5" borderId="1" xfId="0" applyFont="1" applyBorder="1" applyAlignment="1">
      <x:alignment horizontal="general" vertical="center" wrapText="1"/>
    </x:xf>
    <x:xf numFmtId="165" fontId="104" fillId="0" borderId="0" xfId="0" applyFont="1" applyBorder="0" applyAlignment="1">
      <x:alignment horizontal="general" vertical="center" wrapText="0"/>
    </x:xf>
    <x:xf numFmtId="165" fontId="116" fillId="0" borderId="0" xfId="0" applyFont="1" applyBorder="0" applyAlignment="1">
      <x:alignment horizontal="general" vertical="center" wrapText="1"/>
    </x:xf>
    <x:xf numFmtId="164" fontId="109" fillId="0" borderId="0" xfId="0" applyFont="1" applyBorder="0" applyAlignment="1">
      <x:alignment horizontal="general" vertical="center" wrapText="0"/>
    </x:xf>
    <x:xf numFmtId="165" fontId="93" fillId="5" borderId="0" xfId="0" applyFont="1" applyBorder="1" applyAlignment="1">
      <x:alignment horizontal="general" vertical="center" wrapText="1"/>
    </x:xf>
    <x:xf numFmtId="164" fontId="118" fillId="5" borderId="0" xfId="0" applyFont="1" applyBorder="1" applyAlignment="1">
      <x:alignment horizontal="general" vertical="bottom" wrapText="1"/>
    </x:xf>
    <x:xf numFmtId="164" fontId="23" fillId="5" borderId="0" xfId="0" applyFont="1" applyBorder="1" applyAlignment="1">
      <x:alignment horizontal="general" vertical="center" wrapText="0"/>
    </x:xf>
    <x:xf numFmtId="164" fontId="103" fillId="0" borderId="0" xfId="0" applyFont="1" applyBorder="0" applyAlignment="1">
      <x:alignment horizontal="general" vertical="center" wrapText="0"/>
    </x:xf>
    <x:xf numFmtId="165" fontId="27" fillId="0" borderId="0" xfId="21" applyFont="1" applyBorder="0" applyAlignment="1">
      <x:alignment horizontal="general" vertical="center" wrapText="0"/>
    </x:xf>
    <x:xf numFmtId="165" fontId="27" fillId="0" borderId="0" xfId="21" applyFont="1" applyBorder="0" applyAlignment="1">
      <x:alignment horizontal="general" vertical="top" wrapText="0"/>
    </x:xf>
    <x:xf numFmtId="165" fontId="27" fillId="2" borderId="0" xfId="21" applyFont="1" applyBorder="1" applyAlignment="1">
      <x:alignment horizontal="general" vertical="center" wrapText="0"/>
    </x:xf>
    <x:xf numFmtId="165" fontId="27" fillId="0" borderId="0" xfId="21" applyFont="1" applyBorder="0" applyAlignment="1">
      <x:alignment horizontal="general" vertical="center" wrapText="1"/>
    </x:xf>
    <x:xf numFmtId="165" fontId="0" fillId="0" borderId="0" xfId="0" applyFont="1" applyBorder="1" applyAlignment="1">
      <x:alignment horizontal="general" vertical="center" wrapText="0"/>
    </x:xf>
    <x:xf numFmtId="165" fontId="0" fillId="0" borderId="0" xfId="0" applyFont="1" applyBorder="0" applyAlignment="1">
      <x:alignment horizontal="general" vertical="top" wrapText="0"/>
    </x:xf>
    <x:xf numFmtId="165" fontId="120" fillId="0" borderId="0" xfId="0" applyFont="1" applyBorder="1" applyAlignment="1">
      <x:alignment horizontal="general" vertical="center" wrapText="0"/>
    </x:xf>
    <x:xf numFmtId="165" fontId="0" fillId="7" borderId="0" xfId="0" applyFont="1" applyBorder="1" applyAlignment="1">
      <x:alignment horizontal="general" vertical="center" wrapText="0"/>
    </x:xf>
    <x:xf numFmtId="165" fontId="0" fillId="2" borderId="0" xfId="0" applyFont="1" applyBorder="1" applyAlignment="1">
      <x:alignment horizontal="general" vertical="center" wrapText="0"/>
    </x:xf>
    <x:xf numFmtId="165" fontId="0" fillId="0" borderId="0" xfId="0" applyFont="1" applyBorder="0" applyAlignment="1">
      <x:alignment horizontal="general" vertical="center" wrapText="1"/>
    </x:xf>
    <x:xf numFmtId="165" fontId="23" fillId="0" borderId="0" xfId="0" applyFont="1" applyBorder="0" applyAlignment="1">
      <x:alignment horizontal="general" vertical="top" wrapText="1"/>
    </x:xf>
    <x:xf numFmtId="164" fontId="0" fillId="0" borderId="0" xfId="0" applyFont="1" applyBorder="0" applyAlignment="1">
      <x:alignment horizontal="general" vertical="center" wrapText="1"/>
    </x:xf>
    <x:xf numFmtId="164" fontId="121" fillId="0" borderId="0" xfId="0" applyFont="1" applyBorder="0" applyAlignment="1">
      <x:alignment horizontal="general" vertical="bottom" wrapText="1"/>
    </x:xf>
    <x:xf numFmtId="165" fontId="0" fillId="0" borderId="0" xfId="0" applyFont="1" applyBorder="1" applyAlignment="1">
      <x:alignment horizontal="general" vertical="center" wrapText="1"/>
    </x:xf>
    <x:xf numFmtId="164" fontId="122" fillId="0" borderId="0" xfId="0" applyFont="1" applyBorder="0" applyAlignment="1">
      <x:alignment horizontal="general" vertical="center" wrapText="0"/>
    </x:xf>
    <x:xf numFmtId="164" fontId="123" fillId="0" borderId="0" xfId="0" applyFont="1" applyBorder="0" applyAlignment="1">
      <x:alignment horizontal="general" vertical="center" wrapText="0"/>
    </x:xf>
    <x:xf numFmtId="164" fontId="124" fillId="0" borderId="0" xfId="0" applyFont="1" applyBorder="0" applyAlignment="1">
      <x:alignment horizontal="general" vertical="center" wrapText="0"/>
    </x:xf>
    <x:xf numFmtId="165" fontId="23" fillId="0" borderId="0" xfId="0" applyFont="1" applyBorder="0" applyAlignment="1">
      <x:alignment horizontal="general" vertical="top" wrapText="0"/>
    </x:xf>
    <x:xf numFmtId="164" fontId="111" fillId="0" borderId="0" xfId="0" applyFont="1" applyBorder="0" applyAlignment="1">
      <x:alignment horizontal="general" vertical="bottom" wrapText="0"/>
    </x:xf>
    <x:xf numFmtId="164" fontId="110" fillId="0" borderId="1" xfId="0" applyFont="1" applyBorder="1" applyAlignment="1">
      <x:alignment horizontal="general" vertical="center" wrapText="1"/>
    </x:xf>
    <x:xf numFmtId="165" fontId="23" fillId="0" borderId="0" xfId="0" applyFont="1" applyBorder="0" applyAlignment="1">
      <x:alignment horizontal="general" vertical="center" wrapText="0"/>
    </x:xf>
    <x:xf numFmtId="164" fontId="111" fillId="0" borderId="0" xfId="0" applyFont="1" applyBorder="0" applyAlignment="1">
      <x:alignment horizontal="general" vertical="center" wrapText="0"/>
    </x:xf>
    <x:xf numFmtId="165" fontId="93" fillId="0" borderId="0" xfId="0" applyFont="1" applyBorder="1" applyAlignment="1">
      <x:alignment horizontal="general" vertical="center" wrapText="1"/>
    </x:xf>
    <x:xf numFmtId="165" fontId="129" fillId="0" borderId="0" xfId="0" applyFont="1" applyBorder="0" applyAlignment="1">
      <x:alignment horizontal="general" vertical="center" wrapText="1"/>
    </x:xf>
    <x:xf numFmtId="164" fontId="130" fillId="5" borderId="0" xfId="0" applyFont="1" applyBorder="1" applyAlignment="1">
      <x:alignment horizontal="general" vertical="bottom" wrapText="1"/>
    </x:xf>
    <x:xf numFmtId="165" fontId="5" fillId="3" borderId="0" xfId="0" applyFont="1" applyBorder="1" applyAlignment="1">
      <x:alignment horizontal="general" vertical="center" wrapText="0"/>
    </x:xf>
    <x:xf numFmtId="165" fontId="5" fillId="0" borderId="0" xfId="0" applyFont="1" applyBorder="0" applyAlignment="1">
      <x:alignment horizontal="general" vertical="center" wrapText="0"/>
    </x:xf>
    <x:xf numFmtId="165" fontId="5" fillId="0" borderId="0" xfId="0" applyFont="1" applyBorder="0" applyAlignment="1">
      <x:alignment horizontal="general" vertical="center" wrapText="1"/>
    </x:xf>
    <x:xf numFmtId="165" fontId="89" fillId="0" borderId="0" xfId="0" applyFont="1" applyBorder="0" applyAlignment="1">
      <x:alignment horizontal="general" vertical="top" wrapText="1"/>
    </x:xf>
    <x:xf numFmtId="164" fontId="89" fillId="0" borderId="0" xfId="0" applyFont="1" applyBorder="0" applyAlignment="1">
      <x:alignment horizontal="general" vertical="center" wrapText="1"/>
    </x:xf>
    <x:xf numFmtId="165" fontId="89" fillId="5" borderId="0" xfId="0" applyFont="1" applyBorder="0" applyAlignment="1">
      <x:alignment horizontal="general" vertical="top" wrapText="1"/>
    </x:xf>
    <x:xf numFmtId="164" fontId="131" fillId="0" borderId="0" xfId="0" applyFont="1" applyBorder="0" applyAlignment="1">
      <x:alignment horizontal="general" vertical="bottom" wrapText="1"/>
    </x:xf>
    <x:xf numFmtId="164" fontId="89" fillId="0" borderId="0" xfId="21" applyFont="1" applyBorder="0" applyAlignment="1">
      <x:alignment horizontal="general" vertical="center" wrapText="1"/>
    </x:xf>
    <x:xf numFmtId="165" fontId="120" fillId="0" borderId="0" xfId="0" applyFont="1" applyBorder="0" applyAlignment="1">
      <x:alignment horizontal="general" vertical="center" wrapText="0"/>
    </x:xf>
    <x:xf numFmtId="164" fontId="23" fillId="0" borderId="0" xfId="0" applyFont="1" applyBorder="1" applyAlignment="1">
      <x:alignment horizontal="general" vertical="center" wrapText="0"/>
    </x:xf>
    <x:xf numFmtId="165" fontId="0" fillId="7" borderId="0" xfId="0" applyFont="1" applyBorder="0" applyAlignment="1">
      <x:alignment horizontal="general" vertical="center" wrapText="1"/>
    </x:xf>
    <x:xf numFmtId="165" fontId="7" fillId="7" borderId="0" xfId="0" applyFont="1" applyBorder="0" applyAlignment="1">
      <x:alignment horizontal="general" vertical="center" wrapText="1"/>
    </x:xf>
    <x:xf numFmtId="165" fontId="5" fillId="7" borderId="0" xfId="0" applyFont="1" applyBorder="0" applyAlignment="1">
      <x:alignment horizontal="general" vertical="center" wrapText="1"/>
    </x:xf>
    <x:xf numFmtId="164" fontId="5" fillId="0" borderId="0" xfId="0" applyFont="1" applyBorder="0" applyAlignment="1">
      <x:alignment horizontal="general" vertical="bottom" wrapText="0"/>
    </x:xf>
    <x:xf numFmtId="164" fontId="5" fillId="0" borderId="0" xfId="0" applyFont="1" applyBorder="0" applyAlignment="1">
      <x:alignment horizontal="general" vertical="center" wrapText="1"/>
    </x:xf>
    <x:xf numFmtId="164" fontId="133" fillId="0" borderId="0" xfId="0" applyFont="1" applyBorder="0" applyAlignment="1">
      <x:alignment horizontal="general" vertical="center" wrapText="1"/>
    </x:xf>
    <x:xf numFmtId="164" fontId="97" fillId="7" borderId="0" xfId="0" applyFont="1" applyBorder="0" applyAlignment="1">
      <x:alignment horizontal="general" vertical="bottom" wrapText="0"/>
    </x:xf>
    <x:xf numFmtId="164" fontId="0" fillId="8" borderId="0" xfId="0" applyFont="1" applyBorder="0" applyAlignment="1">
      <x:alignment horizontal="general" vertical="bottom" wrapText="0"/>
    </x:xf>
    <x:xf numFmtId="165" fontId="0" fillId="8" borderId="0" xfId="0" applyFont="1" applyBorder="0" applyAlignment="1">
      <x:alignment horizontal="general" vertical="bottom" wrapText="0"/>
    </x:xf>
    <x:xf numFmtId="165" fontId="5" fillId="8" borderId="0" xfId="0" applyFont="1" applyBorder="0" applyAlignment="1">
      <x:alignment horizontal="general" vertical="center" wrapText="0"/>
    </x:xf>
    <x:xf numFmtId="165" fontId="5" fillId="8" borderId="0" xfId="0" applyFont="1" applyBorder="0" applyAlignment="1">
      <x:alignment horizontal="general" vertical="center" wrapText="1"/>
    </x:xf>
    <x:xf numFmtId="165" fontId="89" fillId="8" borderId="0" xfId="0" applyFont="1" applyBorder="0" applyAlignment="1">
      <x:alignment horizontal="general" vertical="top" wrapText="1"/>
    </x:xf>
    <x:xf numFmtId="164" fontId="89" fillId="8" borderId="0" xfId="0" applyFont="1" applyBorder="0" applyAlignment="1">
      <x:alignment horizontal="general" vertical="center" wrapText="1"/>
    </x:xf>
    <x:xf numFmtId="165" fontId="0" fillId="8" borderId="0" xfId="0" applyFont="1" applyBorder="0" applyAlignment="1">
      <x:alignment horizontal="general" vertical="center" wrapText="1"/>
    </x:xf>
    <x:xf numFmtId="164" fontId="131" fillId="8" borderId="0" xfId="0" applyFont="1" applyBorder="0" applyAlignment="1">
      <x:alignment horizontal="general" vertical="bottom" wrapText="1"/>
    </x:xf>
    <x:xf numFmtId="164" fontId="5" fillId="8" borderId="0" xfId="0" applyFont="1" applyBorder="0" applyAlignment="1">
      <x:alignment horizontal="general" vertical="center" wrapText="1"/>
    </x:xf>
    <x:xf numFmtId="165" fontId="0" fillId="8" borderId="0" xfId="0" applyFont="1" applyBorder="0" applyAlignment="1">
      <x:alignment horizontal="general" vertical="center" wrapText="0"/>
    </x:xf>
    <x:xf numFmtId="164" fontId="97" fillId="0" borderId="0" xfId="0" applyFont="1" applyBorder="0" applyAlignment="1">
      <x:alignment horizontal="general" vertical="bottom" wrapText="0"/>
    </x:xf>
    <x:xf numFmtId="164" fontId="134" fillId="0" borderId="0" xfId="21" applyFont="1" applyBorder="0" applyAlignment="1">
      <x:alignment horizontal="general" vertical="center" wrapText="0"/>
    </x:xf>
    <x:xf numFmtId="164" fontId="134" fillId="0" borderId="0" xfId="0" applyFont="1" applyBorder="0" applyAlignment="0">
      <x:alignment horizontal="general" vertical="bottom" wrapText="0"/>
    </x:xf>
    <x:xf numFmtId="165" fontId="134" fillId="0" borderId="0" xfId="21" applyFont="1" applyBorder="0" applyAlignment="1">
      <x:alignment horizontal="general" vertical="center" wrapText="0"/>
    </x:xf>
    <x:xf numFmtId="165" fontId="134" fillId="0" borderId="0" xfId="21" applyFont="1" applyBorder="0" applyAlignment="1">
      <x:alignment horizontal="general" vertical="top" wrapText="0"/>
    </x:xf>
    <x:xf numFmtId="165" fontId="134" fillId="2" borderId="0" xfId="21" applyFont="1" applyBorder="1" applyAlignment="1">
      <x:alignment horizontal="general" vertical="center" wrapText="0"/>
    </x:xf>
    <x:xf numFmtId="165" fontId="134" fillId="0" borderId="0" xfId="21" applyFont="1" applyBorder="0" applyAlignment="1">
      <x:alignment horizontal="general" vertical="center" wrapText="1"/>
    </x:xf>
    <x:xf numFmtId="164" fontId="134" fillId="0" borderId="0" xfId="0" applyFont="1" applyBorder="0" applyAlignment="1">
      <x:alignment horizontal="general" vertical="bottom" wrapText="0"/>
    </x:xf>
    <x:xf numFmtId="165" fontId="134" fillId="0" borderId="0" xfId="0" applyFont="1" applyBorder="0" applyAlignment="1">
      <x:alignment horizontal="general" vertical="bottom" wrapText="0"/>
    </x:xf>
    <x:xf numFmtId="164" fontId="134" fillId="0" borderId="0" xfId="0" applyFont="1" applyBorder="0" applyAlignment="1">
      <x:alignment horizontal="general" vertical="bottom" wrapText="1"/>
    </x:xf>
    <x:xf numFmtId="164" fontId="135" fillId="0" borderId="0" xfId="0" applyFont="1" applyBorder="0" applyAlignment="1">
      <x:alignment horizontal="general" vertical="center" wrapText="0"/>
    </x:xf>
    <x:xf numFmtId="164" fontId="136" fillId="0" borderId="0" xfId="0" applyFont="1" applyBorder="0" applyAlignment="1">
      <x:alignment horizontal="general" vertical="center" wrapText="0"/>
    </x:xf>
    <x:xf numFmtId="164" fontId="137" fillId="0" borderId="0" xfId="0" applyFont="1" applyBorder="0" applyAlignment="1">
      <x:alignment horizontal="general" vertical="center" wrapText="0"/>
    </x:xf>
    <x:xf numFmtId="164" fontId="134" fillId="0" borderId="0" xfId="0" applyFont="1" applyBorder="0" applyAlignment="1">
      <x:alignment horizontal="general" vertical="center" wrapText="0"/>
    </x:xf>
    <x:xf numFmtId="165" fontId="134" fillId="0" borderId="0" xfId="0" applyFont="1" applyBorder="0" applyAlignment="1">
      <x:alignment horizontal="general" vertical="center" wrapText="0"/>
    </x:xf>
    <x:xf numFmtId="165" fontId="134" fillId="0" borderId="0" xfId="0" applyFont="1" applyBorder="1" applyAlignment="1">
      <x:alignment horizontal="general" vertical="center" wrapText="0"/>
    </x:xf>
    <x:xf numFmtId="165" fontId="134" fillId="0" borderId="0" xfId="0" applyFont="1" applyBorder="0" applyAlignment="1">
      <x:alignment horizontal="general" vertical="top" wrapText="0"/>
    </x:xf>
    <x:xf numFmtId="165" fontId="134" fillId="0" borderId="0" xfId="0" applyFont="1" applyBorder="0" applyAlignment="1">
      <x:alignment horizontal="general" vertical="center" wrapText="1"/>
    </x:xf>
    <x:xf numFmtId="165" fontId="134" fillId="0" borderId="0" xfId="0" applyFont="1" applyBorder="0" applyAlignment="1">
      <x:alignment horizontal="general" vertical="top" wrapText="1"/>
    </x:xf>
    <x:xf numFmtId="164" fontId="134" fillId="0" borderId="0" xfId="0" applyFont="1" applyBorder="0" applyAlignment="1">
      <x:alignment horizontal="general" vertical="center" wrapText="1"/>
    </x:xf>
    <x:xf numFmtId="164" fontId="138" fillId="0" borderId="0" xfId="0" applyFont="1" applyBorder="0" applyAlignment="1">
      <x:alignment horizontal="general" vertical="bottom" wrapText="1"/>
    </x:xf>
    <x:xf numFmtId="165" fontId="134" fillId="0" borderId="0" xfId="0" applyFont="1" applyBorder="1" applyAlignment="1">
      <x:alignment horizontal="general" vertical="center" wrapText="1"/>
    </x:xf>
    <x:xf numFmtId="164" fontId="134" fillId="0" borderId="0" xfId="21" applyFont="1" applyBorder="1" applyAlignment="1">
      <x:alignment horizontal="general" vertical="bottom" wrapText="0"/>
    </x:xf>
    <x:xf numFmtId="164" fontId="134" fillId="0" borderId="0" xfId="21" applyFont="1" applyBorder="0" applyAlignment="1">
      <x:alignment horizontal="general" vertical="center" wrapText="1"/>
    </x:xf>
    <x:xf numFmtId="165" fontId="134" fillId="6" borderId="0" xfId="21" applyFont="1" applyBorder="0" applyAlignment="1">
      <x:alignment horizontal="general" vertical="top" wrapText="1"/>
    </x:xf>
    <x:xf numFmtId="165" fontId="134" fillId="0" borderId="0" xfId="21" applyFont="1" applyBorder="0" applyAlignment="1">
      <x:alignment horizontal="general" vertical="top" wrapText="1"/>
    </x:xf>
    <x:xf numFmtId="165" fontId="134" fillId="7" borderId="1" xfId="21" applyFont="1" applyBorder="1" applyAlignment="1">
      <x:alignment horizontal="general" vertical="center" wrapText="1"/>
    </x:xf>
    <x:xf numFmtId="164" fontId="134" fillId="0" borderId="0" xfId="21" applyFont="1" applyBorder="1" applyAlignment="1">
      <x:alignment horizontal="general" vertical="bottom" wrapText="1"/>
    </x:xf>
    <x:xf numFmtId="165" fontId="89" fillId="0" borderId="0" xfId="0" applyFont="1" applyBorder="0" applyAlignment="1">
      <x:alignment horizontal="general" vertical="top" wrapText="1"/>
    </x:xf>
    <x:xf numFmtId="165" fontId="0" fillId="0" borderId="0" xfId="0" applyFont="1" applyBorder="0" applyAlignment="1">
      <x:alignment horizontal="general" vertical="center" wrapText="1"/>
    </x:xf>
    <x:xf numFmtId="164" fontId="23" fillId="0" borderId="0" xfId="0" applyFont="1" applyBorder="0" applyAlignment="1">
      <x:alignment horizontal="general" vertical="center" wrapText="1"/>
    </x:xf>
    <x:xf numFmtId="164" fontId="0" fillId="0" borderId="0" xfId="0" applyFont="1" applyBorder="0" applyAlignment="1">
      <x:alignment horizontal="general" vertical="bottom" wrapText="0"/>
    </x:xf>
    <x:xf numFmtId="165" fontId="0" fillId="0" borderId="0" xfId="0" applyFont="1" applyBorder="0" applyAlignment="1">
      <x:alignment horizontal="general" vertical="bottom" wrapText="0"/>
    </x:xf>
    <x:xf numFmtId="165" fontId="5" fillId="0" borderId="0" xfId="0" applyFont="1" applyBorder="1" applyAlignment="1">
      <x:alignment horizontal="general" vertical="center" wrapText="0"/>
    </x:xf>
    <x:xf numFmtId="165" fontId="5" fillId="0" borderId="0" xfId="0" applyFont="1" applyBorder="0" applyAlignment="1">
      <x:alignment horizontal="general" vertical="center" wrapText="0"/>
    </x:xf>
    <x:xf numFmtId="165" fontId="5" fillId="0" borderId="0" xfId="0" applyFont="1" applyBorder="0" applyAlignment="1">
      <x:alignment horizontal="general" vertical="center" wrapText="1"/>
    </x:xf>
    <x:xf numFmtId="164" fontId="89" fillId="0" borderId="0" xfId="0" applyFont="1" applyBorder="0" applyAlignment="1">
      <x:alignment horizontal="general" vertical="center" wrapText="1"/>
    </x:xf>
    <x:xf numFmtId="164" fontId="131" fillId="0" borderId="0" xfId="0" applyFont="1" applyBorder="0" applyAlignment="1">
      <x:alignment horizontal="general" vertical="bottom" wrapText="1"/>
    </x:xf>
    <x:xf numFmtId="165" fontId="0" fillId="0" borderId="0" xfId="0" applyFont="1" applyBorder="0" applyAlignment="1">
      <x:alignment horizontal="general" vertical="center" wrapText="0"/>
    </x:xf>
    <x:xf numFmtId="165" fontId="134" fillId="7" borderId="0" xfId="0" applyFont="1" applyBorder="0" applyAlignment="1">
      <x:alignment horizontal="general" vertical="top" wrapText="1"/>
    </x:xf>
    <x:xf numFmtId="164" fontId="42" fillId="0" borderId="0" xfId="0" applyFont="1" applyBorder="0" applyAlignment="1">
      <x:alignment horizontal="general" vertical="bottom" wrapText="1"/>
    </x:xf>
    <x:xf numFmtId="165" fontId="134" fillId="0" borderId="0" xfId="0" applyFont="1" applyBorder="0" applyAlignment="1">
      <x:alignment horizontal="general" vertical="top" wrapText="1"/>
    </x:xf>
    <x:xf numFmtId="165" fontId="5" fillId="0" borderId="0" xfId="21" applyFont="1" applyBorder="0" applyAlignment="1">
      <x:alignment horizontal="general" vertical="center" wrapText="1"/>
    </x:xf>
    <x:xf numFmtId="164" fontId="140" fillId="0" borderId="0" xfId="21" applyFont="1" applyBorder="0" applyAlignment="1">
      <x:alignment horizontal="general" vertical="center" wrapText="1"/>
    </x:xf>
    <x:xf numFmtId="165" fontId="140" fillId="0" borderId="0" xfId="21" applyFont="1" applyBorder="0" applyAlignment="1">
      <x:alignment horizontal="general" vertical="center" wrapText="1"/>
    </x:xf>
    <x:xf numFmtId="165" fontId="58" fillId="6" borderId="0" xfId="21" applyFont="1" applyBorder="0" applyAlignment="1">
      <x:alignment horizontal="general" vertical="top" wrapText="1"/>
    </x:xf>
    <x:xf numFmtId="165" fontId="27" fillId="0" borderId="0" xfId="21" applyFont="1" applyBorder="0" applyAlignment="1">
      <x:alignment horizontal="general" vertical="top" wrapText="1"/>
    </x:xf>
    <x:xf numFmtId="165" fontId="27" fillId="7" borderId="0" xfId="21" applyFont="1" applyBorder="0" applyAlignment="1">
      <x:alignment horizontal="general" vertical="center" wrapText="1"/>
    </x:xf>
    <x:xf numFmtId="164" fontId="140" fillId="0" borderId="0" xfId="21" applyFont="1" applyBorder="0" applyAlignment="1">
      <x:alignment horizontal="general" vertical="bottom" wrapText="1"/>
    </x:xf>
    <x:xf numFmtId="164" fontId="97" fillId="0" borderId="0" xfId="0" applyFont="1" applyBorder="0" applyAlignment="1">
      <x:alignment horizontal="general" vertical="bottom" wrapText="0"/>
    </x:xf>
    <x:xf numFmtId="165" fontId="141" fillId="0" borderId="0" xfId="0" applyFont="1" applyBorder="0" applyAlignment="1">
      <x:alignment horizontal="general" vertical="center" wrapText="1"/>
    </x:xf>
    <x:xf numFmtId="165" fontId="134" fillId="0" borderId="1" xfId="0" applyFont="1" applyBorder="1" applyAlignment="1">
      <x:alignment horizontal="general" vertical="center" wrapText="1"/>
    </x:xf>
    <x:xf numFmtId="164" fontId="138" fillId="0" borderId="0" xfId="0" applyFont="1" applyBorder="1" applyAlignment="1">
      <x:alignment horizontal="general" vertical="bottom" wrapText="1"/>
    </x:xf>
    <x:xf numFmtId="164" fontId="134" fillId="0" borderId="0" xfId="0" applyFont="1" applyBorder="1" applyAlignment="1">
      <x:alignment horizontal="general" vertical="center" wrapText="0"/>
    </x:xf>
    <x:xf numFmtId="165" fontId="7" fillId="5" borderId="0" xfId="0" applyFont="1" applyBorder="0" applyAlignment="1">
      <x:alignment horizontal="general" vertical="center" wrapText="0"/>
    </x:xf>
    <x:xf numFmtId="165" fontId="78" fillId="5" borderId="0" xfId="0" applyFont="1" applyBorder="0" applyAlignment="1">
      <x:alignment horizontal="general" vertical="center" wrapText="0"/>
    </x:xf>
    <x:xf numFmtId="165" fontId="7" fillId="5" borderId="0" xfId="0" applyFont="1" applyBorder="1" applyAlignment="1">
      <x:alignment horizontal="general" vertical="center" wrapText="0"/>
    </x:xf>
    <x:xf numFmtId="165" fontId="81" fillId="0" borderId="0" xfId="0" applyFont="1" applyBorder="0" applyAlignment="1">
      <x:alignment horizontal="general" vertical="center" wrapText="0"/>
    </x:xf>
    <x:xf numFmtId="165" fontId="142" fillId="0" borderId="0" xfId="0" applyFont="1" applyBorder="0" applyAlignment="1">
      <x:alignment horizontal="general" vertical="center" wrapText="0"/>
    </x:xf>
    <x:xf numFmtId="165" fontId="60" fillId="0" borderId="0" xfId="0" applyFont="1" applyBorder="0" applyAlignment="1">
      <x:alignment horizontal="general" vertical="center" wrapText="0"/>
    </x:xf>
    <x:xf numFmtId="165" fontId="54" fillId="0" borderId="0" xfId="0" applyFont="1" applyBorder="0" applyAlignment="1">
      <x:alignment horizontal="general" vertical="center" wrapText="0"/>
    </x:xf>
    <x:xf numFmtId="165" fontId="81" fillId="5" borderId="0" xfId="0" applyFont="1" applyBorder="0" applyAlignment="1">
      <x:alignment horizontal="general" vertical="center" wrapText="0"/>
    </x:xf>
    <x:xf numFmtId="165" fontId="7" fillId="7" borderId="0" xfId="0" applyFont="1" applyBorder="0" applyAlignment="1">
      <x:alignment horizontal="general" vertical="center" wrapText="0"/>
    </x:xf>
    <x:xf numFmtId="165" fontId="7" fillId="7" borderId="0" xfId="0" applyFont="1" applyBorder="1" applyAlignment="1">
      <x:alignment horizontal="general" vertical="center" wrapText="0"/>
    </x:xf>
    <x:xf numFmtId="165" fontId="143" fillId="0" borderId="0" xfId="0" applyFont="1" applyBorder="1" applyAlignment="1">
      <x:alignment horizontal="general" vertical="center" wrapText="0"/>
    </x:xf>
    <x:xf numFmtId="165" fontId="143" fillId="7" borderId="0" xfId="0" applyFont="1" applyBorder="1" applyAlignment="1">
      <x:alignment horizontal="general" vertical="center" wrapText="0"/>
    </x:xf>
    <x:xf numFmtId="165" fontId="81" fillId="7" borderId="0" xfId="0" applyFont="1" applyBorder="0" applyAlignment="1">
      <x:alignment horizontal="general" vertical="center" wrapText="0"/>
    </x:xf>
    <x:xf numFmtId="165" fontId="7" fillId="9" borderId="0" xfId="0" applyFont="1" applyBorder="1" applyAlignment="1">
      <x:alignment horizontal="general" vertical="center" wrapText="0"/>
    </x:xf>
    <x:xf numFmtId="164" fontId="144" fillId="0" borderId="0" xfId="0" applyFont="1" applyBorder="0" applyAlignment="1">
      <x:alignment horizontal="general" vertical="center" wrapText="0"/>
    </x:xf>
    <x:xf numFmtId="164" fontId="27"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5" fontId="0" fillId="2" borderId="0" xfId="0" applyNumberFormat="1" applyFont="1" applyFill="1" applyBorder="1" applyAlignment="1">
      <x:alignment horizontal="general" vertical="center" wrapText="1"/>
    </x:xf>
    <x:xf numFmtId="165" fontId="27" fillId="0" borderId="0" xfId="0" applyNumberFormat="1" applyFont="1" applyFill="1" applyBorder="1" applyAlignment="1">
      <x:alignment horizontal="general" vertical="center" wrapText="1"/>
    </x:xf>
    <x:xf numFmtId="164" fontId="27" fillId="0" borderId="0" xfId="0" applyNumberFormat="1" applyFont="1" applyFill="1" applyBorder="1" applyAlignment="1">
      <x:alignment horizontal="general" vertical="center" wrapText="1"/>
    </x:xf>
    <x:xf numFmtId="164" fontId="138" fillId="0" borderId="0" xfId="0" applyNumberFormat="1" applyFont="1" applyFill="1" applyBorder="1" applyAlignment="1">
      <x:alignment horizontal="general" vertical="bottom" wrapText="1"/>
    </x:xf>
    <x:xf numFmtId="165" fontId="27" fillId="6" borderId="0" xfId="0" applyNumberFormat="1" applyFont="1" applyFill="1" applyBorder="1" applyAlignment="1">
      <x:alignment horizontal="general" vertical="top" wrapText="1"/>
    </x:xf>
    <x:xf numFmtId="165" fontId="27" fillId="0" borderId="0" xfId="0" applyNumberFormat="1" applyFont="1" applyFill="1" applyBorder="1" applyAlignment="1">
      <x:alignment horizontal="general" vertical="top" wrapText="1"/>
    </x:xf>
    <x:xf numFmtId="165" fontId="27" fillId="7" borderId="1" xfId="0" applyNumberFormat="1" applyFont="1" applyFill="1" applyBorder="1" applyAlignment="1">
      <x:alignment horizontal="general" vertical="center" wrapText="1"/>
    </x:xf>
    <x:xf numFmtId="164" fontId="0" fillId="0" borderId="0" xfId="0" applyNumberFormat="1" applyFont="1" applyFill="1" applyBorder="1" applyAlignment="1">
      <x:alignment horizontal="general" vertical="center" wrapText="1"/>
    </x:xf>
    <x:xf numFmtId="165" fontId="0" fillId="0" borderId="0" xfId="0" applyNumberFormat="1" applyFont="1" applyFill="1" applyBorder="1" applyAlignment="1">
      <x:alignment horizontal="general" vertical="center" wrapText="1"/>
    </x:xf>
    <x:xf numFmtId="165" fontId="23" fillId="0" borderId="0" xfId="0" applyNumberFormat="1" applyFont="1" applyFill="1" applyBorder="1" applyAlignment="1">
      <x:alignment horizontal="general" vertical="top" wrapText="1"/>
    </x:xf>
    <x:xf numFmtId="164" fontId="23" fillId="0" borderId="0" xfId="0" applyNumberFormat="1" applyFont="1" applyFill="1" applyBorder="1" applyAlignment="1">
      <x:alignment horizontal="general" vertical="center" wrapText="1"/>
    </x:xf>
    <x:xf numFmtId="165" fontId="0" fillId="7" borderId="0" xfId="0" applyNumberFormat="1" applyFont="1" applyFill="1" applyBorder="1" applyAlignment="1">
      <x:alignment horizontal="general" vertical="center" wrapText="1"/>
    </x:xf>
    <x:xf numFmtId="164" fontId="121" fillId="0" borderId="0" xfId="0" applyNumberFormat="1" applyFont="1" applyFill="1" applyBorder="1" applyAlignment="1">
      <x:alignment horizontal="general" vertical="bottom" wrapText="1"/>
    </x:xf>
    <x:xf numFmtId="165" fontId="27" fillId="7" borderId="0" xfId="0" applyNumberFormat="1" applyFont="1" applyFill="1" applyBorder="1" applyAlignment="1">
      <x:alignment horizontal="general" vertical="top" wrapText="1"/>
    </x:xf>
    <x:xf numFmtId="164" fontId="42" fillId="0" borderId="0" xfId="0" applyNumberFormat="1" applyFont="1" applyFill="1" applyBorder="1" applyAlignment="1">
      <x:alignment horizontal="general" vertical="bottom" wrapText="1"/>
    </x:xf>
    <x:xf numFmtId="164" fontId="140" fillId="0" borderId="0" xfId="0" applyNumberFormat="1" applyFont="1" applyFill="1" applyBorder="1" applyAlignment="1">
      <x:alignment horizontal="general" vertical="center" wrapText="1"/>
    </x:xf>
    <x:xf numFmtId="165" fontId="140" fillId="0" borderId="0" xfId="0" applyNumberFormat="1" applyFont="1" applyFill="1" applyBorder="1" applyAlignment="1">
      <x:alignment horizontal="general" vertical="center" wrapText="1"/>
    </x:xf>
    <x:xf numFmtId="165" fontId="58" fillId="6" borderId="0" xfId="0" applyNumberFormat="1" applyFont="1" applyFill="1" applyBorder="1" applyAlignment="1">
      <x:alignment horizontal="general" vertical="top" wrapText="1"/>
    </x:xf>
    <x:xf numFmtId="165" fontId="27" fillId="7" borderId="0" xfId="0" applyNumberFormat="1" applyFont="1" applyFill="1" applyBorder="1" applyAlignment="1">
      <x:alignment horizontal="general" vertical="center" wrapText="1"/>
    </x:xf>
    <x:xf numFmtId="164" fontId="140" fillId="0" borderId="0" xfId="0" applyNumberFormat="1" applyFont="1" applyFill="1" applyBorder="1" applyAlignment="1">
      <x:alignment horizontal="general" vertical="bottom" wrapText="1"/>
    </x:xf>
    <x:xf numFmtId="165" fontId="141" fillId="0" borderId="0" xfId="0" applyNumberFormat="1" applyFont="1" applyFill="1" applyBorder="1" applyAlignment="1">
      <x:alignment horizontal="general" vertical="center" wrapText="1"/>
    </x:xf>
    <x:xf numFmtId="165" fontId="27" fillId="0" borderId="1" xfId="0" applyNumberFormat="1" applyFont="1" applyFill="1" applyBorder="1" applyAlignment="1">
      <x:alignment horizontal="general" vertical="center" wrapText="1"/>
    </x:xf>
    <x:xf numFmtId="164" fontId="27" fillId="10" borderId="0" xfId="0" applyNumberFormat="1" applyFont="1" applyFill="1" applyBorder="1" applyAlignment="1">
      <x:alignment horizontal="general" vertical="center" wrapText="1"/>
    </x:xf>
    <x:xf numFmtId="165" fontId="27" fillId="10" borderId="0" xfId="0" applyNumberFormat="1" applyFont="1" applyFill="1" applyBorder="1" applyAlignment="1">
      <x:alignment horizontal="general" vertical="center" wrapText="1"/>
    </x:xf>
    <x:xf numFmtId="165" fontId="27" fillId="10" borderId="0" xfId="0" applyNumberFormat="1" applyFont="1" applyFill="1" applyBorder="1" applyAlignment="1">
      <x:alignment horizontal="general" vertical="top" wrapText="1"/>
    </x:xf>
    <x:xf numFmtId="165" fontId="27" fillId="10" borderId="1" xfId="0" applyNumberFormat="1" applyFont="1" applyFill="1" applyBorder="1" applyAlignment="1">
      <x:alignment horizontal="general" vertical="center" wrapText="1"/>
    </x:xf>
    <x:xf numFmtId="164" fontId="27" fillId="10" borderId="0" xfId="0" applyNumberFormat="1" applyFont="1" applyFill="1" applyBorder="1" applyAlignment="1">
      <x:alignment horizontal="general" vertical="bottom" wrapText="1"/>
    </x:xf>
    <x:xf numFmtId="165" fontId="23" fillId="10" borderId="0" xfId="0" applyNumberFormat="1" applyFont="1" applyFill="1" applyBorder="1" applyAlignment="1">
      <x:alignment horizontal="general" vertical="top" wrapText="1"/>
    </x:xf>
    <x:xf numFmtId="164" fontId="23" fillId="10" borderId="0" xfId="0" applyNumberFormat="1" applyFont="1" applyFill="1" applyBorder="1" applyAlignment="1">
      <x:alignment horizontal="general" vertical="center" wrapText="1"/>
    </x:xf>
    <x:xf numFmtId="165" fontId="0" fillId="10" borderId="0" xfId="0" applyNumberFormat="1" applyFont="1" applyFill="1" applyBorder="1" applyAlignment="1">
      <x:alignment horizontal="general" vertical="center" wrapText="1"/>
    </x:xf>
    <x:xf numFmtId="164" fontId="138" fillId="10" borderId="0" xfId="0" applyNumberFormat="1" applyFont="1" applyFill="1" applyBorder="1" applyAlignment="1">
      <x:alignment horizontal="general" vertical="bottom" wrapText="1"/>
    </x:xf>
    <x:xf numFmtId="164" fontId="42" fillId="10" borderId="0" xfId="0" applyNumberFormat="1" applyFont="1" applyFill="1" applyBorder="1" applyAlignment="1">
      <x:alignment horizontal="general" vertical="bottom" wrapText="1"/>
    </x:xf>
    <x:xf numFmtId="165" fontId="58" fillId="10" borderId="0" xfId="0" applyNumberFormat="1" applyFont="1" applyFill="1" applyBorder="1" applyAlignment="1">
      <x:alignment horizontal="general" vertical="top" wrapText="1"/>
    </x:xf>
    <x:xf numFmtId="164" fontId="140" fillId="10" borderId="0" xfId="0" applyNumberFormat="1" applyFont="1" applyFill="1" applyBorder="1" applyAlignment="1">
      <x:alignment horizontal="general" vertical="bottom" wrapText="1"/>
    </x:xf>
    <x:xf numFmtId="164" fontId="0" fillId="10" borderId="0" xfId="0" applyNumberFormat="1" applyFont="1" applyFill="1" applyBorder="1" applyAlignment="1">
      <x:alignment horizontal="general" vertical="bottom" wrapText="1"/>
    </x:xf>
    <x:xf numFmtId="164" fontId="27" fillId="11" borderId="0" xfId="0" applyNumberFormat="1" applyFont="1" applyFill="1" applyBorder="1" applyAlignment="1">
      <x:alignment horizontal="general" vertical="center" wrapText="1"/>
    </x:xf>
    <x:xf numFmtId="165" fontId="27" fillId="11" borderId="0" xfId="0" applyNumberFormat="1" applyFont="1" applyFill="1" applyBorder="1" applyAlignment="1">
      <x:alignment horizontal="general" vertical="center" wrapText="1"/>
    </x:xf>
    <x:xf numFmtId="165" fontId="27" fillId="11" borderId="0" xfId="0" applyNumberFormat="1" applyFont="1" applyFill="1" applyBorder="1" applyAlignment="1">
      <x:alignment horizontal="general" vertical="top" wrapText="1"/>
    </x:xf>
    <x:xf numFmtId="165" fontId="27" fillId="11" borderId="1" xfId="0" applyNumberFormat="1" applyFont="1" applyFill="1" applyBorder="1" applyAlignment="1">
      <x:alignment horizontal="general" vertical="center" wrapText="1"/>
    </x:xf>
    <x:xf numFmtId="164" fontId="27" fillId="11" borderId="0" xfId="0" applyNumberFormat="1" applyFont="1" applyFill="1" applyBorder="1" applyAlignment="1">
      <x:alignment horizontal="general" vertical="bottom" wrapText="1"/>
    </x:xf>
    <x:xf numFmtId="165" fontId="23" fillId="11" borderId="0" xfId="0" applyNumberFormat="1" applyFont="1" applyFill="1" applyBorder="1" applyAlignment="1">
      <x:alignment horizontal="general" vertical="top" wrapText="1"/>
    </x:xf>
    <x:xf numFmtId="164" fontId="23" fillId="11" borderId="0" xfId="0" applyNumberFormat="1" applyFont="1" applyFill="1" applyBorder="1" applyAlignment="1">
      <x:alignment horizontal="general" vertical="center" wrapText="1"/>
    </x:xf>
    <x:xf numFmtId="165" fontId="0" fillId="11" borderId="0" xfId="0" applyNumberFormat="1" applyFont="1" applyFill="1" applyBorder="1" applyAlignment="1">
      <x:alignment horizontal="general" vertical="center" wrapText="1"/>
    </x:xf>
    <x:xf numFmtId="164" fontId="138" fillId="11" borderId="0" xfId="0" applyNumberFormat="1" applyFont="1" applyFill="1" applyBorder="1" applyAlignment="1">
      <x:alignment horizontal="general" vertical="bottom" wrapText="1"/>
    </x:xf>
    <x:xf numFmtId="164" fontId="42" fillId="11" borderId="0" xfId="0" applyNumberFormat="1" applyFont="1" applyFill="1" applyBorder="1" applyAlignment="1">
      <x:alignment horizontal="general" vertical="bottom" wrapText="1"/>
    </x:xf>
    <x:xf numFmtId="165" fontId="58" fillId="11" borderId="0" xfId="0" applyNumberFormat="1" applyFont="1" applyFill="1" applyBorder="1" applyAlignment="1">
      <x:alignment horizontal="general" vertical="top" wrapText="1"/>
    </x:xf>
    <x:xf numFmtId="164" fontId="140" fillId="11" borderId="0" xfId="0" applyNumberFormat="1" applyFont="1" applyFill="1" applyBorder="1" applyAlignment="1">
      <x:alignment horizontal="general" vertical="bottom" wrapText="1"/>
    </x:xf>
    <x:xf numFmtId="164" fontId="0" fillId="11" borderId="0" xfId="0" applyNumberFormat="1" applyFont="1" applyFill="1" applyBorder="1" applyAlignment="1">
      <x:alignment horizontal="general" vertical="bottom" wrapText="1"/>
    </x:xf>
    <x:xf numFmtId="164" fontId="27" fillId="12" borderId="0" xfId="0" applyNumberFormat="1" applyFont="1" applyFill="1" applyBorder="1" applyAlignment="1">
      <x:alignment horizontal="general" vertical="center" wrapText="1"/>
    </x:xf>
    <x:xf numFmtId="165" fontId="27" fillId="12" borderId="0" xfId="0" applyNumberFormat="1" applyFont="1" applyFill="1" applyBorder="1" applyAlignment="1">
      <x:alignment horizontal="general" vertical="center" wrapText="1"/>
    </x:xf>
    <x:xf numFmtId="165" fontId="27" fillId="12" borderId="0" xfId="0" applyNumberFormat="1" applyFont="1" applyFill="1" applyBorder="1" applyAlignment="1">
      <x:alignment horizontal="general" vertical="top" wrapText="1"/>
    </x:xf>
    <x:xf numFmtId="165" fontId="27" fillId="12" borderId="1" xfId="0" applyNumberFormat="1" applyFont="1" applyFill="1" applyBorder="1" applyAlignment="1">
      <x:alignment horizontal="general" vertical="center" wrapText="1"/>
    </x:xf>
    <x:xf numFmtId="164" fontId="27" fillId="12" borderId="0" xfId="0" applyNumberFormat="1" applyFont="1" applyFill="1" applyBorder="1" applyAlignment="1">
      <x:alignment horizontal="general" vertical="bottom" wrapText="1"/>
    </x:xf>
    <x:xf numFmtId="165" fontId="23" fillId="12" borderId="0" xfId="0" applyNumberFormat="1" applyFont="1" applyFill="1" applyBorder="1" applyAlignment="1">
      <x:alignment horizontal="general" vertical="top" wrapText="1"/>
    </x:xf>
    <x:xf numFmtId="164" fontId="23" fillId="12" borderId="0" xfId="0" applyNumberFormat="1" applyFont="1" applyFill="1" applyBorder="1" applyAlignment="1">
      <x:alignment horizontal="general" vertical="center" wrapText="1"/>
    </x:xf>
    <x:xf numFmtId="165" fontId="0" fillId="12" borderId="0" xfId="0" applyNumberFormat="1" applyFont="1" applyFill="1" applyBorder="1" applyAlignment="1">
      <x:alignment horizontal="general" vertical="center" wrapText="1"/>
    </x:xf>
    <x:xf numFmtId="164" fontId="138" fillId="12" borderId="0" xfId="0" applyNumberFormat="1" applyFont="1" applyFill="1" applyBorder="1" applyAlignment="1">
      <x:alignment horizontal="general" vertical="bottom" wrapText="1"/>
    </x:xf>
    <x:xf numFmtId="164" fontId="42" fillId="12" borderId="0" xfId="0" applyNumberFormat="1" applyFont="1" applyFill="1" applyBorder="1" applyAlignment="1">
      <x:alignment horizontal="general" vertical="bottom" wrapText="1"/>
    </x:xf>
    <x:xf numFmtId="165" fontId="58" fillId="12" borderId="0" xfId="0" applyNumberFormat="1" applyFont="1" applyFill="1" applyBorder="1" applyAlignment="1">
      <x:alignment horizontal="general" vertical="top" wrapText="1"/>
    </x:xf>
    <x:xf numFmtId="164" fontId="140" fillId="12" borderId="0" xfId="0" applyNumberFormat="1" applyFont="1" applyFill="1" applyBorder="1" applyAlignment="1">
      <x:alignment horizontal="general" vertical="bottom" wrapText="1"/>
    </x:xf>
    <x:xf numFmtId="164" fontId="0" fillId="12" borderId="0" xfId="0" applyNumberFormat="1" applyFont="1" applyFill="1" applyBorder="1" applyAlignment="1">
      <x:alignment horizontal="general" vertical="bottom" wrapText="1"/>
    </x:xf>
  </x:cellXfs>
  <x:cellStyles count="10">
    <x:cellStyle name="Normal" xfId="0"/>
    <x:cellStyle name="Comma" xfId="15"/>
    <x:cellStyle name="Comma [0]" xfId="16"/>
    <x:cellStyle name="Currency" xfId="17"/>
    <x:cellStyle name="Currency [0]" xfId="18"/>
    <x:cellStyle name="Percent" xfId="19"/>
    <x:cellStyle name="常规 2" xfId="20"/>
    <x:cellStyle name="標準 2" xfId="21"/>
    <x:cellStyle name="標準 3" xfId="22"/>
    <x:cellStyle name="標準 4" xfId="23"/>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77933C"/>
      <x:rgbColor rgb="FF800080"/>
      <x:rgbColor rgb="FF008080"/>
      <x:rgbColor rgb="FFBFBFBF"/>
      <x:rgbColor rgb="FF808080"/>
      <x:rgbColor rgb="FF9999FF"/>
      <x:rgbColor rgb="FFC0504D"/>
      <x:rgbColor rgb="FFFFFFCC"/>
      <x:rgbColor rgb="FFEEEEEE"/>
      <x:rgbColor rgb="FF660066"/>
      <x:rgbColor rgb="FFFF8080"/>
      <x:rgbColor rgb="FF0066CC"/>
      <x:rgbColor rgb="FFCCCCCC"/>
      <x:rgbColor rgb="FF000080"/>
      <x:rgbColor rgb="FFFF00FF"/>
      <x:rgbColor rgb="FFFFFF00"/>
      <x:rgbColor rgb="FF00FFFF"/>
      <x:rgbColor rgb="FF800080"/>
      <x:rgbColor rgb="FF800000"/>
      <x:rgbColor rgb="FF008080"/>
      <x:rgbColor rgb="FF0032FF"/>
      <x:rgbColor rgb="FF00CCFF"/>
      <x:rgbColor rgb="FFFDEADA"/>
      <x:rgbColor rgb="FFFFFFE0"/>
      <x:rgbColor rgb="FFFFFFD7"/>
      <x:rgbColor rgb="FF99CCFF"/>
      <x:rgbColor rgb="FFFF99CC"/>
      <x:rgbColor rgb="FFCC99FF"/>
      <x:rgbColor rgb="FFD9D9D9"/>
      <x:rgbColor rgb="FF3366FF"/>
      <x:rgbColor rgb="FF33CCCC"/>
      <x:rgbColor rgb="FF99CC00"/>
      <x:rgbColor rgb="FFFFCC00"/>
      <x:rgbColor rgb="FFFF9900"/>
      <x:rgbColor rgb="FFFF6600"/>
      <x:rgbColor rgb="FF4F81BD"/>
      <x:rgbColor rgb="FFB2B2B2"/>
      <x:rgbColor rgb="FF003366"/>
      <x:rgbColor rgb="FF339966"/>
      <x:rgbColor rgb="FF003300"/>
      <x:rgbColor rgb="FF212121"/>
      <x:rgbColor rgb="FF993300"/>
      <x:rgbColor rgb="FF993366"/>
      <x:rgbColor rgb="FF333399"/>
      <x:rgbColor rgb="FF2A2A2A"/>
    </x:indexedColors>
  </x:colors>
</x:styleSheet>
</file>

<file path=xl/_rels/workbook.xml.rels>&#65279;<?xml version="1.0" encoding="utf-8"?><Relationships xmlns="http://schemas.openxmlformats.org/package/2006/relationships"><Relationship Type="http://schemas.openxmlformats.org/officeDocument/2006/relationships/styles" Target="/xl/styles.xml" Id="R5ec6799789784a81" /><Relationship Type="http://schemas.openxmlformats.org/officeDocument/2006/relationships/theme" Target="/xl/theme/theme1.xml" Id="R887ddd54bbcf485e" /><Relationship Type="http://schemas.openxmlformats.org/officeDocument/2006/relationships/sharedStrings" Target="/xl/sharedStrings.xml" Id="R7c200630ae1b4792" /><Relationship Type="http://schemas.openxmlformats.org/officeDocument/2006/relationships/worksheet" Target="/xl/worksheets/sheet1.xml" Id="Rb8c2f76be3b248fc" /><Relationship Type="http://schemas.openxmlformats.org/officeDocument/2006/relationships/worksheet" Target="/xl/worksheets/sheet2.xml" Id="Rbdbb4cbf0afd4784"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57421875" defaultRowHeight="13.800000190734863"/>
  <x:cols>
    <x:col min="1" max="1" width="36" style="369" hidden="0" customWidth="1"/>
    <x:col min="2" max="2" width="6.880000114440918" style="369" hidden="0" customWidth="1"/>
    <x:col min="3" max="3" width="9" style="369" hidden="0" customWidth="1"/>
    <x:col min="4" max="4" width="36" style="369" hidden="0" customWidth="1"/>
    <x:col min="5" max="5" width="16.770000457763672" style="369" hidden="0" customWidth="1"/>
    <x:col min="6" max="6" width="26.889999389648438" style="369" hidden="0" customWidth="1"/>
    <x:col min="7" max="8" width="16.3799991607666" style="369" hidden="0" customWidth="1"/>
    <x:col min="9" max="9" width="15.770000457763672" style="369" hidden="0" customWidth="1"/>
    <x:col min="10" max="10" width="16.3799991607666" style="369" hidden="0" customWidth="1"/>
    <x:col min="11" max="11" width="43.119998931884766" style="369" hidden="0" customWidth="1"/>
    <x:col min="12" max="12" width="16.3799991607666" style="369" hidden="0" customWidth="1"/>
    <x:col min="13" max="13" width="6.880000114440918" style="369" hidden="0" customWidth="1"/>
    <x:col min="14" max="14" width="4.869999885559082" style="369" hidden="0" customWidth="1"/>
    <x:col min="15" max="15" width="18.1200008392334" style="369" hidden="0" customWidth="1"/>
    <x:col min="16" max="16" width="14.270000457763672" style="369" hidden="0" customWidth="1"/>
    <x:col min="17" max="17" width="6.199999809265137" style="369" hidden="0" customWidth="1"/>
    <x:col min="18" max="19" width="6.880000114440918" style="369" hidden="0" customWidth="1"/>
    <x:col min="20" max="23" width="9.760000228881836" style="369" hidden="0" customWidth="1"/>
    <x:col min="24" max="30" width="6.880000114440918" style="369" hidden="0" customWidth="1"/>
    <x:col min="31" max="31" width="57.369998931884766" style="369" hidden="0" customWidth="1"/>
    <x:col min="32" max="32" width="24.75" style="369" hidden="0" customWidth="1"/>
    <x:col min="33" max="33" width="45.5" style="369" hidden="0" customWidth="1"/>
    <x:col min="34" max="34" width="15.619999885559082" style="369" hidden="0" customWidth="1"/>
    <x:col min="35" max="35" width="45.5" style="369" hidden="0" customWidth="1"/>
    <x:col min="36" max="36" width="15.619999885559082" style="369" hidden="0" customWidth="1"/>
    <x:col min="37" max="37" width="45.5" style="369" hidden="0" customWidth="1"/>
    <x:col min="38" max="38" width="15.619999885559082" style="369" hidden="0" customWidth="1"/>
    <x:col min="39" max="39" width="42.880001068115234" style="369" hidden="0" customWidth="1"/>
    <x:col min="40" max="40" width="15.619999885559082" style="369" hidden="0" customWidth="1"/>
    <x:col min="41" max="41" width="106.25" style="369" hidden="0" customWidth="1"/>
    <x:col min="42" max="45" width="18.770000457763672" style="369" hidden="0" customWidth="1"/>
    <x:col min="46" max="46" width="109.25" style="369" hidden="0" customWidth="1"/>
    <x:col min="47" max="47" width="63" style="369" hidden="0" customWidth="1"/>
    <x:col min="48" max="48" width="30.75" style="369" hidden="0" customWidth="1"/>
    <x:col min="49" max="1025" width="12.619999885559082" style="369" hidden="0" customWidth="1"/>
    <x:col min="1026" max="16384" width="8.569999694824219" style="370" hidden="0" customWidth="0"/>
  </x:cols>
  <x:sheetData>
    <x:row r="1" ht="13.800000190734863" hidden="0">
      <x:c r="A1" s="371" t="s">
        <x:v>0</x:v>
      </x:c>
      <x:c r="B1" s="371" t="s">
        <x:v>1</x:v>
      </x:c>
      <x:c r="C1" s="371" t="s">
        <x:v>2</x:v>
      </x:c>
      <x:c r="D1" s="371" t="s">
        <x:v>3</x:v>
      </x:c>
      <x:c r="E1" s="371" t="s">
        <x:v>4</x:v>
      </x:c>
      <x:c r="F1" s="371" t="s">
        <x:v>5</x:v>
      </x:c>
      <x:c r="G1" s="371" t="s">
        <x:v>6</x:v>
      </x:c>
      <x:c r="H1" s="371" t="s">
        <x:v>7</x:v>
      </x:c>
      <x:c r="I1" s="372" t="s">
        <x:v>8</x:v>
      </x:c>
      <x:c r="J1" s="371" t="s">
        <x:v>9</x:v>
      </x:c>
      <x:c r="K1" s="371" t="s">
        <x:v>10</x:v>
      </x:c>
      <x:c r="L1" s="371" t="s">
        <x:v>11</x:v>
      </x:c>
      <x:c r="M1" s="371" t="s">
        <x:v>12</x:v>
      </x:c>
      <x:c r="N1" s="371" t="s">
        <x:v>13</x:v>
      </x:c>
      <x:c r="O1" s="371" t="s">
        <x:v>14</x:v>
      </x:c>
      <x:c r="P1" s="371" t="s">
        <x:v>15</x:v>
      </x:c>
      <x:c r="Q1" s="371" t="s">
        <x:v>16</x:v>
      </x:c>
      <x:c r="R1" s="371" t="s">
        <x:v>17</x:v>
      </x:c>
      <x:c r="S1" s="371" t="s">
        <x:v>18</x:v>
      </x:c>
      <x:c r="T1" s="371" t="s">
        <x:v>19</x:v>
      </x:c>
      <x:c r="U1" s="373" t="s">
        <x:v>20</x:v>
      </x:c>
      <x:c r="V1" s="371" t="s">
        <x:v>21</x:v>
      </x:c>
      <x:c r="W1" s="373" t="s">
        <x:v>20</x:v>
      </x:c>
      <x:c r="X1" s="371" t="s">
        <x:v>22</x:v>
      </x:c>
      <x:c r="Y1" s="371" t="s">
        <x:v>23</x:v>
      </x:c>
      <x:c r="Z1" s="371" t="s">
        <x:v>24</x:v>
      </x:c>
      <x:c r="AA1" s="371" t="s">
        <x:v>25</x:v>
      </x:c>
      <x:c r="AB1" s="371" t="s">
        <x:v>26</x:v>
      </x:c>
      <x:c r="AC1" s="371" t="s">
        <x:v>27</x:v>
      </x:c>
      <x:c r="AD1" s="371" t="s">
        <x:v>28</x:v>
      </x:c>
      <x:c r="AE1" s="371" t="s">
        <x:v>29</x:v>
      </x:c>
      <x:c r="AF1" s="371" t="s">
        <x:v>30</x:v>
      </x:c>
      <x:c r="AG1" s="371" t="s">
        <x:v>31</x:v>
      </x:c>
      <x:c r="AH1" s="371" t="s">
        <x:v>32</x:v>
      </x:c>
      <x:c r="AI1" s="371" t="s">
        <x:v>33</x:v>
      </x:c>
      <x:c r="AJ1" s="371" t="s">
        <x:v>34</x:v>
      </x:c>
      <x:c r="AK1" s="374" t="s">
        <x:v>35</x:v>
      </x:c>
      <x:c r="AL1" s="371" t="s">
        <x:v>36</x:v>
      </x:c>
      <x:c r="AM1" s="371" t="s">
        <x:v>37</x:v>
      </x:c>
      <x:c r="AN1" s="371" t="s">
        <x:v>38</x:v>
      </x:c>
      <x:c r="AO1" s="371" t="s">
        <x:v>20</x:v>
      </x:c>
      <x:c r="AP1" s="371" t="s">
        <x:v>39</x:v>
      </x:c>
      <x:c r="AQ1" s="371" t="s">
        <x:v>40</x:v>
      </x:c>
      <x:c r="AR1" s="371" t="s">
        <x:v>41</x:v>
      </x:c>
      <x:c r="AS1" s="371" t="s">
        <x:v>42</x:v>
      </x:c>
    </x:row>
    <x:row r="2" s="370" customFormat="1" ht="30" hidden="0" customHeight="1">
      <x:c r="A2" s="375" t="str">
        <x:v>01-yurina-o-n-1</x:v>
      </x:c>
      <x:c r="B2" s="375" t="str">
        <x:v>yurina</x:v>
      </x:c>
      <x:c r="C2" s="375"/>
      <x:c r="D2" s="375"/>
      <x:c r="E2" s="375" t="str">
        <x:v>斬</x:v>
      </x:c>
      <x:c r="F2" s="375" t="str">
        <x:v>ざん</x:v>
      </x:c>
      <x:c r="G2" s="375" t="str">
        <x:v>斩</x:v>
      </x:c>
      <x:c r="H2" s="375" t="str">
        <x:v>斩</x:v>
      </x:c>
      <x:c r="I2" s="375"/>
      <x:c r="J2" s="375" t="str">
        <x:v>참</x:v>
      </x:c>
      <x:c r="K2" s="375" t="str">
        <x:v>Slash</x:v>
      </x:c>
      <x:c r="L2" s="375"/>
      <x:c r="M2" s="375" t="str">
        <x:v>通常札</x:v>
      </x:c>
      <x:c r="N2" s="375"/>
      <x:c r="O2" s="375"/>
      <x:c r="P2" s="375"/>
      <x:c r="Q2" s="375"/>
      <x:c r="R2" s="375" t="str">
        <x:v>攻撃</x:v>
      </x:c>
      <x:c r="S2" s="375"/>
      <x:c r="T2" s="375" t="str">
        <x:v>3-4</x:v>
      </x:c>
      <x:c r="U2" s="375"/>
      <x:c r="V2" s="376" t="str">
        <x:v>3/1</x:v>
      </x:c>
      <x:c r="W2" s="375"/>
      <x:c r="X2" s="375"/>
      <x:c r="Y2"/>
      <x:c r="Z2" s="375"/>
      <x:c r="AA2" s="375"/>
      <x:c r="AB2" s="375"/>
      <x:c r="AC2" s="375"/>
      <x:c r="AD2" s="375"/>
      <x:c r="AE2" s="437"/>
      <x:c r="AF2" s="437"/>
      <x:c r="AG2" s="437"/>
      <x:c r="AH2" s="437"/>
      <x:c r="AI2" s="437"/>
      <x:c r="AJ2" s="438"/>
      <x:c r="AK2" s="437"/>
      <x:c r="AL2" s="438"/>
      <x:c r="AM2" s="437"/>
      <x:c r="AN2" s="437"/>
      <x:c r="AO2" s="439"/>
      <x:c r="AP2" s="439"/>
      <x:c r="AQ2" s="439"/>
      <x:c r="AR2" s="439"/>
      <x:c r="AS2" s="439"/>
      <x:c r="AT2" s="378" t="str">
        <x:f aca="0">IF(A2="", "","'"&amp;A2&amp;"': {megami: '"&amp;B2&amp;"'"&amp;IF(C2&lt;&gt;"",", anotherID: '"&amp;C2&amp;"', replace: '"&amp;D2&amp;"'","")&amp;", name: '"&amp;SUBSTITUTE(E2,"'","\'")&amp;"', nameEn: '"&amp;SUBSTITUTE(K2,"'","\'")&amp;"', nameZh: '"&amp;SUBSTITUTE(G2,"'","\'")&amp;"', nameZhG1: '"&amp;SUBSTITUTE(H2,"'","\'")&amp;"', nameKo: '"&amp;SUBSTITUTE(J2,"'","\'")&amp;"', ruby: '"&amp;F2&amp;"', rubyEn: '"&amp;L2&amp;IF(I2&lt;&gt;"", "', rubyZh: '"&amp;I2, "")&amp;"', baseType: '"&amp;IF(M2="通常札","normal",IF(M2="切札","special",IF(M2="追加札","extra",IF(M2="transform","transform",IF(M2="嵐","storm",IF(M2="兵員","troop",IF(M2="構想","plan",IF(M2="メインパーツ","mainParts",IF(M2="カスタムパーツ","customParts",IF(M2="運命","fate",IF(M2="仮想樹","virtualTree","")))))))))))&amp;"'"&amp;IF(N2="○",", extra: true","")&amp;IF(O2&lt;&gt;"",", extraFrom: '"&amp;O2&amp;"'","")&amp;IF(P2&lt;&gt;"",", exchangableTo: '"&amp;P2&amp;"'","")&amp;IF(Q2="○",", poison: true","")&amp;IF(R2&lt;&gt;"", ", type: '"&amp;IF(R2="攻撃","attack",IF(R2="行動","action",IF(R2="不定","variable",IF(R2="対応","reaction",IF(R2="全力","fullpower",IF(R2="付与","enhance",IF(R2="transform","transform","")))))))&amp;"'", "")&amp;IF(S2&lt;&gt;"",", subType: '"&amp;IF(S2="攻撃","attack",IF(S2="行動","action",IF(S2="不定","variable",IF(S2="対応","reaction",IF(S2="全力","fullpower",IF(S2="付与","enhance",IF(S2="transform","transform","")))))))&amp;"'","")&amp;""&amp;IF(T2&lt;&gt;"",", range: '"&amp;T2&amp;"'","")&amp;IF(V2&lt;&gt;"",", damage: '"&amp;V2&amp;"'","")&amp;IF(X2&lt;&gt;"",", capacity: '"&amp;X2&amp;"'","")&amp;IF(Y2&lt;&gt;"",", growth: "&amp;Y2&amp;"","")&amp;IF(Z2&lt;&gt;"",", cost: '"&amp;Z2&amp;"'","")&amp;", text: '"&amp;SUBSTITUTE(SUBSTITUTE(AE2, CHAR(13), ""),CHAR(10),"\n")&amp;IF(AF2&lt;&gt;"", "', textAdditional: '"&amp;SUBSTITUTE(SUBSTITUTE(AF2, CHAR(13), ""),CHAR(10),"\n"), "")&amp;"', textZh: '"&amp;SUBSTITUTE(SUBSTITUTE(SUBSTITUTE(AG2, CHAR(13), ""),CHAR(10),"\n"),"'","\'")&amp;"', textZhG1: '"&amp;SUBSTITUTE(SUBSTITUTE(SUBSTITUTE(AI2, CHAR(13), ""),CHAR(10),"\n"),"'","\'")&amp;IF(AH2&lt;&gt;"", "', textZhAdditional: '"&amp;SUBSTITUTE(SUBSTITUTE(AH2, CHAR(13), ""),CHAR(10),"\n"), "")&amp;IF(AK2&lt;&gt;"", "', textZhG1Additional: '"&amp;SUBSTITUTE(SUBSTITUTE(AK2, CHAR(13), ""),CHAR(10),"\n"), "")&amp;"', textKo: '"&amp;SUBSTITUTE(SUBSTITUTE(SUBSTITUTE(AM2, CHAR(13), ""),CHAR(10),"\n"),"'","\'")&amp;IF(AM2&lt;&gt;"", "', textKoAdditional: '"&amp;SUBSTITUTE(SUBSTITUTE(AM2, CHAR(13), ""),CHAR(10),"\n"), "")&amp;"', textEn: '"&amp;SUBSTITUTE(SUBSTITUTE(SUBSTITUTE(AM2, CHAR(13), ""),CHAR(10),"\n"),"'","\'")&amp;IF(AN2&lt;&gt;"", "', textEnAdditional: '"&amp;SUBSTITUTE(SUBSTITUTE(AN2, CHAR(13), ""),CHAR(10),"\n"), "")&amp;"'"&amp;IF(AB2="○",", sealable: true","")&amp;IF(AC2="○",", removable: true","")&amp;IF(AA2="○",", lie: true","")&amp;IF(AD2="○",", investable: true","")&amp;"},")</x:f>
        <x:v>'01-yurina-o-n-1': {megami: 'yurina', name: '斬', nameEn: 'Slash', nameZh: '斩', nameZhG1: '斩', nameKo: '참', ruby: 'ざん', rubyEn: '', baseType: 'normal', type: 'attack', range: '3-4', damage: '3/1', text: '', textZh: '', textZhG1: '', textKo: '', textEn: ''},</x:v>
      </x:c>
      <x:c r="AU2" s="379" t="str">
        <x:f aca="0">IF($A2&lt;&gt;"", "    /** 《"&amp;$E2&amp;"》 */ export const "&amp;SUBSTITUTE(UPPER(IF(MID($A2, 3, 1)="-", RIGHT($A2,LEN($A2)-3), $A2)), "-", "_")&amp;": TCardId = '"&amp;$A2&amp;"';", "")</x:f>
        <x:v>    /** 《斬》 */ export const YURINA_O_N_1: TCardId = '01-yurina-o-n-1';</x:v>
      </x:c>
      <x:c r="AV2" s="380" t="str">
        <x:f aca="0">IF($A3&lt;&gt;"", "    | '"&amp;$A3&amp;"'", "")</x:f>
        <x:v>    | '01-yurina-o-n-2'</x:v>
      </x:c>
      <x:c r="AW2" s="381"/>
      <x:c r="AX2" s="381"/>
      <x:c r="AY2" s="381"/>
      <x:c r="AZ2" s="381"/>
      <x:c r="BA2" s="381"/>
      <x:c r="BB2" s="381"/>
      <x:c r="BC2" s="381"/>
      <x:c r="BD2" s="381"/>
      <x:c r="BE2" s="381"/>
      <x:c r="BF2" s="381"/>
      <x:c r="BG2" s="381"/>
      <x:c r="BH2" s="381"/>
      <x:c r="BI2" s="381"/>
      <x:c r="BJ2" s="381"/>
      <x:c r="BK2" s="381"/>
      <x:c r="BL2" s="381"/>
      <x:c r="BM2" s="381"/>
      <x:c r="BN2" s="381"/>
      <x:c r="BO2" s="381"/>
      <x:c r="BP2" s="381"/>
      <x:c r="BQ2" s="381"/>
      <x:c r="BR2" s="381"/>
      <x:c r="BS2" s="381"/>
      <x:c r="BT2" s="375"/>
      <x:c r="BU2" s="375"/>
      <x:c r="BV2" s="375"/>
      <x:c r="BW2" s="375"/>
      <x:c r="BX2" s="375"/>
      <x:c r="BY2" s="375"/>
      <x:c r="BZ2" s="375"/>
      <x:c r="CA2" s="375"/>
      <x:c r="CB2" s="375"/>
      <x:c r="CC2" s="375"/>
      <x:c r="CD2" s="375"/>
      <x:c r="CE2" s="375"/>
      <x:c r="CF2" s="375"/>
      <x:c r="CG2" s="375"/>
      <x:c r="CH2" s="375"/>
      <x:c r="CI2" s="375"/>
      <x:c r="CJ2" s="375"/>
      <x:c r="CK2" s="375"/>
      <x:c r="CL2" s="375"/>
      <x:c r="CM2" s="375"/>
      <x:c r="CN2" s="375"/>
      <x:c r="CO2" s="375"/>
      <x:c r="CP2" s="375"/>
      <x:c r="CQ2" s="375"/>
      <x:c r="CR2" s="375"/>
      <x:c r="CS2" s="375"/>
      <x:c r="CT2" s="375"/>
      <x:c r="CU2" s="375"/>
      <x:c r="CV2" s="375"/>
      <x:c r="CW2" s="375"/>
      <x:c r="CX2" s="375"/>
      <x:c r="CY2" s="375"/>
      <x:c r="CZ2" s="375"/>
      <x:c r="DA2" s="375"/>
      <x:c r="DB2" s="375"/>
      <x:c r="DC2" s="375"/>
      <x:c r="DD2" s="375"/>
      <x:c r="DE2" s="375"/>
      <x:c r="DF2" s="375"/>
      <x:c r="DG2" s="375"/>
      <x:c r="DH2" s="375"/>
      <x:c r="DI2" s="375"/>
      <x:c r="DJ2" s="375"/>
      <x:c r="DK2" s="375"/>
      <x:c r="DL2" s="375"/>
      <x:c r="DM2" s="375"/>
      <x:c r="DN2" s="375"/>
      <x:c r="DO2" s="375"/>
      <x:c r="DP2" s="375"/>
      <x:c r="DQ2" s="375"/>
      <x:c r="DR2" s="375"/>
      <x:c r="DS2" s="375"/>
      <x:c r="DT2" s="375"/>
      <x:c r="DU2" s="375"/>
      <x:c r="DV2" s="375"/>
      <x:c r="DW2" s="375"/>
      <x:c r="DX2" s="375"/>
      <x:c r="DY2" s="375"/>
      <x:c r="DZ2" s="375"/>
      <x:c r="EA2" s="375"/>
      <x:c r="EB2" s="375"/>
      <x:c r="EC2" s="375"/>
      <x:c r="ED2" s="375"/>
      <x:c r="EE2" s="375"/>
      <x:c r="EF2" s="375"/>
      <x:c r="EG2" s="375"/>
      <x:c r="EH2" s="375"/>
      <x:c r="EI2" s="375"/>
      <x:c r="EJ2" s="375"/>
      <x:c r="EK2" s="375"/>
      <x:c r="EL2" s="375"/>
      <x:c r="EM2" s="375"/>
      <x:c r="EN2" s="375"/>
      <x:c r="EO2" s="375"/>
      <x:c r="EP2" s="375"/>
      <x:c r="EQ2" s="375"/>
      <x:c r="ER2" s="375"/>
      <x:c r="ES2" s="375"/>
      <x:c r="ET2" s="375"/>
      <x:c r="EU2" s="375"/>
      <x:c r="EV2" s="375"/>
      <x:c r="EW2" s="375"/>
      <x:c r="EX2" s="375"/>
      <x:c r="EY2" s="375"/>
      <x:c r="EZ2" s="375"/>
      <x:c r="FA2" s="375"/>
      <x:c r="FB2" s="375"/>
      <x:c r="FC2" s="375"/>
      <x:c r="FD2" s="375"/>
      <x:c r="FE2" s="375"/>
      <x:c r="FF2" s="375"/>
      <x:c r="FG2" s="375"/>
      <x:c r="FH2" s="375"/>
      <x:c r="FI2" s="375"/>
      <x:c r="FJ2" s="375"/>
      <x:c r="FK2" s="375"/>
      <x:c r="FL2" s="375"/>
      <x:c r="FM2" s="375"/>
      <x:c r="FN2" s="375"/>
      <x:c r="FO2" s="375"/>
      <x:c r="FP2" s="375"/>
      <x:c r="FQ2" s="375"/>
      <x:c r="FR2" s="375"/>
      <x:c r="FS2" s="375"/>
      <x:c r="FT2" s="375"/>
      <x:c r="FU2" s="375"/>
      <x:c r="FV2" s="375"/>
      <x:c r="FW2" s="375"/>
      <x:c r="FX2" s="375"/>
      <x:c r="FY2" s="375"/>
      <x:c r="FZ2" s="375"/>
      <x:c r="GA2" s="375"/>
      <x:c r="GB2" s="375"/>
      <x:c r="GC2" s="375"/>
      <x:c r="GD2" s="375"/>
      <x:c r="GE2" s="375"/>
      <x:c r="GF2" s="375"/>
      <x:c r="GG2" s="375"/>
      <x:c r="GH2" s="375"/>
      <x:c r="GI2" s="375"/>
      <x:c r="GJ2" s="375"/>
      <x:c r="GK2" s="375"/>
      <x:c r="GL2" s="375"/>
      <x:c r="GM2" s="375"/>
      <x:c r="GN2" s="375"/>
      <x:c r="GO2" s="375"/>
      <x:c r="GP2" s="375"/>
      <x:c r="GQ2" s="375"/>
      <x:c r="GR2" s="375"/>
      <x:c r="GS2" s="375"/>
      <x:c r="GT2" s="375"/>
      <x:c r="GU2" s="375"/>
      <x:c r="GV2" s="375"/>
      <x:c r="GW2" s="375"/>
      <x:c r="GX2" s="375"/>
      <x:c r="GY2" s="375"/>
      <x:c r="GZ2" s="375"/>
      <x:c r="HA2" s="375"/>
      <x:c r="HB2" s="375"/>
      <x:c r="HC2" s="375"/>
      <x:c r="HD2" s="375"/>
      <x:c r="HE2" s="375"/>
      <x:c r="HF2" s="375"/>
      <x:c r="HG2" s="375"/>
      <x:c r="HH2" s="375"/>
      <x:c r="HI2" s="375"/>
      <x:c r="HJ2" s="375"/>
      <x:c r="HK2" s="375"/>
      <x:c r="HL2" s="375"/>
      <x:c r="HM2" s="375"/>
      <x:c r="HN2" s="375"/>
      <x:c r="HO2" s="375"/>
      <x:c r="HP2" s="375"/>
      <x:c r="HQ2" s="375"/>
      <x:c r="HR2" s="375"/>
      <x:c r="HS2" s="375"/>
      <x:c r="HT2" s="375"/>
      <x:c r="HU2" s="375"/>
      <x:c r="HV2" s="375"/>
      <x:c r="HW2" s="375"/>
      <x:c r="HX2" s="375"/>
      <x:c r="HY2" s="375"/>
      <x:c r="HZ2" s="375"/>
      <x:c r="IA2" s="375"/>
      <x:c r="IB2" s="375"/>
      <x:c r="IC2" s="375"/>
      <x:c r="ID2" s="375"/>
      <x:c r="IE2" s="375"/>
      <x:c r="IF2" s="375"/>
      <x:c r="IG2" s="375"/>
      <x:c r="IH2" s="375"/>
      <x:c r="II2" s="375"/>
      <x:c r="IJ2" s="375"/>
      <x:c r="IK2" s="375"/>
      <x:c r="IL2" s="375"/>
      <x:c r="IM2" s="375"/>
      <x:c r="IN2" s="375"/>
      <x:c r="IO2" s="375"/>
      <x:c r="IP2" s="375"/>
      <x:c r="IQ2" s="375"/>
      <x:c r="IR2" s="375"/>
      <x:c r="IS2" s="375"/>
      <x:c r="IT2" s="375"/>
      <x:c r="IU2" s="375"/>
      <x:c r="IV2" s="375"/>
      <x:c r="IW2" s="375"/>
      <x:c r="IX2" s="375"/>
      <x:c r="IY2" s="375"/>
      <x:c r="IZ2" s="375"/>
      <x:c r="JA2" s="375"/>
      <x:c r="JB2" s="375"/>
      <x:c r="JC2" s="375"/>
      <x:c r="JD2" s="375"/>
      <x:c r="JE2" s="375"/>
      <x:c r="JF2" s="375"/>
      <x:c r="JG2" s="375"/>
      <x:c r="JH2" s="375"/>
      <x:c r="JI2" s="375"/>
      <x:c r="JJ2" s="375"/>
      <x:c r="JK2" s="375"/>
      <x:c r="JL2" s="375"/>
      <x:c r="JM2" s="375"/>
      <x:c r="JN2" s="375"/>
      <x:c r="JO2" s="375"/>
      <x:c r="JP2" s="375"/>
      <x:c r="JQ2" s="375"/>
      <x:c r="JR2" s="375"/>
      <x:c r="JS2" s="375"/>
      <x:c r="JT2" s="375"/>
      <x:c r="JU2" s="375"/>
      <x:c r="JV2" s="375"/>
      <x:c r="JW2" s="375"/>
      <x:c r="JX2" s="375"/>
      <x:c r="JY2" s="375"/>
      <x:c r="JZ2" s="375"/>
      <x:c r="KA2" s="375"/>
      <x:c r="KB2" s="375"/>
      <x:c r="KC2" s="375"/>
      <x:c r="KD2" s="375"/>
      <x:c r="KE2" s="375"/>
      <x:c r="KF2" s="375"/>
      <x:c r="KG2" s="375"/>
      <x:c r="KH2" s="375"/>
      <x:c r="KI2" s="375"/>
      <x:c r="KJ2" s="375"/>
      <x:c r="KK2" s="375"/>
      <x:c r="KL2" s="375"/>
      <x:c r="KM2" s="375"/>
      <x:c r="KN2" s="375"/>
      <x:c r="KO2" s="375"/>
      <x:c r="KP2" s="375"/>
      <x:c r="KQ2" s="375"/>
      <x:c r="KR2" s="375"/>
      <x:c r="KS2" s="375"/>
      <x:c r="KT2" s="375"/>
      <x:c r="KU2" s="375"/>
      <x:c r="KV2" s="375"/>
      <x:c r="KW2" s="375"/>
      <x:c r="KX2" s="375"/>
      <x:c r="KY2" s="375"/>
      <x:c r="KZ2" s="375"/>
      <x:c r="LA2" s="375"/>
      <x:c r="LB2" s="375"/>
      <x:c r="LC2" s="375"/>
      <x:c r="LD2" s="375"/>
      <x:c r="LE2" s="375"/>
      <x:c r="LF2" s="375"/>
      <x:c r="LG2" s="375"/>
      <x:c r="LH2" s="375"/>
      <x:c r="LI2" s="375"/>
      <x:c r="LJ2" s="375"/>
      <x:c r="LK2" s="375"/>
      <x:c r="LL2" s="375"/>
      <x:c r="LM2" s="375"/>
      <x:c r="LN2" s="375"/>
      <x:c r="LO2" s="375"/>
      <x:c r="LP2" s="375"/>
      <x:c r="LQ2" s="375"/>
      <x:c r="LR2" s="375"/>
      <x:c r="LS2" s="375"/>
      <x:c r="LT2" s="375"/>
      <x:c r="LU2" s="375"/>
      <x:c r="LV2" s="375"/>
      <x:c r="LW2" s="375"/>
      <x:c r="LX2" s="375"/>
      <x:c r="LY2" s="375"/>
      <x:c r="LZ2" s="375"/>
      <x:c r="MA2" s="375"/>
      <x:c r="MB2" s="375"/>
      <x:c r="MC2" s="375"/>
      <x:c r="MD2" s="375"/>
      <x:c r="ME2" s="375"/>
      <x:c r="MF2" s="375"/>
      <x:c r="MG2" s="375"/>
      <x:c r="MH2" s="375"/>
      <x:c r="MI2" s="375"/>
      <x:c r="MJ2" s="375"/>
      <x:c r="MK2" s="375"/>
      <x:c r="ML2" s="375"/>
      <x:c r="MM2" s="375"/>
      <x:c r="MN2" s="375"/>
      <x:c r="MO2" s="375"/>
      <x:c r="MP2" s="375"/>
      <x:c r="MQ2" s="375"/>
      <x:c r="MR2" s="375"/>
      <x:c r="MS2" s="375"/>
      <x:c r="MT2" s="375"/>
      <x:c r="MU2" s="375"/>
      <x:c r="MV2" s="375"/>
      <x:c r="MW2" s="375"/>
      <x:c r="MX2" s="375"/>
      <x:c r="MY2" s="375"/>
      <x:c r="MZ2" s="375"/>
      <x:c r="NA2" s="375"/>
      <x:c r="NB2" s="375"/>
      <x:c r="NC2" s="375"/>
      <x:c r="ND2" s="375"/>
      <x:c r="NE2" s="375"/>
      <x:c r="NF2" s="375"/>
      <x:c r="NG2" s="375"/>
      <x:c r="NH2" s="375"/>
      <x:c r="NI2" s="375"/>
      <x:c r="NJ2" s="375"/>
      <x:c r="NK2" s="375"/>
      <x:c r="NL2" s="375"/>
      <x:c r="NM2" s="375"/>
      <x:c r="NN2" s="375"/>
      <x:c r="NO2" s="375"/>
      <x:c r="NP2" s="375"/>
      <x:c r="NQ2" s="375"/>
      <x:c r="NR2" s="375"/>
      <x:c r="NS2" s="375"/>
      <x:c r="NT2" s="375"/>
      <x:c r="NU2" s="375"/>
      <x:c r="NV2" s="375"/>
      <x:c r="NW2" s="375"/>
      <x:c r="NX2" s="375"/>
      <x:c r="NY2" s="375"/>
      <x:c r="NZ2" s="375"/>
      <x:c r="OA2" s="375"/>
      <x:c r="OB2" s="375"/>
      <x:c r="OC2" s="375"/>
      <x:c r="OD2" s="375"/>
      <x:c r="OE2" s="375"/>
      <x:c r="OF2" s="375"/>
      <x:c r="OG2" s="375"/>
      <x:c r="OH2" s="375"/>
      <x:c r="OI2" s="375"/>
      <x:c r="OJ2" s="375"/>
      <x:c r="OK2" s="375"/>
      <x:c r="OL2" s="375"/>
      <x:c r="OM2" s="375"/>
      <x:c r="ON2" s="375"/>
      <x:c r="OO2" s="375"/>
      <x:c r="OP2" s="375"/>
      <x:c r="OQ2" s="375"/>
      <x:c r="OR2" s="375"/>
      <x:c r="OS2" s="375"/>
      <x:c r="OT2" s="375"/>
      <x:c r="OU2" s="375"/>
      <x:c r="OV2" s="375"/>
      <x:c r="OW2" s="375"/>
      <x:c r="OX2" s="375"/>
      <x:c r="OY2" s="375"/>
      <x:c r="OZ2" s="375"/>
      <x:c r="PA2" s="375"/>
      <x:c r="PB2" s="375"/>
      <x:c r="PC2" s="375"/>
      <x:c r="PD2" s="375"/>
      <x:c r="PE2" s="375"/>
      <x:c r="PF2" s="375"/>
      <x:c r="PG2" s="375"/>
      <x:c r="PH2" s="375"/>
      <x:c r="PI2" s="375"/>
      <x:c r="PJ2" s="375"/>
      <x:c r="PK2" s="375"/>
      <x:c r="PL2" s="375"/>
      <x:c r="PM2" s="375"/>
      <x:c r="PN2" s="375"/>
      <x:c r="PO2" s="375"/>
      <x:c r="PP2" s="375"/>
      <x:c r="PQ2" s="375"/>
      <x:c r="PR2" s="375"/>
      <x:c r="PS2" s="375"/>
      <x:c r="PT2" s="375"/>
      <x:c r="PU2" s="375"/>
      <x:c r="PV2" s="375"/>
      <x:c r="PW2" s="375"/>
      <x:c r="PX2" s="375"/>
      <x:c r="PY2" s="375"/>
      <x:c r="PZ2" s="375"/>
      <x:c r="QA2" s="375"/>
      <x:c r="QB2" s="375"/>
      <x:c r="QC2" s="375"/>
      <x:c r="QD2" s="375"/>
      <x:c r="QE2" s="375"/>
      <x:c r="QF2" s="375"/>
      <x:c r="QG2" s="375"/>
      <x:c r="QH2" s="375"/>
      <x:c r="QI2" s="375"/>
      <x:c r="QJ2" s="375"/>
      <x:c r="QK2" s="375"/>
      <x:c r="QL2" s="375"/>
      <x:c r="QM2" s="375"/>
      <x:c r="QN2" s="375"/>
      <x:c r="QO2" s="375"/>
      <x:c r="QP2" s="375"/>
      <x:c r="QQ2" s="375"/>
      <x:c r="QR2" s="375"/>
      <x:c r="QS2" s="375"/>
      <x:c r="QT2" s="375"/>
      <x:c r="QU2" s="375"/>
      <x:c r="QV2" s="375"/>
      <x:c r="QW2" s="375"/>
      <x:c r="QX2" s="375"/>
      <x:c r="QY2" s="375"/>
      <x:c r="QZ2" s="375"/>
      <x:c r="RA2" s="375"/>
      <x:c r="RB2" s="375"/>
      <x:c r="RC2" s="375"/>
      <x:c r="RD2" s="375"/>
      <x:c r="RE2" s="375"/>
      <x:c r="RF2" s="375"/>
      <x:c r="RG2" s="375"/>
      <x:c r="RH2" s="375"/>
      <x:c r="RI2" s="375"/>
      <x:c r="RJ2" s="375"/>
      <x:c r="RK2" s="375"/>
      <x:c r="RL2" s="375"/>
      <x:c r="RM2" s="375"/>
      <x:c r="RN2" s="375"/>
      <x:c r="RO2" s="375"/>
      <x:c r="RP2" s="375"/>
      <x:c r="RQ2" s="375"/>
      <x:c r="RR2" s="375"/>
      <x:c r="RS2" s="375"/>
      <x:c r="RT2" s="375"/>
      <x:c r="RU2" s="375"/>
      <x:c r="RV2" s="375"/>
      <x:c r="RW2" s="375"/>
      <x:c r="RX2" s="375"/>
      <x:c r="RY2" s="375"/>
      <x:c r="RZ2" s="375"/>
      <x:c r="SA2" s="375"/>
      <x:c r="SB2" s="375"/>
      <x:c r="SC2" s="375"/>
      <x:c r="SD2" s="375"/>
      <x:c r="SE2" s="375"/>
      <x:c r="SF2" s="375"/>
      <x:c r="SG2" s="375"/>
      <x:c r="SH2" s="375"/>
      <x:c r="SI2" s="375"/>
      <x:c r="SJ2" s="375"/>
      <x:c r="SK2" s="375"/>
      <x:c r="SL2" s="375"/>
      <x:c r="SM2" s="375"/>
      <x:c r="SN2" s="375"/>
      <x:c r="SO2" s="375"/>
      <x:c r="SP2" s="375"/>
      <x:c r="SQ2" s="375"/>
      <x:c r="SR2" s="375"/>
      <x:c r="SS2" s="375"/>
      <x:c r="ST2" s="375"/>
      <x:c r="SU2" s="375"/>
      <x:c r="SV2" s="375"/>
      <x:c r="SW2" s="375"/>
      <x:c r="SX2" s="375"/>
      <x:c r="SY2" s="375"/>
      <x:c r="SZ2" s="375"/>
      <x:c r="TA2" s="375"/>
      <x:c r="TB2" s="375"/>
      <x:c r="TC2" s="375"/>
      <x:c r="TD2" s="375"/>
      <x:c r="TE2" s="375"/>
      <x:c r="TF2" s="375"/>
      <x:c r="TG2" s="375"/>
      <x:c r="TH2" s="375"/>
      <x:c r="TI2" s="375"/>
      <x:c r="TJ2" s="375"/>
      <x:c r="TK2" s="375"/>
      <x:c r="TL2" s="375"/>
      <x:c r="TM2" s="375"/>
      <x:c r="TN2" s="375"/>
      <x:c r="TO2" s="375"/>
      <x:c r="TP2" s="375"/>
      <x:c r="TQ2" s="375"/>
      <x:c r="TR2" s="375"/>
      <x:c r="TS2" s="375"/>
      <x:c r="TT2" s="375"/>
      <x:c r="TU2" s="375"/>
      <x:c r="TV2" s="375"/>
      <x:c r="TW2" s="375"/>
      <x:c r="TX2" s="375"/>
      <x:c r="TY2" s="375"/>
      <x:c r="TZ2" s="375"/>
      <x:c r="UA2" s="375"/>
      <x:c r="UB2" s="375"/>
      <x:c r="UC2" s="375"/>
      <x:c r="UD2" s="375"/>
      <x:c r="UE2" s="375"/>
      <x:c r="UF2" s="375"/>
      <x:c r="UG2" s="375"/>
      <x:c r="UH2" s="375"/>
      <x:c r="UI2" s="375"/>
      <x:c r="UJ2" s="375"/>
      <x:c r="UK2" s="375"/>
      <x:c r="UL2" s="375"/>
      <x:c r="UM2" s="375"/>
      <x:c r="UN2" s="375"/>
      <x:c r="UO2" s="375"/>
      <x:c r="UP2" s="375"/>
      <x:c r="UQ2" s="375"/>
      <x:c r="UR2" s="375"/>
      <x:c r="US2" s="375"/>
      <x:c r="UT2" s="375"/>
      <x:c r="UU2" s="375"/>
      <x:c r="UV2" s="375"/>
      <x:c r="UW2" s="375"/>
      <x:c r="UX2" s="375"/>
      <x:c r="UY2" s="375"/>
      <x:c r="UZ2" s="375"/>
      <x:c r="VA2" s="375"/>
      <x:c r="VB2" s="375"/>
      <x:c r="VC2" s="375"/>
      <x:c r="VD2" s="375"/>
      <x:c r="VE2" s="375"/>
      <x:c r="VF2" s="375"/>
      <x:c r="VG2" s="375"/>
      <x:c r="VH2" s="375"/>
      <x:c r="VI2" s="375"/>
      <x:c r="VJ2" s="375"/>
      <x:c r="VK2" s="375"/>
      <x:c r="VL2" s="375"/>
      <x:c r="VM2" s="375"/>
      <x:c r="VN2" s="375"/>
      <x:c r="VO2" s="375"/>
      <x:c r="VP2" s="375"/>
      <x:c r="VQ2" s="375"/>
      <x:c r="VR2" s="375"/>
      <x:c r="VS2" s="375"/>
      <x:c r="VT2" s="375"/>
      <x:c r="VU2" s="375"/>
      <x:c r="VV2" s="375"/>
      <x:c r="VW2" s="375"/>
      <x:c r="VX2" s="375"/>
      <x:c r="VY2" s="375"/>
      <x:c r="VZ2" s="375"/>
      <x:c r="WA2" s="375"/>
      <x:c r="WB2" s="375"/>
      <x:c r="WC2" s="375"/>
      <x:c r="WD2" s="375"/>
      <x:c r="WE2" s="375"/>
      <x:c r="WF2" s="375"/>
      <x:c r="WG2" s="375"/>
      <x:c r="WH2" s="375"/>
      <x:c r="WI2" s="375"/>
      <x:c r="WJ2" s="375"/>
      <x:c r="WK2" s="375"/>
      <x:c r="WL2" s="375"/>
      <x:c r="WM2" s="375"/>
      <x:c r="WN2" s="375"/>
      <x:c r="WO2" s="375"/>
      <x:c r="WP2" s="375"/>
      <x:c r="WQ2" s="375"/>
      <x:c r="WR2" s="375"/>
      <x:c r="WS2" s="375"/>
      <x:c r="WT2" s="375"/>
      <x:c r="WU2" s="375"/>
      <x:c r="WV2" s="375"/>
      <x:c r="WW2" s="375"/>
      <x:c r="WX2" s="375"/>
      <x:c r="WY2" s="375"/>
      <x:c r="WZ2" s="375"/>
      <x:c r="XA2" s="375"/>
      <x:c r="XB2" s="375"/>
      <x:c r="XC2" s="375"/>
      <x:c r="XD2" s="375"/>
      <x:c r="XE2" s="375"/>
      <x:c r="XF2" s="375"/>
      <x:c r="XG2" s="375"/>
      <x:c r="XH2" s="375"/>
      <x:c r="XI2" s="375"/>
      <x:c r="XJ2" s="375"/>
      <x:c r="XK2" s="375"/>
      <x:c r="XL2" s="375"/>
      <x:c r="XM2" s="375"/>
      <x:c r="XN2" s="375"/>
      <x:c r="XO2" s="375"/>
      <x:c r="XP2" s="375"/>
      <x:c r="XQ2" s="375"/>
      <x:c r="XR2" s="375"/>
      <x:c r="XS2" s="375"/>
      <x:c r="XT2" s="375"/>
      <x:c r="XU2" s="375"/>
      <x:c r="XV2" s="375"/>
      <x:c r="XW2" s="375"/>
      <x:c r="XX2" s="375"/>
      <x:c r="XY2" s="375"/>
      <x:c r="XZ2" s="375"/>
      <x:c r="YA2" s="375"/>
      <x:c r="YB2" s="375"/>
      <x:c r="YC2" s="375"/>
      <x:c r="YD2" s="375"/>
      <x:c r="YE2" s="375"/>
      <x:c r="YF2" s="375"/>
      <x:c r="YG2" s="375"/>
      <x:c r="YH2" s="375"/>
      <x:c r="YI2" s="375"/>
      <x:c r="YJ2" s="375"/>
      <x:c r="YK2" s="375"/>
      <x:c r="YL2" s="375"/>
      <x:c r="YM2" s="375"/>
      <x:c r="YN2" s="375"/>
      <x:c r="YO2" s="375"/>
      <x:c r="YP2" s="375"/>
      <x:c r="YQ2" s="375"/>
      <x:c r="YR2" s="375"/>
      <x:c r="YS2" s="375"/>
      <x:c r="YT2" s="375"/>
      <x:c r="YU2" s="375"/>
      <x:c r="YV2" s="375"/>
      <x:c r="YW2" s="375"/>
      <x:c r="YX2" s="375"/>
      <x:c r="YY2" s="375"/>
      <x:c r="YZ2" s="375"/>
      <x:c r="ZA2" s="375"/>
      <x:c r="ZB2" s="375"/>
      <x:c r="ZC2" s="375"/>
      <x:c r="ZD2" s="375"/>
      <x:c r="ZE2" s="375"/>
      <x:c r="ZF2" s="375"/>
      <x:c r="ZG2" s="375"/>
      <x:c r="ZH2" s="375"/>
      <x:c r="ZI2" s="375"/>
      <x:c r="ZJ2" s="375"/>
      <x:c r="ZK2" s="375"/>
      <x:c r="ZL2" s="375"/>
      <x:c r="ZM2" s="375"/>
      <x:c r="ZN2" s="375"/>
      <x:c r="ZO2" s="375"/>
      <x:c r="ZP2" s="375"/>
      <x:c r="ZQ2" s="375"/>
      <x:c r="ZR2" s="375"/>
      <x:c r="ZS2" s="375"/>
      <x:c r="ZT2" s="375"/>
      <x:c r="ZU2" s="375"/>
      <x:c r="ZV2" s="375"/>
      <x:c r="ZW2" s="375"/>
      <x:c r="ZX2" s="375"/>
      <x:c r="ZY2" s="375"/>
      <x:c r="ZZ2" s="375"/>
      <x:c r="AAA2" s="375"/>
      <x:c r="AAB2" s="375"/>
      <x:c r="AAC2" s="375"/>
      <x:c r="AAD2" s="375"/>
      <x:c r="AAE2" s="375"/>
      <x:c r="AAF2" s="375"/>
      <x:c r="AAG2" s="375"/>
      <x:c r="AAH2" s="375"/>
      <x:c r="AAI2" s="375"/>
      <x:c r="AAJ2" s="375"/>
      <x:c r="AAK2" s="375"/>
      <x:c r="AAL2" s="375"/>
      <x:c r="AAM2" s="375"/>
      <x:c r="AAN2" s="375"/>
      <x:c r="AAO2" s="375"/>
      <x:c r="AAP2" s="375"/>
      <x:c r="AAQ2" s="375"/>
      <x:c r="AAR2" s="375"/>
      <x:c r="AAS2" s="375"/>
      <x:c r="AAT2" s="375"/>
      <x:c r="AAU2" s="375"/>
      <x:c r="AAV2" s="375"/>
      <x:c r="AAW2" s="375"/>
      <x:c r="AAX2" s="375"/>
      <x:c r="AAY2" s="375"/>
      <x:c r="AAZ2" s="375"/>
      <x:c r="ABA2" s="375"/>
      <x:c r="ABB2" s="375"/>
      <x:c r="ABC2" s="375"/>
      <x:c r="ABD2" s="375"/>
      <x:c r="ABE2" s="375"/>
      <x:c r="ABF2" s="375"/>
      <x:c r="ABG2" s="375"/>
      <x:c r="ABH2" s="375"/>
      <x:c r="ABI2" s="375"/>
      <x:c r="ABJ2" s="375"/>
      <x:c r="ABK2" s="375"/>
      <x:c r="ABL2" s="375"/>
      <x:c r="ABM2" s="375"/>
      <x:c r="ABN2" s="375"/>
      <x:c r="ABO2" s="375"/>
      <x:c r="ABP2" s="375"/>
      <x:c r="ABQ2" s="375"/>
      <x:c r="ABR2" s="375"/>
      <x:c r="ABS2" s="375"/>
      <x:c r="ABT2" s="375"/>
      <x:c r="ABU2" s="375"/>
      <x:c r="ABV2" s="375"/>
      <x:c r="ABW2" s="375"/>
      <x:c r="ABX2" s="375"/>
      <x:c r="ABY2" s="375"/>
      <x:c r="ABZ2" s="375"/>
      <x:c r="ACA2" s="375"/>
      <x:c r="ACB2" s="375"/>
      <x:c r="ACC2" s="375"/>
      <x:c r="ACD2" s="375"/>
      <x:c r="ACE2" s="375"/>
      <x:c r="ACF2" s="375"/>
      <x:c r="ACG2" s="375"/>
      <x:c r="ACH2" s="375"/>
      <x:c r="ACI2" s="375"/>
      <x:c r="ACJ2" s="375"/>
      <x:c r="ACK2" s="375"/>
      <x:c r="ACL2" s="375"/>
      <x:c r="ACM2" s="375"/>
      <x:c r="ACN2" s="375"/>
      <x:c r="ACO2" s="375"/>
      <x:c r="ACP2" s="375"/>
      <x:c r="ACQ2" s="375"/>
      <x:c r="ACR2" s="375"/>
      <x:c r="ACS2" s="375"/>
      <x:c r="ACT2" s="375"/>
      <x:c r="ACU2" s="375"/>
      <x:c r="ACV2" s="375"/>
      <x:c r="ACW2" s="375"/>
      <x:c r="ACX2" s="375"/>
      <x:c r="ACY2" s="375"/>
      <x:c r="ACZ2" s="375"/>
      <x:c r="ADA2" s="375"/>
      <x:c r="ADB2" s="375"/>
      <x:c r="ADC2" s="375"/>
      <x:c r="ADD2" s="375"/>
      <x:c r="ADE2" s="375"/>
      <x:c r="ADF2" s="375"/>
      <x:c r="ADG2" s="375"/>
      <x:c r="ADH2" s="375"/>
      <x:c r="ADI2" s="375"/>
      <x:c r="ADJ2" s="375"/>
      <x:c r="ADK2" s="375"/>
      <x:c r="ADL2" s="375"/>
      <x:c r="ADM2" s="375"/>
      <x:c r="ADN2" s="375"/>
      <x:c r="ADO2" s="375"/>
      <x:c r="ADP2" s="375"/>
      <x:c r="ADQ2" s="375"/>
      <x:c r="ADR2" s="375"/>
      <x:c r="ADS2" s="375"/>
      <x:c r="ADT2" s="375"/>
      <x:c r="ADU2" s="375"/>
      <x:c r="ADV2" s="375"/>
      <x:c r="ADW2" s="375"/>
      <x:c r="ADX2" s="375"/>
      <x:c r="ADY2" s="375"/>
      <x:c r="ADZ2" s="375"/>
      <x:c r="AEA2" s="375"/>
      <x:c r="AEB2" s="375"/>
      <x:c r="AEC2" s="375"/>
      <x:c r="AED2" s="375"/>
      <x:c r="AEE2" s="375"/>
      <x:c r="AEF2" s="375"/>
      <x:c r="AEG2" s="375"/>
      <x:c r="AEH2" s="375"/>
      <x:c r="AEI2" s="375"/>
      <x:c r="AEJ2" s="375"/>
      <x:c r="AEK2" s="375"/>
      <x:c r="AEL2" s="375"/>
      <x:c r="AEM2" s="375"/>
      <x:c r="AEN2" s="375"/>
      <x:c r="AEO2" s="375"/>
      <x:c r="AEP2" s="375"/>
      <x:c r="AEQ2" s="375"/>
      <x:c r="AER2" s="375"/>
      <x:c r="AES2" s="375"/>
      <x:c r="AET2" s="375"/>
      <x:c r="AEU2" s="375"/>
      <x:c r="AEV2" s="375"/>
      <x:c r="AEW2" s="375"/>
      <x:c r="AEX2" s="375"/>
      <x:c r="AEY2" s="375"/>
      <x:c r="AEZ2" s="375"/>
      <x:c r="AFA2" s="375"/>
      <x:c r="AFB2" s="375"/>
      <x:c r="AFC2" s="375"/>
      <x:c r="AFD2" s="375"/>
      <x:c r="AFE2" s="375"/>
      <x:c r="AFF2" s="375"/>
      <x:c r="AFG2" s="375"/>
      <x:c r="AFH2" s="375"/>
      <x:c r="AFI2" s="375"/>
      <x:c r="AFJ2" s="375"/>
      <x:c r="AFK2" s="375"/>
      <x:c r="AFL2" s="375"/>
      <x:c r="AFM2" s="375"/>
      <x:c r="AFN2" s="375"/>
      <x:c r="AFO2" s="375"/>
      <x:c r="AFP2" s="375"/>
      <x:c r="AFQ2" s="375"/>
      <x:c r="AFR2" s="375"/>
      <x:c r="AFS2" s="375"/>
      <x:c r="AFT2" s="375"/>
      <x:c r="AFU2" s="375"/>
      <x:c r="AFV2" s="375"/>
      <x:c r="AFW2" s="375"/>
      <x:c r="AFX2" s="375"/>
      <x:c r="AFY2" s="375"/>
      <x:c r="AFZ2" s="375"/>
      <x:c r="AGA2" s="375"/>
      <x:c r="AGB2" s="375"/>
      <x:c r="AGC2" s="375"/>
      <x:c r="AGD2" s="375"/>
      <x:c r="AGE2" s="375"/>
      <x:c r="AGF2" s="375"/>
      <x:c r="AGG2" s="375"/>
      <x:c r="AGH2" s="375"/>
      <x:c r="AGI2" s="375"/>
      <x:c r="AGJ2" s="375"/>
      <x:c r="AGK2" s="375"/>
      <x:c r="AGL2" s="375"/>
      <x:c r="AGM2" s="375"/>
      <x:c r="AGN2" s="375"/>
      <x:c r="AGO2" s="375"/>
      <x:c r="AGP2" s="375"/>
      <x:c r="AGQ2" s="375"/>
      <x:c r="AGR2" s="375"/>
      <x:c r="AGS2" s="375"/>
      <x:c r="AGT2" s="375"/>
      <x:c r="AGU2" s="375"/>
      <x:c r="AGV2" s="375"/>
      <x:c r="AGW2" s="375"/>
      <x:c r="AGX2" s="375"/>
      <x:c r="AGY2" s="375"/>
      <x:c r="AGZ2" s="375"/>
      <x:c r="AHA2" s="375"/>
      <x:c r="AHB2" s="375"/>
      <x:c r="AHC2" s="375"/>
      <x:c r="AHD2" s="375"/>
      <x:c r="AHE2" s="375"/>
      <x:c r="AHF2" s="375"/>
      <x:c r="AHG2" s="375"/>
      <x:c r="AHH2" s="375"/>
      <x:c r="AHI2" s="375"/>
      <x:c r="AHJ2" s="375"/>
      <x:c r="AHK2" s="375"/>
      <x:c r="AHL2" s="375"/>
      <x:c r="AHM2" s="375"/>
      <x:c r="AHN2" s="375"/>
      <x:c r="AHO2" s="375"/>
      <x:c r="AHP2" s="375"/>
      <x:c r="AHQ2" s="375"/>
      <x:c r="AHR2" s="375"/>
      <x:c r="AHS2" s="375"/>
      <x:c r="AHT2" s="375"/>
      <x:c r="AHU2" s="375"/>
      <x:c r="AHV2" s="375"/>
      <x:c r="AHW2" s="375"/>
      <x:c r="AHX2" s="375"/>
      <x:c r="AHY2" s="375"/>
      <x:c r="AHZ2" s="375"/>
      <x:c r="AIA2" s="375"/>
      <x:c r="AIB2" s="375"/>
      <x:c r="AIC2" s="375"/>
      <x:c r="AID2" s="375"/>
      <x:c r="AIE2" s="375"/>
      <x:c r="AIF2" s="375"/>
      <x:c r="AIG2" s="375"/>
      <x:c r="AIH2" s="375"/>
      <x:c r="AII2" s="375"/>
      <x:c r="AIJ2" s="375"/>
      <x:c r="AIK2" s="375"/>
      <x:c r="AIL2" s="375"/>
      <x:c r="AIM2" s="375"/>
      <x:c r="AIN2" s="375"/>
      <x:c r="AIO2" s="375"/>
      <x:c r="AIP2" s="375"/>
      <x:c r="AIQ2" s="375"/>
      <x:c r="AIR2" s="375"/>
      <x:c r="AIS2" s="375"/>
      <x:c r="AIT2" s="375"/>
      <x:c r="AIU2" s="375"/>
      <x:c r="AIV2" s="375"/>
      <x:c r="AIW2" s="375"/>
      <x:c r="AIX2" s="375"/>
      <x:c r="AIY2" s="375"/>
      <x:c r="AIZ2" s="375"/>
      <x:c r="AJA2" s="375"/>
      <x:c r="AJB2" s="375"/>
      <x:c r="AJC2" s="375"/>
      <x:c r="AJD2" s="375"/>
      <x:c r="AJE2" s="375"/>
      <x:c r="AJF2" s="375"/>
      <x:c r="AJG2" s="375"/>
      <x:c r="AJH2" s="375"/>
      <x:c r="AJI2" s="375"/>
      <x:c r="AJJ2" s="375"/>
      <x:c r="AJK2" s="375"/>
      <x:c r="AJL2" s="375"/>
      <x:c r="AJM2" s="375"/>
      <x:c r="AJN2" s="375"/>
      <x:c r="AJO2" s="375"/>
      <x:c r="AJP2" s="375"/>
      <x:c r="AJQ2" s="375"/>
      <x:c r="AJR2" s="375"/>
      <x:c r="AJS2" s="375"/>
      <x:c r="AJT2" s="375"/>
      <x:c r="AJU2" s="375"/>
      <x:c r="AJV2" s="375"/>
      <x:c r="AJW2" s="375"/>
      <x:c r="AJX2" s="375"/>
      <x:c r="AJY2" s="375"/>
      <x:c r="AJZ2" s="375"/>
      <x:c r="AKA2" s="375"/>
      <x:c r="AKB2" s="375"/>
      <x:c r="AKC2" s="375"/>
      <x:c r="AKD2" s="375"/>
      <x:c r="AKE2" s="375"/>
      <x:c r="AKF2" s="375"/>
      <x:c r="AKG2" s="375"/>
      <x:c r="AKH2" s="375"/>
      <x:c r="AKI2" s="375"/>
      <x:c r="AKJ2" s="375"/>
      <x:c r="AKK2" s="375"/>
      <x:c r="AKL2" s="375"/>
      <x:c r="AKM2" s="375"/>
      <x:c r="AKN2" s="375"/>
      <x:c r="AKO2" s="375"/>
      <x:c r="AKP2" s="375"/>
      <x:c r="AKQ2" s="375"/>
      <x:c r="AKR2" s="375"/>
      <x:c r="AKS2" s="375"/>
      <x:c r="AKT2" s="375"/>
      <x:c r="AKU2" s="375"/>
      <x:c r="AKV2" s="375"/>
      <x:c r="AKW2" s="375"/>
      <x:c r="AKX2" s="375"/>
      <x:c r="AKY2" s="375"/>
      <x:c r="AKZ2" s="375"/>
      <x:c r="ALA2" s="375"/>
      <x:c r="ALB2" s="375"/>
      <x:c r="ALC2" s="375"/>
      <x:c r="ALD2" s="375"/>
      <x:c r="ALE2" s="375"/>
      <x:c r="ALF2" s="375"/>
      <x:c r="ALG2" s="375"/>
      <x:c r="ALH2" s="375"/>
      <x:c r="ALI2" s="375"/>
      <x:c r="ALJ2" s="375"/>
      <x:c r="ALK2" s="375"/>
      <x:c r="ALL2" s="375"/>
      <x:c r="ALM2" s="375"/>
      <x:c r="ALN2" s="375"/>
      <x:c r="ALO2" s="375"/>
      <x:c r="ALP2" s="375"/>
      <x:c r="ALQ2" s="375"/>
      <x:c r="ALR2" s="375"/>
      <x:c r="ALS2" s="375"/>
      <x:c r="ALT2" s="375"/>
      <x:c r="ALU2" s="375"/>
      <x:c r="ALV2" s="375"/>
      <x:c r="ALW2" s="375"/>
      <x:c r="ALX2" s="375"/>
      <x:c r="ALY2" s="375"/>
      <x:c r="ALZ2" s="375"/>
      <x:c r="AMA2" s="375"/>
      <x:c r="AMB2" s="375"/>
      <x:c r="AMC2" s="375"/>
      <x:c r="AMD2" s="375"/>
      <x:c r="AME2" s="375"/>
      <x:c r="AMF2" s="375"/>
      <x:c r="AMG2" s="375"/>
      <x:c r="AMH2" s="375"/>
      <x:c r="AMI2" s="375"/>
      <x:c r="AMJ2" s="375"/>
      <x:c r="AMK2" s="375"/>
      <x:c r="AML2" s="375"/>
      <x:c r="AMM2" s="375"/>
      <x:c r="AMN2" s="375"/>
    </x:row>
    <x:row r="3" ht="38" hidden="0" customHeight="1">
      <x:c r="A3" s="382" t="str">
        <x:v>01-yurina-o-n-2</x:v>
      </x:c>
      <x:c r="B3" s="382" t="str">
        <x:v>yurina</x:v>
      </x:c>
      <x:c r="C3" s="382"/>
      <x:c r="D3" s="382"/>
      <x:c r="E3" s="382" t="str">
        <x:v>一閃</x:v>
      </x:c>
      <x:c r="F3" s="382" t="str">
        <x:v>いっせん</x:v>
      </x:c>
      <x:c r="G3" s="383" t="str">
        <x:v>一闪</x:v>
      </x:c>
      <x:c r="H3" s="382" t="str">
        <x:v>一闪</x:v>
      </x:c>
      <x:c r="I3" s="384"/>
      <x:c r="J3" s="383" t="str">
        <x:v>일섬</x:v>
      </x:c>
      <x:c r="K3" s="383" t="str">
        <x:v>Brandish</x:v>
      </x:c>
      <x:c r="L3" s="382"/>
      <x:c r="M3" s="382" t="str">
        <x:v>通常札</x:v>
      </x:c>
      <x:c r="N3" s="382"/>
      <x:c r="O3" s="382"/>
      <x:c r="P3" s="382"/>
      <x:c r="Q3" s="382"/>
      <x:c r="R3" s="382" t="str">
        <x:v>攻撃</x:v>
      </x:c>
      <x:c r="S3" s="382"/>
      <x:c r="T3" s="382" t="str">
        <x:v>3-4</x:v>
      </x:c>
      <x:c r="U3" s="383"/>
      <x:c r="V3" s="376" t="str">
        <x:v>2/2</x:v>
      </x:c>
      <x:c r="W3" s="383"/>
      <x:c r="X3" s="382"/>
      <x:c r="Y3" s="382"/>
      <x:c r="Z3" s="382"/>
      <x:c r="AA3" s="382"/>
      <x:c r="AB3" s="385"/>
      <x:c r="AC3" s="385"/>
      <x:c r="AD3" s="386"/>
      <x:c r="AE3" s="440" t="str">
        <x:v>【常時】決死―あなたのライフが3以下ならば、この《攻撃》は+1/+0となる。</x:v>
      </x:c>
      <x:c r="AF3" s="441"/>
      <x:c r="AG3" s="487" t="str">
        <x:v>【常时】决死～若自命中的樱花结晶数小于等于3，则此《攻击》得+1/+0。</x:v>
      </x:c>
      <x:c r="AH3" s="442"/>
      <x:c r="AI3" s="487" t="str">
        <x:v>【常时】决死-若自命中的樱花结晶的数目小于3，则此《攻击》得+1/+0。</x:v>
      </x:c>
      <x:c r="AJ3" s="440"/>
      <x:c r="AK3" s="488" t="str">
        <x:v>【상시】결사-당신의 라이프가 3 이하라면, 이 《공격》은 +1/+0이 된다.</x:v>
      </x:c>
      <x:c r="AL3" s="440"/>
      <x:c r="AM3" s="488" t="str">
        <x:v>Forced: Resolve - This attack gains +1/+0 if your Life is 3 or less.</x:v>
      </x:c>
      <x:c r="AN3" s="440"/>
      <x:c r="AO3" s="439"/>
      <x:c r="AP3" s="439"/>
      <x:c r="AQ3" s="439"/>
      <x:c r="AR3" s="439"/>
      <x:c r="AS3" s="439"/>
      <x:c r="AT3" s="378" t="str">
        <x:f aca="0">IF(A3="", "","'"&amp;A3&amp;"': {megami: '"&amp;B3&amp;"'"&amp;IF(C3&lt;&gt;"",", anotherID: '"&amp;C3&amp;"', replace: '"&amp;D3&amp;"'","")&amp;", name: '"&amp;SUBSTITUTE(E3,"'","\'")&amp;"', nameEn: '"&amp;SUBSTITUTE(K3,"'","\'")&amp;"', nameZh: '"&amp;SUBSTITUTE(G3,"'","\'")&amp;"', nameZhG2: '"&amp;SUBSTITUTE(H3,"'","\'")&amp;"', nameKo: '"&amp;SUBSTITUTE(J3,"'","\'")&amp;"', ruby: '"&amp;F3&amp;"', rubyEn: '"&amp;L3&amp;IF(I3&lt;&gt;"", "', rubyZh: '"&amp;I3, "")&amp;"', baseType: '"&amp;IF(M3="通常札","normal",IF(M3="切札","special",IF(M3="追加札","extra",IF(M3="transform","transform",IF(M3="嵐","storm",IF(M3="兵員","troop",IF(M3="構想","plan",IF(M3="メインパーツ","mainParts",IF(M3="カスタムパーツ","customParts",IF(M3="運命","fate",IF(M3="仮想樹","virtualTree","")))))))))))&amp;"'"&amp;IF(N3="○",", extra: true","")&amp;IF(O3&lt;&gt;"",", extraFrom: '"&amp;O3&amp;"'","")&amp;IF(P3&lt;&gt;"",", exchangableTo: '"&amp;P3&amp;"'","")&amp;IF(Q3="○",", poison: true","")&amp;IF(R3&lt;&gt;"", ", type: '"&amp;IF(R3="攻撃","attack",IF(R3="行動","action",IF(R3="不定","variable",IF(R3="対応","reaction",IF(R3="全力","fullpower",IF(R3="付与","enhance",IF(R3="transform","transform","")))))))&amp;"'", "")&amp;IF(S3&lt;&gt;"",", subType: '"&amp;IF(S3="攻撃","attack",IF(S3="行動","action",IF(S3="不定","variable",IF(S3="対応","reaction",IF(S3="全力","fullpower",IF(S3="付与","enhance",IF(S3="transform","transform","")))))))&amp;"'","")&amp;""&amp;IF(T3&lt;&gt;"",",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textZhG2: '"&amp;SUBSTITUTE(SUBSTITUTE(SUBSTITUTE(AI3, CHAR(13), ""),CHAR(10),"\n"),"'","\'")&amp;IF(AH3&lt;&gt;"", "', textZhAdditional: '"&amp;SUBSTITUTE(SUBSTITUTE(AH3, CHAR(13), ""),CHAR(10),"\n"), "")&amp;IF(AK3&lt;&gt;"", "', textZhG2Additional: '"&amp;SUBSTITUTE(SUBSTITUTE(AK3, CHAR(13), ""),CHAR(10),"\n"), "")&amp;"', textKo: '"&amp;SUBSTITUTE(SUBSTITUTE(SUBSTITUTE(AM3, CHAR(13), ""),CHAR(10),"\n"),"'","\'")&amp;IF(AM3&lt;&gt;"", "', textKoAdditional: '"&amp;SUBSTITUTE(SUBSTITUTE(AM3, CHAR(13), ""),CHAR(10),"\n"), "")&amp;"', textEn: '"&amp;SUBSTITUTE(SUBSTITUTE(SUBSTITUTE(AM3, CHAR(13), ""),CHAR(10),"\n"),"'","\'")&amp;IF(AN3&lt;&gt;"", "', textEnAdditional: '"&amp;SUBSTITUTE(SUBSTITUTE(AN3, CHAR(13), ""),CHAR(10),"\n"), "")&amp;"'"&amp;IF(AB3="○",", sealable: true","")&amp;IF(AC3="○",", removable: true","")&amp;IF(AA3="○",", lie: true","")&amp;IF(AD3="○",", investable: true","")&amp;"},")</x:f>
        <x:v>'01-yurina-o-n-2': {megami: 'yurina', name: '一閃', nameEn: 'Brandish', nameZh: '一闪', nameZhG2: '一闪', nameKo: '일섬', ruby: 'いっせん', rubyEn: '', baseType: 'normal', type: 'attack', range: '3-4', damage: '2/2', text: '【常時】決死―あなたのライフが3以下ならば、この《攻撃》は+1/+0となる。', textZh: '【常时】决死～若自命中的樱花结晶数小于等于3，则此《攻击》得+1/+0。', textZhG2: '【常时】决死-若自命中的樱花结晶的数目小于3，则此《攻击》得+1/+0。', textZhG2Additional: '【상시】결사-당신의 라이프가 3 이하라면, 이 《공격》은 +1/+0이 된다.', textKo: 'Forced: Resolve - This attack gains +1/+0 if your Life is 3 or less.', textKoAdditional: 'Forced: Resolve - This attack gains +1/+0 if your Life is 3 or less.', textEn: 'Forced: Resolve - This attack gains +1/+0 if your Life is 3 or less.'},</x:v>
      </x:c>
      <x:c r="AU3" s="379" t="str">
        <x:f aca="0">IF($A3&lt;&gt;"", "    /** 《"&amp;$E3&amp;"》 */ export const "&amp;SUBSTITUTE(UPPER(IF(MID($A3, 3, 1)="-", RIGHT($A3,LEN($A3)-3), $A3)), "-", "_")&amp;": TCardId = '"&amp;$A3&amp;"';", "")</x:f>
        <x:v>    /** 《一閃》 */ export const YURINA_O_N_2: TCardId = '01-yurina-o-n-2';</x:v>
      </x:c>
      <x:c r="AV3" s="380" t="str">
        <x:f aca="0">IF($A4&lt;&gt;"", "    | '"&amp;$A4&amp;"'", "")</x:f>
        <x:v>    | '01-yurina-o-n-3'</x:v>
      </x:c>
      <x:c r="AW3" s="381"/>
      <x:c r="AX3" s="381"/>
      <x:c r="AY3" s="381"/>
      <x:c r="AZ3" s="381"/>
      <x:c r="BA3" s="381"/>
      <x:c r="BB3" s="381"/>
      <x:c r="BC3" s="381"/>
      <x:c r="BD3" s="381"/>
      <x:c r="BE3" s="381"/>
      <x:c r="BF3" s="381"/>
      <x:c r="BG3" s="381"/>
      <x:c r="BH3" s="381"/>
      <x:c r="BI3" s="381"/>
      <x:c r="BJ3" s="381"/>
      <x:c r="BK3" s="381"/>
      <x:c r="BL3" s="381"/>
      <x:c r="BM3" s="381"/>
      <x:c r="BN3" s="381"/>
      <x:c r="BO3" s="381"/>
      <x:c r="BP3" s="381"/>
      <x:c r="BQ3" s="375"/>
      <x:c r="BR3" s="375"/>
      <x:c r="BS3" s="375"/>
      <x:c r="BT3" s="375"/>
      <x:c r="BU3" s="375"/>
      <x:c r="BV3" s="375"/>
      <x:c r="BW3" s="375"/>
      <x:c r="BX3" s="375"/>
      <x:c r="BY3" s="375"/>
      <x:c r="BZ3" s="375"/>
      <x:c r="CA3" s="375"/>
      <x:c r="CB3" s="375"/>
      <x:c r="CC3" s="375"/>
      <x:c r="CD3" s="375"/>
      <x:c r="CE3" s="375"/>
      <x:c r="CF3" s="375"/>
      <x:c r="CG3" s="375"/>
      <x:c r="CH3" s="375"/>
      <x:c r="CI3" s="375"/>
      <x:c r="CJ3" s="375"/>
      <x:c r="CK3" s="375"/>
      <x:c r="CL3" s="375"/>
      <x:c r="CM3" s="375"/>
      <x:c r="CN3" s="375"/>
      <x:c r="CO3" s="375"/>
      <x:c r="CP3" s="375"/>
      <x:c r="CQ3" s="375"/>
      <x:c r="CR3" s="375"/>
      <x:c r="CS3" s="375"/>
      <x:c r="CT3" s="375"/>
      <x:c r="CU3" s="375"/>
      <x:c r="CV3" s="375"/>
      <x:c r="CW3" s="375"/>
      <x:c r="CX3" s="375"/>
      <x:c r="CY3" s="375"/>
      <x:c r="CZ3" s="375"/>
      <x:c r="DA3" s="375"/>
      <x:c r="DB3" s="375"/>
      <x:c r="DC3" s="375"/>
      <x:c r="DD3" s="375"/>
      <x:c r="DE3" s="375"/>
      <x:c r="DF3" s="375"/>
      <x:c r="DG3" s="375"/>
      <x:c r="DH3" s="375"/>
      <x:c r="DI3" s="375"/>
      <x:c r="DJ3" s="375"/>
      <x:c r="DK3" s="375"/>
      <x:c r="DL3" s="375"/>
      <x:c r="DM3" s="375"/>
      <x:c r="DN3" s="375"/>
      <x:c r="DO3" s="375"/>
      <x:c r="DP3" s="375"/>
      <x:c r="DQ3" s="375"/>
      <x:c r="DR3" s="375"/>
      <x:c r="DS3" s="375"/>
      <x:c r="DT3" s="375"/>
      <x:c r="DU3" s="375"/>
      <x:c r="DV3" s="375"/>
      <x:c r="DW3" s="375"/>
      <x:c r="DX3" s="375"/>
      <x:c r="DY3" s="375"/>
      <x:c r="DZ3" s="375"/>
      <x:c r="EA3" s="375"/>
      <x:c r="EB3" s="375"/>
      <x:c r="EC3" s="375"/>
      <x:c r="ED3" s="375"/>
      <x:c r="EE3" s="375"/>
      <x:c r="EF3" s="375"/>
      <x:c r="EG3" s="375"/>
      <x:c r="EH3" s="375"/>
      <x:c r="EI3" s="375"/>
      <x:c r="EJ3" s="375"/>
      <x:c r="EK3" s="375"/>
      <x:c r="EL3" s="375"/>
      <x:c r="EM3" s="375"/>
      <x:c r="EN3" s="375"/>
      <x:c r="EO3" s="375"/>
      <x:c r="EP3" s="375"/>
      <x:c r="EQ3" s="375"/>
      <x:c r="ER3" s="375"/>
      <x:c r="ES3" s="375"/>
      <x:c r="ET3" s="375"/>
      <x:c r="EU3" s="375"/>
      <x:c r="EV3" s="375"/>
      <x:c r="EW3" s="375"/>
      <x:c r="EX3" s="375"/>
      <x:c r="EY3" s="375"/>
      <x:c r="EZ3" s="375"/>
      <x:c r="FA3" s="375"/>
      <x:c r="FB3" s="375"/>
      <x:c r="FC3" s="375"/>
      <x:c r="FD3" s="375"/>
      <x:c r="FE3" s="375"/>
      <x:c r="FF3" s="375"/>
      <x:c r="FG3" s="375"/>
      <x:c r="FH3" s="375"/>
      <x:c r="FI3" s="375"/>
      <x:c r="FJ3" s="375"/>
      <x:c r="FK3" s="375"/>
      <x:c r="FL3" s="375"/>
      <x:c r="FM3" s="375"/>
      <x:c r="FN3" s="375"/>
      <x:c r="FO3" s="375"/>
      <x:c r="FP3" s="375"/>
      <x:c r="FQ3" s="375"/>
      <x:c r="FR3" s="375"/>
      <x:c r="FS3" s="375"/>
      <x:c r="FT3" s="375"/>
      <x:c r="FU3" s="375"/>
      <x:c r="FV3" s="375"/>
      <x:c r="FW3" s="375"/>
      <x:c r="FX3" s="375"/>
      <x:c r="FY3" s="375"/>
      <x:c r="FZ3" s="375"/>
      <x:c r="GA3" s="375"/>
      <x:c r="GB3" s="375"/>
      <x:c r="GC3" s="375"/>
      <x:c r="GD3" s="375"/>
      <x:c r="GE3" s="375"/>
      <x:c r="GF3" s="375"/>
      <x:c r="GG3" s="375"/>
      <x:c r="GH3" s="375"/>
      <x:c r="GI3" s="375"/>
      <x:c r="GJ3" s="375"/>
      <x:c r="GK3" s="375"/>
      <x:c r="GL3" s="375"/>
      <x:c r="GM3" s="375"/>
      <x:c r="GN3" s="375"/>
      <x:c r="GO3" s="375"/>
      <x:c r="GP3" s="375"/>
      <x:c r="GQ3" s="375"/>
      <x:c r="GR3" s="375"/>
      <x:c r="GS3" s="375"/>
      <x:c r="GT3" s="375"/>
      <x:c r="GU3" s="375"/>
      <x:c r="GV3" s="375"/>
      <x:c r="GW3" s="375"/>
      <x:c r="GX3" s="375"/>
      <x:c r="GY3" s="375"/>
      <x:c r="GZ3" s="375"/>
      <x:c r="HA3" s="375"/>
      <x:c r="HB3" s="375"/>
      <x:c r="HC3" s="375"/>
      <x:c r="HD3" s="375"/>
      <x:c r="HE3" s="375"/>
      <x:c r="HF3" s="375"/>
      <x:c r="HG3" s="375"/>
      <x:c r="HH3" s="375"/>
      <x:c r="HI3" s="375"/>
      <x:c r="HJ3" s="375"/>
      <x:c r="HK3" s="375"/>
      <x:c r="HL3" s="375"/>
      <x:c r="HM3" s="375"/>
      <x:c r="HN3" s="375"/>
      <x:c r="HO3" s="375"/>
      <x:c r="HP3" s="375"/>
      <x:c r="HQ3" s="375"/>
      <x:c r="HR3" s="375"/>
      <x:c r="HS3" s="375"/>
      <x:c r="HT3" s="375"/>
      <x:c r="HU3" s="375"/>
      <x:c r="HV3" s="375"/>
      <x:c r="HW3" s="375"/>
      <x:c r="HX3" s="375"/>
      <x:c r="HY3" s="375"/>
      <x:c r="HZ3" s="375"/>
      <x:c r="IA3" s="375"/>
      <x:c r="IB3" s="375"/>
      <x:c r="IC3" s="375"/>
      <x:c r="ID3" s="375"/>
      <x:c r="IE3" s="375"/>
      <x:c r="IF3" s="375"/>
      <x:c r="IG3" s="375"/>
      <x:c r="IH3" s="375"/>
      <x:c r="II3" s="375"/>
      <x:c r="IJ3" s="375"/>
      <x:c r="IK3" s="375"/>
      <x:c r="IL3" s="375"/>
      <x:c r="IM3" s="375"/>
      <x:c r="IN3" s="375"/>
      <x:c r="IO3" s="375"/>
      <x:c r="IP3" s="375"/>
      <x:c r="IQ3" s="375"/>
      <x:c r="IR3" s="375"/>
      <x:c r="IS3" s="375"/>
      <x:c r="IT3" s="375"/>
      <x:c r="IU3" s="375"/>
      <x:c r="IV3" s="375"/>
      <x:c r="IW3" s="375"/>
      <x:c r="IX3" s="375"/>
      <x:c r="IY3" s="375"/>
      <x:c r="IZ3" s="375"/>
      <x:c r="JA3" s="375"/>
      <x:c r="JB3" s="375"/>
      <x:c r="JC3" s="375"/>
      <x:c r="JD3" s="375"/>
      <x:c r="JE3" s="375"/>
      <x:c r="JF3" s="375"/>
      <x:c r="JG3" s="375"/>
      <x:c r="JH3" s="375"/>
      <x:c r="JI3" s="375"/>
      <x:c r="JJ3" s="375"/>
      <x:c r="JK3" s="375"/>
      <x:c r="JL3" s="375"/>
      <x:c r="JM3" s="375"/>
      <x:c r="JN3" s="375"/>
      <x:c r="JO3" s="375"/>
      <x:c r="JP3" s="375"/>
      <x:c r="JQ3" s="375"/>
      <x:c r="JR3" s="375"/>
      <x:c r="JS3" s="375"/>
      <x:c r="JT3" s="375"/>
      <x:c r="JU3" s="375"/>
      <x:c r="JV3" s="375"/>
      <x:c r="JW3" s="375"/>
      <x:c r="JX3" s="375"/>
      <x:c r="JY3" s="375"/>
      <x:c r="JZ3" s="375"/>
      <x:c r="KA3" s="375"/>
      <x:c r="KB3" s="375"/>
      <x:c r="KC3" s="375"/>
      <x:c r="KD3" s="375"/>
      <x:c r="KE3" s="375"/>
      <x:c r="KF3" s="375"/>
      <x:c r="KG3" s="375"/>
      <x:c r="KH3" s="375"/>
      <x:c r="KI3" s="375"/>
      <x:c r="KJ3" s="375"/>
      <x:c r="KK3" s="375"/>
      <x:c r="KL3" s="375"/>
      <x:c r="KM3" s="375"/>
      <x:c r="KN3" s="375"/>
      <x:c r="KO3" s="375"/>
      <x:c r="KP3" s="375"/>
      <x:c r="KQ3" s="375"/>
      <x:c r="KR3" s="375"/>
      <x:c r="KS3" s="375"/>
      <x:c r="KT3" s="375"/>
      <x:c r="KU3" s="375"/>
      <x:c r="KV3" s="375"/>
      <x:c r="KW3" s="375"/>
      <x:c r="KX3" s="375"/>
      <x:c r="KY3" s="375"/>
      <x:c r="KZ3" s="375"/>
      <x:c r="LA3" s="375"/>
      <x:c r="LB3" s="375"/>
      <x:c r="LC3" s="375"/>
      <x:c r="LD3" s="375"/>
      <x:c r="LE3" s="375"/>
      <x:c r="LF3" s="375"/>
      <x:c r="LG3" s="375"/>
      <x:c r="LH3" s="375"/>
      <x:c r="LI3" s="375"/>
      <x:c r="LJ3" s="375"/>
      <x:c r="LK3" s="375"/>
      <x:c r="LL3" s="375"/>
      <x:c r="LM3" s="375"/>
      <x:c r="LN3" s="375"/>
      <x:c r="LO3" s="375"/>
      <x:c r="LP3" s="375"/>
      <x:c r="LQ3" s="375"/>
      <x:c r="LR3" s="375"/>
      <x:c r="LS3" s="375"/>
      <x:c r="LT3" s="375"/>
      <x:c r="LU3" s="375"/>
      <x:c r="LV3" s="375"/>
      <x:c r="LW3" s="375"/>
      <x:c r="LX3" s="375"/>
      <x:c r="LY3" s="375"/>
      <x:c r="LZ3" s="375"/>
      <x:c r="MA3" s="375"/>
      <x:c r="MB3" s="375"/>
      <x:c r="MC3" s="375"/>
      <x:c r="MD3" s="375"/>
      <x:c r="ME3" s="375"/>
      <x:c r="MF3" s="375"/>
      <x:c r="MG3" s="375"/>
      <x:c r="MH3" s="375"/>
      <x:c r="MI3" s="375"/>
      <x:c r="MJ3" s="375"/>
      <x:c r="MK3" s="375"/>
      <x:c r="ML3" s="375"/>
      <x:c r="MM3" s="375"/>
      <x:c r="MN3" s="375"/>
      <x:c r="MO3" s="375"/>
      <x:c r="MP3" s="375"/>
      <x:c r="MQ3" s="375"/>
      <x:c r="MR3" s="375"/>
      <x:c r="MS3" s="375"/>
      <x:c r="MT3" s="375"/>
      <x:c r="MU3" s="375"/>
      <x:c r="MV3" s="375"/>
      <x:c r="MW3" s="375"/>
      <x:c r="MX3" s="375"/>
      <x:c r="MY3" s="375"/>
      <x:c r="MZ3" s="375"/>
      <x:c r="NA3" s="375"/>
      <x:c r="NB3" s="375"/>
      <x:c r="NC3" s="375"/>
      <x:c r="ND3" s="375"/>
      <x:c r="NE3" s="375"/>
      <x:c r="NF3" s="375"/>
      <x:c r="NG3" s="375"/>
      <x:c r="NH3" s="375"/>
      <x:c r="NI3" s="375"/>
      <x:c r="NJ3" s="375"/>
      <x:c r="NK3" s="375"/>
      <x:c r="NL3" s="375"/>
      <x:c r="NM3" s="375"/>
      <x:c r="NN3" s="375"/>
      <x:c r="NO3" s="375"/>
      <x:c r="NP3" s="375"/>
      <x:c r="NQ3" s="375"/>
      <x:c r="NR3" s="375"/>
      <x:c r="NS3" s="375"/>
      <x:c r="NT3" s="375"/>
      <x:c r="NU3" s="375"/>
      <x:c r="NV3" s="375"/>
      <x:c r="NW3" s="375"/>
      <x:c r="NX3" s="375"/>
      <x:c r="NY3" s="375"/>
      <x:c r="NZ3" s="375"/>
      <x:c r="OA3" s="375"/>
      <x:c r="OB3" s="375"/>
      <x:c r="OC3" s="375"/>
      <x:c r="OD3" s="375"/>
      <x:c r="OE3" s="375"/>
      <x:c r="OF3" s="375"/>
      <x:c r="OG3" s="375"/>
      <x:c r="OH3" s="375"/>
      <x:c r="OI3" s="375"/>
      <x:c r="OJ3" s="375"/>
      <x:c r="OK3" s="375"/>
      <x:c r="OL3" s="375"/>
      <x:c r="OM3" s="375"/>
      <x:c r="ON3" s="375"/>
      <x:c r="OO3" s="375"/>
      <x:c r="OP3" s="375"/>
      <x:c r="OQ3" s="375"/>
      <x:c r="OR3" s="375"/>
      <x:c r="OS3" s="375"/>
      <x:c r="OT3" s="375"/>
      <x:c r="OU3" s="375"/>
      <x:c r="OV3" s="375"/>
      <x:c r="OW3" s="375"/>
      <x:c r="OX3" s="375"/>
      <x:c r="OY3" s="375"/>
      <x:c r="OZ3" s="375"/>
      <x:c r="PA3" s="375"/>
      <x:c r="PB3" s="375"/>
      <x:c r="PC3" s="375"/>
      <x:c r="PD3" s="375"/>
      <x:c r="PE3" s="375"/>
      <x:c r="PF3" s="375"/>
      <x:c r="PG3" s="375"/>
      <x:c r="PH3" s="375"/>
      <x:c r="PI3" s="375"/>
      <x:c r="PJ3" s="375"/>
      <x:c r="PK3" s="375"/>
      <x:c r="PL3" s="375"/>
      <x:c r="PM3" s="375"/>
      <x:c r="PN3" s="375"/>
      <x:c r="PO3" s="375"/>
      <x:c r="PP3" s="375"/>
      <x:c r="PQ3" s="375"/>
      <x:c r="PR3" s="375"/>
      <x:c r="PS3" s="375"/>
      <x:c r="PT3" s="375"/>
      <x:c r="PU3" s="375"/>
      <x:c r="PV3" s="375"/>
      <x:c r="PW3" s="375"/>
      <x:c r="PX3" s="375"/>
      <x:c r="PY3" s="375"/>
      <x:c r="PZ3" s="375"/>
      <x:c r="QA3" s="375"/>
      <x:c r="QB3" s="375"/>
      <x:c r="QC3" s="375"/>
      <x:c r="QD3" s="375"/>
      <x:c r="QE3" s="375"/>
      <x:c r="QF3" s="375"/>
      <x:c r="QG3" s="375"/>
      <x:c r="QH3" s="375"/>
      <x:c r="QI3" s="375"/>
      <x:c r="QJ3" s="375"/>
      <x:c r="QK3" s="375"/>
      <x:c r="QL3" s="375"/>
      <x:c r="QM3" s="375"/>
      <x:c r="QN3" s="375"/>
      <x:c r="QO3" s="375"/>
      <x:c r="QP3" s="375"/>
      <x:c r="QQ3" s="375"/>
      <x:c r="QR3" s="375"/>
      <x:c r="QS3" s="375"/>
      <x:c r="QT3" s="375"/>
      <x:c r="QU3" s="375"/>
      <x:c r="QV3" s="375"/>
      <x:c r="QW3" s="375"/>
      <x:c r="QX3" s="375"/>
      <x:c r="QY3" s="375"/>
      <x:c r="QZ3" s="375"/>
      <x:c r="RA3" s="375"/>
      <x:c r="RB3" s="375"/>
      <x:c r="RC3" s="375"/>
      <x:c r="RD3" s="375"/>
      <x:c r="RE3" s="375"/>
      <x:c r="RF3" s="375"/>
      <x:c r="RG3" s="375"/>
      <x:c r="RH3" s="375"/>
      <x:c r="RI3" s="375"/>
      <x:c r="RJ3" s="375"/>
      <x:c r="RK3" s="375"/>
      <x:c r="RL3" s="375"/>
      <x:c r="RM3" s="375"/>
      <x:c r="RN3" s="375"/>
      <x:c r="RO3" s="375"/>
      <x:c r="RP3" s="375"/>
      <x:c r="RQ3" s="375"/>
      <x:c r="RR3" s="375"/>
      <x:c r="RS3" s="375"/>
      <x:c r="RT3" s="375"/>
      <x:c r="RU3" s="375"/>
      <x:c r="RV3" s="375"/>
      <x:c r="RW3" s="375"/>
      <x:c r="RX3" s="375"/>
      <x:c r="RY3" s="375"/>
      <x:c r="RZ3" s="375"/>
      <x:c r="SA3" s="375"/>
      <x:c r="SB3" s="375"/>
      <x:c r="SC3" s="375"/>
      <x:c r="SD3" s="375"/>
      <x:c r="SE3" s="375"/>
      <x:c r="SF3" s="375"/>
      <x:c r="SG3" s="375"/>
      <x:c r="SH3" s="375"/>
      <x:c r="SI3" s="375"/>
      <x:c r="SJ3" s="375"/>
      <x:c r="SK3" s="375"/>
      <x:c r="SL3" s="375"/>
      <x:c r="SM3" s="375"/>
      <x:c r="SN3" s="375"/>
      <x:c r="SO3" s="375"/>
      <x:c r="SP3" s="375"/>
      <x:c r="SQ3" s="375"/>
      <x:c r="SR3" s="375"/>
      <x:c r="SS3" s="375"/>
      <x:c r="ST3" s="375"/>
      <x:c r="SU3" s="375"/>
      <x:c r="SV3" s="375"/>
      <x:c r="SW3" s="375"/>
      <x:c r="SX3" s="375"/>
      <x:c r="SY3" s="375"/>
      <x:c r="SZ3" s="375"/>
      <x:c r="TA3" s="375"/>
      <x:c r="TB3" s="375"/>
      <x:c r="TC3" s="375"/>
      <x:c r="TD3" s="375"/>
      <x:c r="TE3" s="375"/>
      <x:c r="TF3" s="375"/>
      <x:c r="TG3" s="375"/>
      <x:c r="TH3" s="375"/>
      <x:c r="TI3" s="375"/>
      <x:c r="TJ3" s="375"/>
      <x:c r="TK3" s="375"/>
      <x:c r="TL3" s="375"/>
      <x:c r="TM3" s="375"/>
      <x:c r="TN3" s="375"/>
      <x:c r="TO3" s="375"/>
      <x:c r="TP3" s="375"/>
      <x:c r="TQ3" s="375"/>
      <x:c r="TR3" s="375"/>
      <x:c r="TS3" s="375"/>
      <x:c r="TT3" s="375"/>
      <x:c r="TU3" s="375"/>
      <x:c r="TV3" s="375"/>
      <x:c r="TW3" s="375"/>
      <x:c r="TX3" s="375"/>
      <x:c r="TY3" s="375"/>
      <x:c r="TZ3" s="375"/>
      <x:c r="UA3" s="375"/>
      <x:c r="UB3" s="375"/>
      <x:c r="UC3" s="375"/>
      <x:c r="UD3" s="375"/>
      <x:c r="UE3" s="375"/>
      <x:c r="UF3" s="375"/>
      <x:c r="UG3" s="375"/>
      <x:c r="UH3" s="375"/>
      <x:c r="UI3" s="375"/>
      <x:c r="UJ3" s="375"/>
      <x:c r="UK3" s="375"/>
      <x:c r="UL3" s="375"/>
      <x:c r="UM3" s="375"/>
      <x:c r="UN3" s="375"/>
      <x:c r="UO3" s="375"/>
      <x:c r="UP3" s="375"/>
      <x:c r="UQ3" s="375"/>
      <x:c r="UR3" s="375"/>
      <x:c r="US3" s="375"/>
      <x:c r="UT3" s="375"/>
      <x:c r="UU3" s="375"/>
      <x:c r="UV3" s="375"/>
      <x:c r="UW3" s="375"/>
      <x:c r="UX3" s="375"/>
      <x:c r="UY3" s="375"/>
      <x:c r="UZ3" s="375"/>
      <x:c r="VA3" s="375"/>
      <x:c r="VB3" s="375"/>
      <x:c r="VC3" s="375"/>
      <x:c r="VD3" s="375"/>
      <x:c r="VE3" s="375"/>
      <x:c r="VF3" s="375"/>
      <x:c r="VG3" s="375"/>
      <x:c r="VH3" s="375"/>
      <x:c r="VI3" s="375"/>
      <x:c r="VJ3" s="375"/>
      <x:c r="VK3" s="375"/>
      <x:c r="VL3" s="375"/>
      <x:c r="VM3" s="375"/>
      <x:c r="VN3" s="375"/>
      <x:c r="VO3" s="375"/>
      <x:c r="VP3" s="375"/>
      <x:c r="VQ3" s="375"/>
      <x:c r="VR3" s="375"/>
      <x:c r="VS3" s="375"/>
      <x:c r="VT3" s="375"/>
      <x:c r="VU3" s="375"/>
      <x:c r="VV3" s="375"/>
      <x:c r="VW3" s="375"/>
      <x:c r="VX3" s="375"/>
      <x:c r="VY3" s="375"/>
      <x:c r="VZ3" s="375"/>
      <x:c r="WA3" s="375"/>
      <x:c r="WB3" s="375"/>
      <x:c r="WC3" s="375"/>
      <x:c r="WD3" s="375"/>
      <x:c r="WE3" s="375"/>
      <x:c r="WF3" s="375"/>
      <x:c r="WG3" s="375"/>
      <x:c r="WH3" s="375"/>
      <x:c r="WI3" s="375"/>
      <x:c r="WJ3" s="375"/>
      <x:c r="WK3" s="375"/>
      <x:c r="WL3" s="375"/>
      <x:c r="WM3" s="375"/>
      <x:c r="WN3" s="375"/>
      <x:c r="WO3" s="375"/>
      <x:c r="WP3" s="375"/>
      <x:c r="WQ3" s="375"/>
      <x:c r="WR3" s="375"/>
      <x:c r="WS3" s="375"/>
      <x:c r="WT3" s="375"/>
      <x:c r="WU3" s="375"/>
      <x:c r="WV3" s="375"/>
      <x:c r="WW3" s="375"/>
      <x:c r="WX3" s="375"/>
      <x:c r="WY3" s="375"/>
      <x:c r="WZ3" s="375"/>
      <x:c r="XA3" s="375"/>
      <x:c r="XB3" s="375"/>
      <x:c r="XC3" s="375"/>
      <x:c r="XD3" s="375"/>
      <x:c r="XE3" s="375"/>
      <x:c r="XF3" s="375"/>
      <x:c r="XG3" s="375"/>
      <x:c r="XH3" s="375"/>
      <x:c r="XI3" s="375"/>
      <x:c r="XJ3" s="375"/>
      <x:c r="XK3" s="375"/>
      <x:c r="XL3" s="375"/>
      <x:c r="XM3" s="375"/>
      <x:c r="XN3" s="375"/>
      <x:c r="XO3" s="375"/>
      <x:c r="XP3" s="375"/>
      <x:c r="XQ3" s="375"/>
      <x:c r="XR3" s="375"/>
      <x:c r="XS3" s="375"/>
      <x:c r="XT3" s="375"/>
      <x:c r="XU3" s="375"/>
      <x:c r="XV3" s="375"/>
      <x:c r="XW3" s="375"/>
      <x:c r="XX3" s="375"/>
      <x:c r="XY3" s="375"/>
      <x:c r="XZ3" s="375"/>
      <x:c r="YA3" s="375"/>
      <x:c r="YB3" s="375"/>
      <x:c r="YC3" s="375"/>
      <x:c r="YD3" s="375"/>
      <x:c r="YE3" s="375"/>
      <x:c r="YF3" s="375"/>
      <x:c r="YG3" s="375"/>
      <x:c r="YH3" s="375"/>
      <x:c r="YI3" s="375"/>
      <x:c r="YJ3" s="375"/>
      <x:c r="YK3" s="375"/>
      <x:c r="YL3" s="375"/>
      <x:c r="YM3" s="375"/>
      <x:c r="YN3" s="375"/>
      <x:c r="YO3" s="375"/>
      <x:c r="YP3" s="375"/>
      <x:c r="YQ3" s="375"/>
      <x:c r="YR3" s="375"/>
      <x:c r="YS3" s="375"/>
      <x:c r="YT3" s="375"/>
      <x:c r="YU3" s="375"/>
      <x:c r="YV3" s="375"/>
      <x:c r="YW3" s="375"/>
      <x:c r="YX3" s="375"/>
      <x:c r="YY3" s="375"/>
      <x:c r="YZ3" s="375"/>
      <x:c r="ZA3" s="375"/>
      <x:c r="ZB3" s="375"/>
      <x:c r="ZC3" s="375"/>
      <x:c r="ZD3" s="375"/>
      <x:c r="ZE3" s="375"/>
      <x:c r="ZF3" s="375"/>
      <x:c r="ZG3" s="375"/>
      <x:c r="ZH3" s="375"/>
      <x:c r="ZI3" s="375"/>
      <x:c r="ZJ3" s="375"/>
      <x:c r="ZK3" s="375"/>
      <x:c r="ZL3" s="375"/>
      <x:c r="ZM3" s="375"/>
      <x:c r="ZN3" s="375"/>
      <x:c r="ZO3" s="375"/>
      <x:c r="ZP3" s="375"/>
      <x:c r="ZQ3" s="375"/>
      <x:c r="ZR3" s="375"/>
      <x:c r="ZS3" s="375"/>
      <x:c r="ZT3" s="375"/>
      <x:c r="ZU3" s="375"/>
      <x:c r="ZV3" s="375"/>
      <x:c r="ZW3" s="375"/>
      <x:c r="ZX3" s="375"/>
      <x:c r="ZY3" s="375"/>
      <x:c r="ZZ3" s="375"/>
      <x:c r="AAA3" s="375"/>
      <x:c r="AAB3" s="375"/>
      <x:c r="AAC3" s="375"/>
      <x:c r="AAD3" s="375"/>
      <x:c r="AAE3" s="375"/>
      <x:c r="AAF3" s="375"/>
      <x:c r="AAG3" s="375"/>
      <x:c r="AAH3" s="375"/>
      <x:c r="AAI3" s="375"/>
      <x:c r="AAJ3" s="375"/>
      <x:c r="AAK3" s="375"/>
      <x:c r="AAL3" s="375"/>
      <x:c r="AAM3" s="375"/>
      <x:c r="AAN3" s="375"/>
      <x:c r="AAO3" s="375"/>
      <x:c r="AAP3" s="375"/>
      <x:c r="AAQ3" s="375"/>
      <x:c r="AAR3" s="375"/>
      <x:c r="AAS3" s="375"/>
      <x:c r="AAT3" s="375"/>
      <x:c r="AAU3" s="375"/>
      <x:c r="AAV3" s="375"/>
      <x:c r="AAW3" s="375"/>
      <x:c r="AAX3" s="375"/>
      <x:c r="AAY3" s="375"/>
      <x:c r="AAZ3" s="375"/>
      <x:c r="ABA3" s="375"/>
      <x:c r="ABB3" s="375"/>
      <x:c r="ABC3" s="375"/>
      <x:c r="ABD3" s="375"/>
      <x:c r="ABE3" s="375"/>
      <x:c r="ABF3" s="375"/>
      <x:c r="ABG3" s="375"/>
      <x:c r="ABH3" s="375"/>
      <x:c r="ABI3" s="375"/>
      <x:c r="ABJ3" s="375"/>
      <x:c r="ABK3" s="375"/>
      <x:c r="ABL3" s="375"/>
      <x:c r="ABM3" s="375"/>
      <x:c r="ABN3" s="375"/>
      <x:c r="ABO3" s="375"/>
      <x:c r="ABP3" s="375"/>
      <x:c r="ABQ3" s="375"/>
      <x:c r="ABR3" s="375"/>
      <x:c r="ABS3" s="375"/>
      <x:c r="ABT3" s="375"/>
      <x:c r="ABU3" s="375"/>
      <x:c r="ABV3" s="375"/>
      <x:c r="ABW3" s="375"/>
      <x:c r="ABX3" s="375"/>
      <x:c r="ABY3" s="375"/>
      <x:c r="ABZ3" s="375"/>
      <x:c r="ACA3" s="375"/>
      <x:c r="ACB3" s="375"/>
      <x:c r="ACC3" s="375"/>
      <x:c r="ACD3" s="375"/>
      <x:c r="ACE3" s="375"/>
      <x:c r="ACF3" s="375"/>
      <x:c r="ACG3" s="375"/>
      <x:c r="ACH3" s="375"/>
      <x:c r="ACI3" s="375"/>
      <x:c r="ACJ3" s="375"/>
      <x:c r="ACK3" s="375"/>
      <x:c r="ACL3" s="375"/>
      <x:c r="ACM3" s="375"/>
      <x:c r="ACN3" s="375"/>
      <x:c r="ACO3" s="375"/>
      <x:c r="ACP3" s="375"/>
      <x:c r="ACQ3" s="375"/>
      <x:c r="ACR3" s="375"/>
      <x:c r="ACS3" s="375"/>
      <x:c r="ACT3" s="375"/>
      <x:c r="ACU3" s="375"/>
      <x:c r="ACV3" s="375"/>
      <x:c r="ACW3" s="375"/>
      <x:c r="ACX3" s="375"/>
      <x:c r="ACY3" s="375"/>
      <x:c r="ACZ3" s="375"/>
      <x:c r="ADA3" s="375"/>
      <x:c r="ADB3" s="375"/>
      <x:c r="ADC3" s="375"/>
      <x:c r="ADD3" s="375"/>
      <x:c r="ADE3" s="375"/>
      <x:c r="ADF3" s="375"/>
      <x:c r="ADG3" s="375"/>
      <x:c r="ADH3" s="375"/>
      <x:c r="ADI3" s="375"/>
      <x:c r="ADJ3" s="375"/>
      <x:c r="ADK3" s="375"/>
      <x:c r="ADL3" s="375"/>
      <x:c r="ADM3" s="375"/>
      <x:c r="ADN3" s="375"/>
      <x:c r="ADO3" s="375"/>
      <x:c r="ADP3" s="375"/>
      <x:c r="ADQ3" s="375"/>
      <x:c r="ADR3" s="375"/>
      <x:c r="ADS3" s="375"/>
      <x:c r="ADT3" s="375"/>
      <x:c r="ADU3" s="375"/>
      <x:c r="ADV3" s="375"/>
      <x:c r="ADW3" s="375"/>
      <x:c r="ADX3" s="375"/>
      <x:c r="ADY3" s="375"/>
      <x:c r="ADZ3" s="375"/>
      <x:c r="AEA3" s="375"/>
      <x:c r="AEB3" s="375"/>
      <x:c r="AEC3" s="375"/>
      <x:c r="AED3" s="375"/>
      <x:c r="AEE3" s="375"/>
      <x:c r="AEF3" s="375"/>
      <x:c r="AEG3" s="375"/>
      <x:c r="AEH3" s="375"/>
      <x:c r="AEI3" s="375"/>
      <x:c r="AEJ3" s="375"/>
      <x:c r="AEK3" s="375"/>
      <x:c r="AEL3" s="375"/>
      <x:c r="AEM3" s="375"/>
      <x:c r="AEN3" s="375"/>
      <x:c r="AEO3" s="375"/>
      <x:c r="AEP3" s="375"/>
      <x:c r="AEQ3" s="375"/>
      <x:c r="AER3" s="375"/>
      <x:c r="AES3" s="375"/>
      <x:c r="AET3" s="375"/>
      <x:c r="AEU3" s="375"/>
      <x:c r="AEV3" s="375"/>
      <x:c r="AEW3" s="375"/>
      <x:c r="AEX3" s="375"/>
      <x:c r="AEY3" s="375"/>
      <x:c r="AEZ3" s="375"/>
      <x:c r="AFA3" s="375"/>
      <x:c r="AFB3" s="375"/>
      <x:c r="AFC3" s="375"/>
      <x:c r="AFD3" s="375"/>
      <x:c r="AFE3" s="375"/>
      <x:c r="AFF3" s="375"/>
      <x:c r="AFG3" s="375"/>
      <x:c r="AFH3" s="375"/>
      <x:c r="AFI3" s="375"/>
      <x:c r="AFJ3" s="375"/>
      <x:c r="AFK3" s="375"/>
      <x:c r="AFL3" s="375"/>
      <x:c r="AFM3" s="375"/>
      <x:c r="AFN3" s="375"/>
      <x:c r="AFO3" s="375"/>
      <x:c r="AFP3" s="375"/>
      <x:c r="AFQ3" s="375"/>
      <x:c r="AFR3" s="375"/>
      <x:c r="AFS3" s="375"/>
      <x:c r="AFT3" s="375"/>
      <x:c r="AFU3" s="375"/>
      <x:c r="AFV3" s="375"/>
      <x:c r="AFW3" s="375"/>
      <x:c r="AFX3" s="375"/>
      <x:c r="AFY3" s="375"/>
      <x:c r="AFZ3" s="375"/>
      <x:c r="AGA3" s="375"/>
      <x:c r="AGB3" s="375"/>
      <x:c r="AGC3" s="375"/>
      <x:c r="AGD3" s="375"/>
      <x:c r="AGE3" s="375"/>
      <x:c r="AGF3" s="375"/>
      <x:c r="AGG3" s="375"/>
      <x:c r="AGH3" s="375"/>
      <x:c r="AGI3" s="375"/>
      <x:c r="AGJ3" s="375"/>
      <x:c r="AGK3" s="375"/>
      <x:c r="AGL3" s="375"/>
      <x:c r="AGM3" s="375"/>
      <x:c r="AGN3" s="375"/>
      <x:c r="AGO3" s="375"/>
      <x:c r="AGP3" s="375"/>
      <x:c r="AGQ3" s="375"/>
      <x:c r="AGR3" s="375"/>
      <x:c r="AGS3" s="375"/>
      <x:c r="AGT3" s="375"/>
      <x:c r="AGU3" s="375"/>
      <x:c r="AGV3" s="375"/>
      <x:c r="AGW3" s="375"/>
      <x:c r="AGX3" s="375"/>
      <x:c r="AGY3" s="375"/>
      <x:c r="AGZ3" s="375"/>
      <x:c r="AHA3" s="375"/>
      <x:c r="AHB3" s="375"/>
      <x:c r="AHC3" s="375"/>
      <x:c r="AHD3" s="375"/>
      <x:c r="AHE3" s="375"/>
      <x:c r="AHF3" s="375"/>
      <x:c r="AHG3" s="375"/>
      <x:c r="AHH3" s="375"/>
      <x:c r="AHI3" s="375"/>
      <x:c r="AHJ3" s="375"/>
      <x:c r="AHK3" s="375"/>
      <x:c r="AHL3" s="375"/>
      <x:c r="AHM3" s="375"/>
      <x:c r="AHN3" s="375"/>
      <x:c r="AHO3" s="375"/>
      <x:c r="AHP3" s="375"/>
      <x:c r="AHQ3" s="375"/>
      <x:c r="AHR3" s="375"/>
      <x:c r="AHS3" s="375"/>
      <x:c r="AHT3" s="375"/>
      <x:c r="AHU3" s="375"/>
      <x:c r="AHV3" s="375"/>
      <x:c r="AHW3" s="375"/>
      <x:c r="AHX3" s="375"/>
      <x:c r="AHY3" s="375"/>
      <x:c r="AHZ3" s="375"/>
      <x:c r="AIA3" s="375"/>
      <x:c r="AIB3" s="375"/>
      <x:c r="AIC3" s="375"/>
      <x:c r="AID3" s="375"/>
      <x:c r="AIE3" s="375"/>
      <x:c r="AIF3" s="375"/>
      <x:c r="AIG3" s="375"/>
      <x:c r="AIH3" s="375"/>
      <x:c r="AII3" s="375"/>
      <x:c r="AIJ3" s="375"/>
      <x:c r="AIK3" s="375"/>
      <x:c r="AIL3" s="375"/>
      <x:c r="AIM3" s="375"/>
      <x:c r="AIN3" s="375"/>
      <x:c r="AIO3" s="375"/>
      <x:c r="AIP3" s="375"/>
      <x:c r="AIQ3" s="375"/>
      <x:c r="AIR3" s="375"/>
      <x:c r="AIS3" s="375"/>
      <x:c r="AIT3" s="375"/>
      <x:c r="AIU3" s="375"/>
      <x:c r="AIV3" s="375"/>
      <x:c r="AIW3" s="375"/>
      <x:c r="AIX3" s="375"/>
      <x:c r="AIY3" s="375"/>
      <x:c r="AIZ3" s="375"/>
      <x:c r="AJA3" s="375"/>
      <x:c r="AJB3" s="375"/>
      <x:c r="AJC3" s="375"/>
      <x:c r="AJD3" s="375"/>
      <x:c r="AJE3" s="375"/>
      <x:c r="AJF3" s="375"/>
      <x:c r="AJG3" s="375"/>
      <x:c r="AJH3" s="375"/>
      <x:c r="AJI3" s="375"/>
      <x:c r="AJJ3" s="375"/>
      <x:c r="AJK3" s="375"/>
      <x:c r="AJL3" s="375"/>
      <x:c r="AJM3" s="375"/>
      <x:c r="AJN3" s="375"/>
      <x:c r="AJO3" s="375"/>
      <x:c r="AJP3" s="375"/>
      <x:c r="AJQ3" s="375"/>
      <x:c r="AJR3" s="375"/>
      <x:c r="AJS3" s="375"/>
      <x:c r="AJT3" s="375"/>
      <x:c r="AJU3" s="375"/>
      <x:c r="AJV3" s="375"/>
      <x:c r="AJW3" s="375"/>
      <x:c r="AJX3" s="375"/>
      <x:c r="AJY3" s="375"/>
      <x:c r="AJZ3" s="375"/>
      <x:c r="AKA3" s="375"/>
      <x:c r="AKB3" s="375"/>
      <x:c r="AKC3" s="375"/>
      <x:c r="AKD3" s="375"/>
      <x:c r="AKE3" s="375"/>
      <x:c r="AKF3" s="375"/>
      <x:c r="AKG3" s="375"/>
      <x:c r="AKH3" s="375"/>
      <x:c r="AKI3" s="375"/>
      <x:c r="AKJ3" s="375"/>
      <x:c r="AKK3" s="375"/>
      <x:c r="AKL3" s="375"/>
      <x:c r="AKM3" s="375"/>
      <x:c r="AKN3" s="375"/>
      <x:c r="AKO3" s="375"/>
      <x:c r="AKP3" s="375"/>
      <x:c r="AKQ3" s="375"/>
      <x:c r="AKR3" s="375"/>
      <x:c r="AKS3" s="375"/>
      <x:c r="AKT3" s="375"/>
      <x:c r="AKU3" s="375"/>
      <x:c r="AKV3" s="375"/>
      <x:c r="AKW3" s="375"/>
      <x:c r="AKX3" s="375"/>
      <x:c r="AKY3" s="375"/>
      <x:c r="AKZ3" s="375"/>
      <x:c r="ALA3" s="375"/>
      <x:c r="ALB3" s="375"/>
      <x:c r="ALC3" s="375"/>
      <x:c r="ALD3" s="375"/>
      <x:c r="ALE3" s="375"/>
      <x:c r="ALF3" s="375"/>
      <x:c r="ALG3" s="375"/>
      <x:c r="ALH3" s="375"/>
      <x:c r="ALI3" s="375"/>
      <x:c r="ALJ3" s="375"/>
      <x:c r="ALK3" s="375"/>
      <x:c r="ALL3" s="375"/>
      <x:c r="ALM3" s="375"/>
      <x:c r="ALN3" s="375"/>
      <x:c r="ALO3" s="375"/>
      <x:c r="ALP3" s="375"/>
      <x:c r="ALQ3" s="375"/>
      <x:c r="ALR3" s="375"/>
      <x:c r="ALS3" s="375"/>
      <x:c r="ALT3" s="375"/>
      <x:c r="ALU3" s="375"/>
      <x:c r="ALV3" s="375"/>
      <x:c r="ALW3" s="375"/>
      <x:c r="ALX3" s="375"/>
      <x:c r="ALY3" s="375"/>
      <x:c r="ALZ3" s="375"/>
      <x:c r="AMA3" s="375"/>
      <x:c r="AMB3" s="375"/>
      <x:c r="AMC3" s="375"/>
      <x:c r="AMD3" s="375"/>
      <x:c r="AME3" s="375"/>
      <x:c r="AMF3" s="375"/>
      <x:c r="AMG3" s="375"/>
      <x:c r="AMH3" s="375"/>
      <x:c r="AMI3" s="375"/>
      <x:c r="AMJ3" s="375"/>
      <x:c r="AMK3" s="375"/>
    </x:row>
    <x:row r="4" ht="53" hidden="0" customHeight="1">
      <x:c r="A4" s="371" t="str">
        <x:v>01-yurina-o-n-3</x:v>
      </x:c>
      <x:c r="B4" s="371" t="str">
        <x:v>yurina</x:v>
      </x:c>
      <x:c r="C4" s="371"/>
      <x:c r="D4" s="371"/>
      <x:c r="E4" s="371" t="str">
        <x:v>柄打ち</x:v>
      </x:c>
      <x:c r="F4" s="371" t="str">
        <x:v>つかうち</x:v>
      </x:c>
      <x:c r="G4" s="372" t="str">
        <x:v>柄击</x:v>
      </x:c>
      <x:c r="H4" s="369" t="str">
        <x:v>剑柄打击</x:v>
      </x:c>
      <x:c r="I4" s="372"/>
      <x:c r="J4" s="369" t="str">
        <x:v>자루치기</x:v>
      </x:c>
      <x:c r="K4" s="390" t="str">
        <x:v>Hilt Strike</x:v>
      </x:c>
      <x:c r="L4" s="371"/>
      <x:c r="M4" s="371" t="str">
        <x:v>通常札</x:v>
      </x:c>
      <x:c r="N4" s="371"/>
      <x:c r="O4" s="371"/>
      <x:c r="P4" s="371"/>
      <x:c r="Q4" s="371"/>
      <x:c r="R4" s="371" t="str">
        <x:v>攻撃</x:v>
      </x:c>
      <x:c r="S4" s="371"/>
      <x:c r="T4" s="371" t="str">
        <x:v>1-2</x:v>
      </x:c>
      <x:c r="U4" s="373"/>
      <x:c r="V4" s="371" t="str">
        <x:v>2/1</x:v>
      </x:c>
      <x:c r="W4" s="373"/>
      <x:c r="X4" s="371"/>
      <x:c r="Y4" s="371"/>
      <x:c r="Z4" s="371"/>
      <x:c r="AA4" s="371"/>
      <x:c r="AB4" s="374"/>
      <x:c r="AC4" s="374"/>
      <x:c r="AD4" s="374"/>
      <x:c r="AE4" s="441" t="str">
        <x:v>【攻撃後】決死―あなたのライフが3以下ならば、このターンにあなたが次に行う《攻撃》は+1/+0となる。</x:v>
      </x:c>
      <x:c r="AF4" s="440"/>
      <x:c r="AG4" s="489" t="str">
        <x:v>【攻击后】决死～若自命中的樱花结晶数小于等于3，则本回合你的下一次其他女神的《攻击》得+1/+0。 
</x:v>
      </x:c>
      <x:c r="AH4" s="440"/>
      <x:c r="AI4" s="489" t="str">
        <x:v>【攻击后】决死～若自命中的樱花结晶的数目小于等于3，则本回合内你的下一次其他女武神的《攻击》获得+1/+0。</x:v>
      </x:c>
      <x:c r="AJ4" s="440"/>
      <x:c r="AK4" s="490" t="str">
        <x:v>【공격후】결사-당신의 라이프가 3 이하라면, 이 턴에 당신이 다음에 행하는 다른 여신의 《공격》은 +1/+0이 된다.</x:v>
      </x:c>
      <x:c r="AL4" s="437"/>
      <x:c r="AM4" s="491" t="str">
        <x:v>After Attack: Resolve - The next attack you make from your other Megami this turn gains +1/+0 if your Life is 3 or less.</x:v>
      </x:c>
      <x:c r="AN4" s="440"/>
      <x:c r="AO4" s="439"/>
      <x:c r="AP4" s="439"/>
      <x:c r="AQ4" s="439"/>
      <x:c r="AR4" s="439"/>
      <x:c r="AS4" s="439"/>
      <x:c r="AT4" s="378" t="str">
        <x:f aca="0">IF(A4="", "","'"&amp;A4&amp;"': {megami: '"&amp;B4&amp;"'"&amp;IF(C4&lt;&gt;"",", anotherID: '"&amp;C4&amp;"', replace: '"&amp;D4&amp;"'","")&amp;", name: '"&amp;SUBSTITUTE(E4,"'","\'")&amp;"', nameEn: '"&amp;SUBSTITUTE(K4,"'","\'")&amp;"', nameZh: '"&amp;SUBSTITUTE(G4,"'","\'")&amp;"', nameZhG3: '"&amp;SUBSTITUTE(H4,"'","\'")&amp;"', nameKo: '"&amp;SUBSTITUTE(J4,"'","\'")&amp;"', ruby: '"&amp;F4&amp;"', rubyEn: '"&amp;L4&amp;IF(I4&lt;&gt;"", "', rubyZh: '"&amp;I4, "")&amp;"', baseType: '"&amp;IF(M4="通常札","normal",IF(M4="切札","special",IF(M4="追加札","extra",IF(M4="transform","transform",IF(M4="嵐","storm",IF(M4="兵員","troop",IF(M4="構想","plan",IF(M4="メインパーツ","mainParts",IF(M4="カスタムパーツ","customParts",IF(M4="運命","fate",IF(M4="仮想樹","virtualTree","")))))))))))&amp;"'"&amp;IF(N4="○",", extra: true","")&amp;IF(O4&lt;&gt;"",", extraFrom: '"&amp;O4&amp;"'","")&amp;IF(P4&lt;&gt;"",", exchangableTo: '"&amp;P4&amp;"'","")&amp;IF(Q4="○",", poison: true","")&amp;IF(R4&lt;&gt;"", ", type: '"&amp;IF(R4="攻撃","attack",IF(R4="行動","action",IF(R4="不定","variable",IF(R4="対応","reaction",IF(R4="全力","fullpower",IF(R4="付与","enhance",IF(R4="transform","transform","")))))))&amp;"'", "")&amp;IF(S4&lt;&gt;"",", subType: '"&amp;IF(S4="攻撃","attack",IF(S4="行動","action",IF(S4="不定","variable",IF(S4="対応","reaction",IF(S4="全力","fullpower",IF(S4="付与","enhance",IF(S4="transform","transform","")))))))&amp;"'","")&amp;""&amp;IF(T4&lt;&gt;"",",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textZhG3: '"&amp;SUBSTITUTE(SUBSTITUTE(SUBSTITUTE(AI4, CHAR(13), ""),CHAR(10),"\n"),"'","\'")&amp;IF(AH4&lt;&gt;"", "', textZhAdditional: '"&amp;SUBSTITUTE(SUBSTITUTE(AH4, CHAR(13), ""),CHAR(10),"\n"), "")&amp;IF(AK4&lt;&gt;"", "', textZhG3Additional: '"&amp;SUBSTITUTE(SUBSTITUTE(AK4, CHAR(13), ""),CHAR(10),"\n"), "")&amp;"', textKo: '"&amp;SUBSTITUTE(SUBSTITUTE(SUBSTITUTE(AM4, CHAR(13), ""),CHAR(10),"\n"),"'","\'")&amp;IF(AM4&lt;&gt;"", "', textKoAdditional: '"&amp;SUBSTITUTE(SUBSTITUTE(AM4, CHAR(13), ""),CHAR(10),"\n"), "")&amp;"', textEn: '"&amp;SUBSTITUTE(SUBSTITUTE(SUBSTITUTE(AM4, CHAR(13), ""),CHAR(10),"\n"),"'","\'")&amp;IF(AN4&lt;&gt;"", "', textEnAdditional: '"&amp;SUBSTITUTE(SUBSTITUTE(AN4, CHAR(13), ""),CHAR(10),"\n"), "")&amp;"'"&amp;IF(AB4="○",", sealable: true","")&amp;IF(AC4="○",", removable: true","")&amp;IF(AA4="○",", lie: true","")&amp;IF(AD4="○",", investable: true","")&amp;"},")</x:f>
        <x:v>'01-yurina-o-n-3': {megami: 'yurina', name: '柄打ち', nameEn: 'Hilt Strike', nameZh: '柄击', nameZhG3: '剑柄打击', nameKo: '자루치기', ruby: 'つかうち', rubyEn: '', baseType: 'normal', type: 'attack', range: '1-2', damage: '2/1', text: '【攻撃後】決死―あなたのライフが3以下ならば、このターンにあなたが次に行う《攻撃》は+1/+0となる。', textZh: '【攻击后】决死～若自命中的樱花结晶数小于等于3，则本回合你的下一次其他女神的《攻击》得+1/+0。 \n', textZhG3: '【攻击后】决死～若自命中的樱花结晶的数目小于等于3，则本回合内你的下一次其他女武神的《攻击》获得+1/+0。', textZhG3Additional: '【공격후】결사-당신의 라이프가 3 이하라면, 이 턴에 당신이 다음에 행하는 다른 여신의 《공격》은 +1/+0이 된다.', textKo: 'After Attack: Resolve - The next attack you make from your other Megami this turn gains +1/+0 if your Life is 3 or less.', textKoAdditional: 'After Attack: Resolve - The next attack you make from your other Megami this turn gains +1/+0 if your Life is 3 or less.', textEn: 'After Attack: Resolve - The next attack you make from your other Megami this turn gains +1/+0 if your Life is 3 or less.'},</x:v>
      </x:c>
      <x:c r="AU4" s="379" t="str">
        <x:f aca="0">IF($A4&lt;&gt;"", "    /** 《"&amp;$E4&amp;"》 */ export const "&amp;SUBSTITUTE(UPPER(IF(MID($A4, 3, 1)="-", RIGHT($A4,LEN($A4)-3), $A4)), "-", "_")&amp;": TCardId = '"&amp;$A4&amp;"';", "")</x:f>
        <x:v>    /** 《柄打ち》 */ export const YURINA_O_N_3: TCardId = '01-yurina-o-n-3';</x:v>
      </x:c>
      <x:c r="AV4" s="380" t="str">
        <x:f aca="0">IF($A5&lt;&gt;"", "    | '"&amp;$A5&amp;"'", "")</x:f>
        <x:v>    | '01-yurina-o-n-4'</x:v>
      </x:c>
      <x:c r="AW4" s="381"/>
      <x:c r="AX4" s="381"/>
      <x:c r="AY4" s="375"/>
      <x:c r="AZ4" s="375"/>
      <x:c r="BA4" s="375"/>
      <x:c r="BB4" s="375"/>
      <x:c r="BC4" s="375"/>
      <x:c r="BD4" s="375"/>
      <x:c r="BE4" s="375"/>
      <x:c r="BF4" s="375"/>
      <x:c r="BG4" s="375"/>
      <x:c r="BH4" s="375"/>
      <x:c r="BI4" s="375"/>
      <x:c r="BJ4" s="375"/>
      <x:c r="BK4" s="375"/>
      <x:c r="BL4" s="375"/>
      <x:c r="BM4" s="375"/>
      <x:c r="BN4" s="375"/>
      <x:c r="BO4" s="375"/>
      <x:c r="BP4" s="375"/>
      <x:c r="BQ4" s="375"/>
      <x:c r="BR4" s="375"/>
      <x:c r="BS4" s="375"/>
      <x:c r="BT4" s="375"/>
      <x:c r="BU4" s="375"/>
      <x:c r="BV4" s="375"/>
      <x:c r="BW4" s="375"/>
      <x:c r="BX4" s="375"/>
      <x:c r="BY4" s="375"/>
      <x:c r="BZ4" s="375"/>
      <x:c r="CA4" s="375"/>
      <x:c r="CB4" s="375"/>
      <x:c r="CC4" s="375"/>
      <x:c r="CD4" s="375"/>
      <x:c r="CE4" s="375"/>
      <x:c r="CF4" s="375"/>
      <x:c r="CG4" s="375"/>
      <x:c r="CH4" s="375"/>
      <x:c r="CI4" s="375"/>
      <x:c r="CJ4" s="375"/>
      <x:c r="CK4" s="375"/>
      <x:c r="CL4" s="375"/>
      <x:c r="CM4" s="375"/>
      <x:c r="CN4" s="375"/>
      <x:c r="CO4" s="375"/>
      <x:c r="CP4" s="375"/>
      <x:c r="CQ4" s="375"/>
      <x:c r="CR4" s="375"/>
      <x:c r="CS4" s="375"/>
      <x:c r="CT4" s="375"/>
      <x:c r="CU4" s="375"/>
      <x:c r="CV4" s="375"/>
      <x:c r="CW4" s="375"/>
      <x:c r="CX4" s="375"/>
      <x:c r="CY4" s="375"/>
      <x:c r="CZ4" s="375"/>
      <x:c r="DA4" s="375"/>
      <x:c r="DB4" s="375"/>
      <x:c r="DC4" s="375"/>
      <x:c r="DD4" s="375"/>
      <x:c r="DE4" s="375"/>
      <x:c r="DF4" s="375"/>
      <x:c r="DG4" s="375"/>
      <x:c r="DH4" s="375"/>
      <x:c r="DI4" s="375"/>
      <x:c r="DJ4" s="375"/>
      <x:c r="DK4" s="375"/>
      <x:c r="DL4" s="375"/>
      <x:c r="DM4" s="375"/>
      <x:c r="DN4" s="375"/>
      <x:c r="DO4" s="375"/>
      <x:c r="DP4" s="375"/>
      <x:c r="DQ4" s="375"/>
      <x:c r="DR4" s="375"/>
      <x:c r="DS4" s="375"/>
      <x:c r="DT4" s="375"/>
      <x:c r="DU4" s="375"/>
      <x:c r="DV4" s="375"/>
      <x:c r="DW4" s="375"/>
      <x:c r="DX4" s="375"/>
      <x:c r="DY4" s="375"/>
      <x:c r="DZ4" s="375"/>
      <x:c r="EA4" s="375"/>
      <x:c r="EB4" s="375"/>
      <x:c r="EC4" s="375"/>
      <x:c r="ED4" s="375"/>
      <x:c r="EE4" s="375"/>
      <x:c r="EF4" s="375"/>
      <x:c r="EG4" s="375"/>
      <x:c r="EH4" s="375"/>
      <x:c r="EI4" s="375"/>
      <x:c r="EJ4" s="375"/>
      <x:c r="EK4" s="375"/>
      <x:c r="EL4" s="375"/>
      <x:c r="EM4" s="375"/>
      <x:c r="EN4" s="375"/>
      <x:c r="EO4" s="375"/>
      <x:c r="EP4" s="375"/>
      <x:c r="EQ4" s="375"/>
      <x:c r="ER4" s="375"/>
      <x:c r="ES4" s="375"/>
      <x:c r="ET4" s="375"/>
      <x:c r="EU4" s="375"/>
      <x:c r="EV4" s="375"/>
      <x:c r="EW4" s="375"/>
      <x:c r="EX4" s="375"/>
      <x:c r="EY4" s="375"/>
      <x:c r="EZ4" s="375"/>
      <x:c r="FA4" s="375"/>
      <x:c r="FB4" s="375"/>
      <x:c r="FC4" s="375"/>
      <x:c r="FD4" s="375"/>
      <x:c r="FE4" s="375"/>
      <x:c r="FF4" s="375"/>
      <x:c r="FG4" s="375"/>
      <x:c r="FH4" s="375"/>
      <x:c r="FI4" s="375"/>
      <x:c r="FJ4" s="375"/>
      <x:c r="FK4" s="375"/>
      <x:c r="FL4" s="375"/>
      <x:c r="FM4" s="375"/>
      <x:c r="FN4" s="375"/>
      <x:c r="FO4" s="375"/>
      <x:c r="FP4" s="375"/>
      <x:c r="FQ4" s="375"/>
      <x:c r="FR4" s="375"/>
      <x:c r="FS4" s="375"/>
      <x:c r="FT4" s="375"/>
      <x:c r="FU4" s="375"/>
      <x:c r="FV4" s="375"/>
      <x:c r="FW4" s="375"/>
      <x:c r="FX4" s="375"/>
      <x:c r="FY4" s="375"/>
      <x:c r="FZ4" s="375"/>
      <x:c r="GA4" s="375"/>
      <x:c r="GB4" s="375"/>
      <x:c r="GC4" s="375"/>
      <x:c r="GD4" s="375"/>
      <x:c r="GE4" s="375"/>
      <x:c r="GF4" s="375"/>
      <x:c r="GG4" s="375"/>
      <x:c r="GH4" s="375"/>
      <x:c r="GI4" s="375"/>
      <x:c r="GJ4" s="375"/>
      <x:c r="GK4" s="375"/>
      <x:c r="GL4" s="375"/>
      <x:c r="GM4" s="375"/>
      <x:c r="GN4" s="375"/>
      <x:c r="GO4" s="375"/>
      <x:c r="GP4" s="375"/>
      <x:c r="GQ4" s="375"/>
      <x:c r="GR4" s="375"/>
      <x:c r="GS4" s="375"/>
      <x:c r="GT4" s="375"/>
      <x:c r="GU4" s="375"/>
      <x:c r="GV4" s="375"/>
      <x:c r="GW4" s="375"/>
      <x:c r="GX4" s="375"/>
      <x:c r="GY4" s="375"/>
      <x:c r="GZ4" s="375"/>
      <x:c r="HA4" s="375"/>
      <x:c r="HB4" s="375"/>
      <x:c r="HC4" s="375"/>
      <x:c r="HD4" s="375"/>
      <x:c r="HE4" s="375"/>
      <x:c r="HF4" s="375"/>
      <x:c r="HG4" s="375"/>
      <x:c r="HH4" s="375"/>
      <x:c r="HI4" s="375"/>
      <x:c r="HJ4" s="375"/>
      <x:c r="HK4" s="375"/>
      <x:c r="HL4" s="375"/>
      <x:c r="HM4" s="375"/>
      <x:c r="HN4" s="375"/>
      <x:c r="HO4" s="375"/>
      <x:c r="HP4" s="375"/>
      <x:c r="HQ4" s="375"/>
      <x:c r="HR4" s="375"/>
      <x:c r="HS4" s="375"/>
      <x:c r="HT4" s="375"/>
      <x:c r="HU4" s="375"/>
      <x:c r="HV4" s="375"/>
      <x:c r="HW4" s="375"/>
      <x:c r="HX4" s="375"/>
      <x:c r="HY4" s="375"/>
      <x:c r="HZ4" s="375"/>
      <x:c r="IA4" s="375"/>
      <x:c r="IB4" s="375"/>
      <x:c r="IC4" s="375"/>
      <x:c r="ID4" s="375"/>
      <x:c r="IE4" s="375"/>
      <x:c r="IF4" s="375"/>
      <x:c r="IG4" s="375"/>
      <x:c r="IH4" s="375"/>
      <x:c r="II4" s="375"/>
      <x:c r="IJ4" s="375"/>
      <x:c r="IK4" s="375"/>
      <x:c r="IL4" s="375"/>
      <x:c r="IM4" s="375"/>
      <x:c r="IN4" s="375"/>
      <x:c r="IO4" s="375"/>
      <x:c r="IP4" s="375"/>
      <x:c r="IQ4" s="375"/>
      <x:c r="IR4" s="375"/>
      <x:c r="IS4" s="375"/>
      <x:c r="IT4" s="375"/>
      <x:c r="IU4" s="375"/>
      <x:c r="IV4" s="375"/>
      <x:c r="IW4" s="375"/>
      <x:c r="IX4" s="375"/>
      <x:c r="IY4" s="375"/>
      <x:c r="IZ4" s="375"/>
      <x:c r="JA4" s="375"/>
      <x:c r="JB4" s="375"/>
      <x:c r="JC4" s="375"/>
      <x:c r="JD4" s="375"/>
      <x:c r="JE4" s="375"/>
      <x:c r="JF4" s="375"/>
      <x:c r="JG4" s="375"/>
      <x:c r="JH4" s="375"/>
      <x:c r="JI4" s="375"/>
      <x:c r="JJ4" s="375"/>
      <x:c r="JK4" s="375"/>
      <x:c r="JL4" s="375"/>
      <x:c r="JM4" s="375"/>
      <x:c r="JN4" s="375"/>
      <x:c r="JO4" s="375"/>
      <x:c r="JP4" s="375"/>
      <x:c r="JQ4" s="375"/>
      <x:c r="JR4" s="375"/>
      <x:c r="JS4" s="375"/>
      <x:c r="JT4" s="375"/>
      <x:c r="JU4" s="375"/>
      <x:c r="JV4" s="375"/>
      <x:c r="JW4" s="375"/>
      <x:c r="JX4" s="375"/>
      <x:c r="JY4" s="375"/>
      <x:c r="JZ4" s="375"/>
      <x:c r="KA4" s="375"/>
      <x:c r="KB4" s="375"/>
      <x:c r="KC4" s="375"/>
      <x:c r="KD4" s="375"/>
      <x:c r="KE4" s="375"/>
      <x:c r="KF4" s="375"/>
      <x:c r="KG4" s="375"/>
      <x:c r="KH4" s="375"/>
      <x:c r="KI4" s="375"/>
      <x:c r="KJ4" s="375"/>
      <x:c r="KK4" s="375"/>
      <x:c r="KL4" s="375"/>
      <x:c r="KM4" s="375"/>
      <x:c r="KN4" s="375"/>
      <x:c r="KO4" s="375"/>
      <x:c r="KP4" s="375"/>
      <x:c r="KQ4" s="375"/>
      <x:c r="KR4" s="375"/>
      <x:c r="KS4" s="375"/>
      <x:c r="KT4" s="375"/>
      <x:c r="KU4" s="375"/>
      <x:c r="KV4" s="375"/>
      <x:c r="KW4" s="375"/>
      <x:c r="KX4" s="375"/>
      <x:c r="KY4" s="375"/>
      <x:c r="KZ4" s="375"/>
      <x:c r="LA4" s="375"/>
      <x:c r="LB4" s="375"/>
      <x:c r="LC4" s="375"/>
      <x:c r="LD4" s="375"/>
      <x:c r="LE4" s="375"/>
      <x:c r="LF4" s="375"/>
      <x:c r="LG4" s="375"/>
      <x:c r="LH4" s="375"/>
      <x:c r="LI4" s="375"/>
      <x:c r="LJ4" s="375"/>
      <x:c r="LK4" s="375"/>
      <x:c r="LL4" s="375"/>
      <x:c r="LM4" s="375"/>
      <x:c r="LN4" s="375"/>
      <x:c r="LO4" s="375"/>
      <x:c r="LP4" s="375"/>
      <x:c r="LQ4" s="375"/>
      <x:c r="LR4" s="375"/>
      <x:c r="LS4" s="375"/>
      <x:c r="LT4" s="375"/>
      <x:c r="LU4" s="375"/>
      <x:c r="LV4" s="375"/>
      <x:c r="LW4" s="375"/>
      <x:c r="LX4" s="375"/>
      <x:c r="LY4" s="375"/>
      <x:c r="LZ4" s="375"/>
      <x:c r="MA4" s="375"/>
      <x:c r="MB4" s="375"/>
      <x:c r="MC4" s="375"/>
      <x:c r="MD4" s="375"/>
      <x:c r="ME4" s="375"/>
      <x:c r="MF4" s="375"/>
      <x:c r="MG4" s="375"/>
      <x:c r="MH4" s="375"/>
      <x:c r="MI4" s="375"/>
      <x:c r="MJ4" s="375"/>
      <x:c r="MK4" s="375"/>
      <x:c r="ML4" s="375"/>
      <x:c r="MM4" s="375"/>
      <x:c r="MN4" s="375"/>
      <x:c r="MO4" s="375"/>
      <x:c r="MP4" s="375"/>
      <x:c r="MQ4" s="375"/>
      <x:c r="MR4" s="375"/>
      <x:c r="MS4" s="375"/>
      <x:c r="MT4" s="375"/>
      <x:c r="MU4" s="375"/>
      <x:c r="MV4" s="375"/>
      <x:c r="MW4" s="375"/>
      <x:c r="MX4" s="375"/>
      <x:c r="MY4" s="375"/>
      <x:c r="MZ4" s="375"/>
      <x:c r="NA4" s="375"/>
      <x:c r="NB4" s="375"/>
      <x:c r="NC4" s="375"/>
      <x:c r="ND4" s="375"/>
      <x:c r="NE4" s="375"/>
      <x:c r="NF4" s="375"/>
      <x:c r="NG4" s="375"/>
      <x:c r="NH4" s="375"/>
      <x:c r="NI4" s="375"/>
      <x:c r="NJ4" s="375"/>
      <x:c r="NK4" s="375"/>
      <x:c r="NL4" s="375"/>
      <x:c r="NM4" s="375"/>
      <x:c r="NN4" s="375"/>
      <x:c r="NO4" s="375"/>
      <x:c r="NP4" s="375"/>
      <x:c r="NQ4" s="375"/>
      <x:c r="NR4" s="375"/>
      <x:c r="NS4" s="375"/>
      <x:c r="NT4" s="375"/>
      <x:c r="NU4" s="375"/>
      <x:c r="NV4" s="375"/>
      <x:c r="NW4" s="375"/>
      <x:c r="NX4" s="375"/>
      <x:c r="NY4" s="375"/>
      <x:c r="NZ4" s="375"/>
      <x:c r="OA4" s="375"/>
      <x:c r="OB4" s="375"/>
      <x:c r="OC4" s="375"/>
      <x:c r="OD4" s="375"/>
      <x:c r="OE4" s="375"/>
      <x:c r="OF4" s="375"/>
      <x:c r="OG4" s="375"/>
      <x:c r="OH4" s="375"/>
      <x:c r="OI4" s="375"/>
      <x:c r="OJ4" s="375"/>
      <x:c r="OK4" s="375"/>
      <x:c r="OL4" s="375"/>
      <x:c r="OM4" s="375"/>
      <x:c r="ON4" s="375"/>
      <x:c r="OO4" s="375"/>
      <x:c r="OP4" s="375"/>
      <x:c r="OQ4" s="375"/>
      <x:c r="OR4" s="375"/>
      <x:c r="OS4" s="375"/>
      <x:c r="OT4" s="375"/>
      <x:c r="OU4" s="375"/>
      <x:c r="OV4" s="375"/>
      <x:c r="OW4" s="375"/>
      <x:c r="OX4" s="375"/>
      <x:c r="OY4" s="375"/>
      <x:c r="OZ4" s="375"/>
      <x:c r="PA4" s="375"/>
      <x:c r="PB4" s="375"/>
      <x:c r="PC4" s="375"/>
      <x:c r="PD4" s="375"/>
      <x:c r="PE4" s="375"/>
      <x:c r="PF4" s="375"/>
      <x:c r="PG4" s="375"/>
      <x:c r="PH4" s="375"/>
      <x:c r="PI4" s="375"/>
      <x:c r="PJ4" s="375"/>
      <x:c r="PK4" s="375"/>
      <x:c r="PL4" s="375"/>
      <x:c r="PM4" s="375"/>
      <x:c r="PN4" s="375"/>
      <x:c r="PO4" s="375"/>
      <x:c r="PP4" s="375"/>
      <x:c r="PQ4" s="375"/>
      <x:c r="PR4" s="375"/>
      <x:c r="PS4" s="375"/>
      <x:c r="PT4" s="375"/>
      <x:c r="PU4" s="375"/>
      <x:c r="PV4" s="375"/>
      <x:c r="PW4" s="375"/>
      <x:c r="PX4" s="375"/>
      <x:c r="PY4" s="375"/>
      <x:c r="PZ4" s="375"/>
      <x:c r="QA4" s="375"/>
      <x:c r="QB4" s="375"/>
      <x:c r="QC4" s="375"/>
      <x:c r="QD4" s="375"/>
      <x:c r="QE4" s="375"/>
      <x:c r="QF4" s="375"/>
      <x:c r="QG4" s="375"/>
      <x:c r="QH4" s="375"/>
      <x:c r="QI4" s="375"/>
      <x:c r="QJ4" s="375"/>
      <x:c r="QK4" s="375"/>
      <x:c r="QL4" s="375"/>
      <x:c r="QM4" s="375"/>
      <x:c r="QN4" s="375"/>
      <x:c r="QO4" s="375"/>
      <x:c r="QP4" s="375"/>
      <x:c r="QQ4" s="375"/>
      <x:c r="QR4" s="375"/>
      <x:c r="QS4" s="375"/>
      <x:c r="QT4" s="375"/>
      <x:c r="QU4" s="375"/>
      <x:c r="QV4" s="375"/>
      <x:c r="QW4" s="375"/>
      <x:c r="QX4" s="375"/>
      <x:c r="QY4" s="375"/>
      <x:c r="QZ4" s="375"/>
      <x:c r="RA4" s="375"/>
      <x:c r="RB4" s="375"/>
      <x:c r="RC4" s="375"/>
      <x:c r="RD4" s="375"/>
      <x:c r="RE4" s="375"/>
      <x:c r="RF4" s="375"/>
      <x:c r="RG4" s="375"/>
      <x:c r="RH4" s="375"/>
      <x:c r="RI4" s="375"/>
      <x:c r="RJ4" s="375"/>
      <x:c r="RK4" s="375"/>
      <x:c r="RL4" s="375"/>
      <x:c r="RM4" s="375"/>
      <x:c r="RN4" s="375"/>
      <x:c r="RO4" s="375"/>
      <x:c r="RP4" s="375"/>
      <x:c r="RQ4" s="375"/>
      <x:c r="RR4" s="375"/>
      <x:c r="RS4" s="375"/>
      <x:c r="RT4" s="375"/>
      <x:c r="RU4" s="375"/>
      <x:c r="RV4" s="375"/>
      <x:c r="RW4" s="375"/>
      <x:c r="RX4" s="375"/>
      <x:c r="RY4" s="375"/>
      <x:c r="RZ4" s="375"/>
      <x:c r="SA4" s="375"/>
      <x:c r="SB4" s="375"/>
      <x:c r="SC4" s="375"/>
      <x:c r="SD4" s="375"/>
      <x:c r="SE4" s="375"/>
      <x:c r="SF4" s="375"/>
      <x:c r="SG4" s="375"/>
      <x:c r="SH4" s="375"/>
      <x:c r="SI4" s="375"/>
      <x:c r="SJ4" s="375"/>
      <x:c r="SK4" s="375"/>
      <x:c r="SL4" s="375"/>
      <x:c r="SM4" s="375"/>
      <x:c r="SN4" s="375"/>
      <x:c r="SO4" s="375"/>
      <x:c r="SP4" s="375"/>
      <x:c r="SQ4" s="375"/>
      <x:c r="SR4" s="375"/>
      <x:c r="SS4" s="375"/>
      <x:c r="ST4" s="375"/>
      <x:c r="SU4" s="375"/>
      <x:c r="SV4" s="375"/>
      <x:c r="SW4" s="375"/>
      <x:c r="SX4" s="375"/>
      <x:c r="SY4" s="375"/>
      <x:c r="SZ4" s="375"/>
      <x:c r="TA4" s="375"/>
      <x:c r="TB4" s="375"/>
      <x:c r="TC4" s="375"/>
      <x:c r="TD4" s="375"/>
      <x:c r="TE4" s="375"/>
      <x:c r="TF4" s="375"/>
      <x:c r="TG4" s="375"/>
      <x:c r="TH4" s="375"/>
      <x:c r="TI4" s="375"/>
      <x:c r="TJ4" s="375"/>
      <x:c r="TK4" s="375"/>
      <x:c r="TL4" s="375"/>
      <x:c r="TM4" s="375"/>
      <x:c r="TN4" s="375"/>
      <x:c r="TO4" s="375"/>
      <x:c r="TP4" s="375"/>
      <x:c r="TQ4" s="375"/>
      <x:c r="TR4" s="375"/>
      <x:c r="TS4" s="375"/>
      <x:c r="TT4" s="375"/>
      <x:c r="TU4" s="375"/>
      <x:c r="TV4" s="375"/>
      <x:c r="TW4" s="375"/>
      <x:c r="TX4" s="375"/>
      <x:c r="TY4" s="375"/>
      <x:c r="TZ4" s="375"/>
      <x:c r="UA4" s="375"/>
      <x:c r="UB4" s="375"/>
      <x:c r="UC4" s="375"/>
      <x:c r="UD4" s="375"/>
      <x:c r="UE4" s="375"/>
      <x:c r="UF4" s="375"/>
      <x:c r="UG4" s="375"/>
      <x:c r="UH4" s="375"/>
      <x:c r="UI4" s="375"/>
      <x:c r="UJ4" s="375"/>
      <x:c r="UK4" s="375"/>
      <x:c r="UL4" s="375"/>
      <x:c r="UM4" s="375"/>
      <x:c r="UN4" s="375"/>
      <x:c r="UO4" s="375"/>
      <x:c r="UP4" s="375"/>
      <x:c r="UQ4" s="375"/>
      <x:c r="UR4" s="375"/>
      <x:c r="US4" s="375"/>
      <x:c r="UT4" s="375"/>
      <x:c r="UU4" s="375"/>
      <x:c r="UV4" s="375"/>
      <x:c r="UW4" s="375"/>
      <x:c r="UX4" s="375"/>
      <x:c r="UY4" s="375"/>
      <x:c r="UZ4" s="375"/>
      <x:c r="VA4" s="375"/>
      <x:c r="VB4" s="375"/>
      <x:c r="VC4" s="375"/>
      <x:c r="VD4" s="375"/>
      <x:c r="VE4" s="375"/>
      <x:c r="VF4" s="375"/>
      <x:c r="VG4" s="375"/>
      <x:c r="VH4" s="375"/>
      <x:c r="VI4" s="375"/>
      <x:c r="VJ4" s="375"/>
      <x:c r="VK4" s="375"/>
      <x:c r="VL4" s="375"/>
      <x:c r="VM4" s="375"/>
      <x:c r="VN4" s="375"/>
      <x:c r="VO4" s="375"/>
      <x:c r="VP4" s="375"/>
      <x:c r="VQ4" s="375"/>
      <x:c r="VR4" s="375"/>
      <x:c r="VS4" s="375"/>
      <x:c r="VT4" s="375"/>
      <x:c r="VU4" s="375"/>
      <x:c r="VV4" s="375"/>
      <x:c r="VW4" s="375"/>
      <x:c r="VX4" s="375"/>
      <x:c r="VY4" s="375"/>
      <x:c r="VZ4" s="375"/>
      <x:c r="WA4" s="375"/>
      <x:c r="WB4" s="375"/>
      <x:c r="WC4" s="375"/>
      <x:c r="WD4" s="375"/>
      <x:c r="WE4" s="375"/>
      <x:c r="WF4" s="375"/>
      <x:c r="WG4" s="375"/>
      <x:c r="WH4" s="375"/>
      <x:c r="WI4" s="375"/>
      <x:c r="WJ4" s="375"/>
      <x:c r="WK4" s="375"/>
      <x:c r="WL4" s="375"/>
      <x:c r="WM4" s="375"/>
      <x:c r="WN4" s="375"/>
      <x:c r="WO4" s="375"/>
      <x:c r="WP4" s="375"/>
      <x:c r="WQ4" s="375"/>
      <x:c r="WR4" s="375"/>
      <x:c r="WS4" s="375"/>
      <x:c r="WT4" s="375"/>
      <x:c r="WU4" s="375"/>
      <x:c r="WV4" s="375"/>
      <x:c r="WW4" s="375"/>
      <x:c r="WX4" s="375"/>
      <x:c r="WY4" s="375"/>
      <x:c r="WZ4" s="375"/>
      <x:c r="XA4" s="375"/>
      <x:c r="XB4" s="375"/>
      <x:c r="XC4" s="375"/>
      <x:c r="XD4" s="375"/>
      <x:c r="XE4" s="375"/>
      <x:c r="XF4" s="375"/>
      <x:c r="XG4" s="375"/>
      <x:c r="XH4" s="375"/>
      <x:c r="XI4" s="375"/>
      <x:c r="XJ4" s="375"/>
      <x:c r="XK4" s="375"/>
      <x:c r="XL4" s="375"/>
      <x:c r="XM4" s="375"/>
      <x:c r="XN4" s="375"/>
      <x:c r="XO4" s="375"/>
      <x:c r="XP4" s="375"/>
      <x:c r="XQ4" s="375"/>
      <x:c r="XR4" s="375"/>
      <x:c r="XS4" s="375"/>
      <x:c r="XT4" s="375"/>
      <x:c r="XU4" s="375"/>
      <x:c r="XV4" s="375"/>
      <x:c r="XW4" s="375"/>
      <x:c r="XX4" s="375"/>
      <x:c r="XY4" s="375"/>
      <x:c r="XZ4" s="375"/>
      <x:c r="YA4" s="375"/>
      <x:c r="YB4" s="375"/>
      <x:c r="YC4" s="375"/>
      <x:c r="YD4" s="375"/>
      <x:c r="YE4" s="375"/>
      <x:c r="YF4" s="375"/>
      <x:c r="YG4" s="375"/>
      <x:c r="YH4" s="375"/>
      <x:c r="YI4" s="375"/>
      <x:c r="YJ4" s="375"/>
      <x:c r="YK4" s="375"/>
      <x:c r="YL4" s="375"/>
      <x:c r="YM4" s="375"/>
      <x:c r="YN4" s="375"/>
      <x:c r="YO4" s="375"/>
      <x:c r="YP4" s="375"/>
      <x:c r="YQ4" s="375"/>
      <x:c r="YR4" s="375"/>
      <x:c r="YS4" s="375"/>
      <x:c r="YT4" s="375"/>
      <x:c r="YU4" s="375"/>
      <x:c r="YV4" s="375"/>
      <x:c r="YW4" s="375"/>
      <x:c r="YX4" s="375"/>
      <x:c r="YY4" s="375"/>
      <x:c r="YZ4" s="375"/>
      <x:c r="ZA4" s="375"/>
      <x:c r="ZB4" s="375"/>
      <x:c r="ZC4" s="375"/>
      <x:c r="ZD4" s="375"/>
      <x:c r="ZE4" s="375"/>
      <x:c r="ZF4" s="375"/>
      <x:c r="ZG4" s="375"/>
      <x:c r="ZH4" s="375"/>
      <x:c r="ZI4" s="375"/>
      <x:c r="ZJ4" s="375"/>
      <x:c r="ZK4" s="375"/>
      <x:c r="ZL4" s="375"/>
      <x:c r="ZM4" s="375"/>
      <x:c r="ZN4" s="375"/>
      <x:c r="ZO4" s="375"/>
      <x:c r="ZP4" s="375"/>
      <x:c r="ZQ4" s="375"/>
      <x:c r="ZR4" s="375"/>
      <x:c r="ZS4" s="375"/>
      <x:c r="ZT4" s="375"/>
      <x:c r="ZU4" s="375"/>
      <x:c r="ZV4" s="375"/>
      <x:c r="ZW4" s="375"/>
      <x:c r="ZX4" s="375"/>
      <x:c r="ZY4" s="375"/>
      <x:c r="ZZ4" s="375"/>
      <x:c r="AAA4" s="375"/>
      <x:c r="AAB4" s="375"/>
      <x:c r="AAC4" s="375"/>
      <x:c r="AAD4" s="375"/>
      <x:c r="AAE4" s="375"/>
      <x:c r="AAF4" s="375"/>
      <x:c r="AAG4" s="375"/>
      <x:c r="AAH4" s="375"/>
      <x:c r="AAI4" s="375"/>
      <x:c r="AAJ4" s="375"/>
      <x:c r="AAK4" s="375"/>
      <x:c r="AAL4" s="375"/>
      <x:c r="AAM4" s="375"/>
      <x:c r="AAN4" s="375"/>
      <x:c r="AAO4" s="375"/>
      <x:c r="AAP4" s="375"/>
      <x:c r="AAQ4" s="375"/>
      <x:c r="AAR4" s="375"/>
      <x:c r="AAS4" s="375"/>
      <x:c r="AAT4" s="375"/>
      <x:c r="AAU4" s="375"/>
      <x:c r="AAV4" s="375"/>
      <x:c r="AAW4" s="375"/>
      <x:c r="AAX4" s="375"/>
      <x:c r="AAY4" s="375"/>
      <x:c r="AAZ4" s="375"/>
      <x:c r="ABA4" s="375"/>
      <x:c r="ABB4" s="375"/>
      <x:c r="ABC4" s="375"/>
      <x:c r="ABD4" s="375"/>
      <x:c r="ABE4" s="375"/>
      <x:c r="ABF4" s="375"/>
      <x:c r="ABG4" s="375"/>
      <x:c r="ABH4" s="375"/>
      <x:c r="ABI4" s="375"/>
      <x:c r="ABJ4" s="375"/>
      <x:c r="ABK4" s="375"/>
      <x:c r="ABL4" s="375"/>
      <x:c r="ABM4" s="375"/>
      <x:c r="ABN4" s="375"/>
      <x:c r="ABO4" s="375"/>
      <x:c r="ABP4" s="375"/>
      <x:c r="ABQ4" s="375"/>
      <x:c r="ABR4" s="375"/>
      <x:c r="ABS4" s="375"/>
      <x:c r="ABT4" s="375"/>
      <x:c r="ABU4" s="375"/>
      <x:c r="ABV4" s="375"/>
      <x:c r="ABW4" s="375"/>
      <x:c r="ABX4" s="375"/>
      <x:c r="ABY4" s="375"/>
      <x:c r="ABZ4" s="375"/>
      <x:c r="ACA4" s="375"/>
      <x:c r="ACB4" s="375"/>
      <x:c r="ACC4" s="375"/>
      <x:c r="ACD4" s="375"/>
      <x:c r="ACE4" s="375"/>
      <x:c r="ACF4" s="375"/>
      <x:c r="ACG4" s="375"/>
      <x:c r="ACH4" s="375"/>
      <x:c r="ACI4" s="375"/>
      <x:c r="ACJ4" s="375"/>
      <x:c r="ACK4" s="375"/>
      <x:c r="ACL4" s="375"/>
      <x:c r="ACM4" s="375"/>
      <x:c r="ACN4" s="375"/>
      <x:c r="ACO4" s="375"/>
      <x:c r="ACP4" s="375"/>
      <x:c r="ACQ4" s="375"/>
      <x:c r="ACR4" s="375"/>
      <x:c r="ACS4" s="375"/>
      <x:c r="ACT4" s="375"/>
      <x:c r="ACU4" s="375"/>
      <x:c r="ACV4" s="375"/>
      <x:c r="ACW4" s="375"/>
      <x:c r="ACX4" s="375"/>
      <x:c r="ACY4" s="375"/>
      <x:c r="ACZ4" s="375"/>
      <x:c r="ADA4" s="375"/>
      <x:c r="ADB4" s="375"/>
      <x:c r="ADC4" s="375"/>
      <x:c r="ADD4" s="375"/>
      <x:c r="ADE4" s="375"/>
      <x:c r="ADF4" s="375"/>
      <x:c r="ADG4" s="375"/>
      <x:c r="ADH4" s="375"/>
      <x:c r="ADI4" s="375"/>
      <x:c r="ADJ4" s="375"/>
      <x:c r="ADK4" s="375"/>
      <x:c r="ADL4" s="375"/>
      <x:c r="ADM4" s="375"/>
      <x:c r="ADN4" s="375"/>
      <x:c r="ADO4" s="375"/>
      <x:c r="ADP4" s="375"/>
      <x:c r="ADQ4" s="375"/>
      <x:c r="ADR4" s="375"/>
      <x:c r="ADS4" s="375"/>
      <x:c r="ADT4" s="375"/>
      <x:c r="ADU4" s="375"/>
      <x:c r="ADV4" s="375"/>
      <x:c r="ADW4" s="375"/>
      <x:c r="ADX4" s="375"/>
      <x:c r="ADY4" s="375"/>
      <x:c r="ADZ4" s="375"/>
      <x:c r="AEA4" s="375"/>
      <x:c r="AEB4" s="375"/>
      <x:c r="AEC4" s="375"/>
      <x:c r="AED4" s="375"/>
      <x:c r="AEE4" s="375"/>
      <x:c r="AEF4" s="375"/>
      <x:c r="AEG4" s="375"/>
      <x:c r="AEH4" s="375"/>
      <x:c r="AEI4" s="375"/>
      <x:c r="AEJ4" s="375"/>
      <x:c r="AEK4" s="375"/>
      <x:c r="AEL4" s="375"/>
      <x:c r="AEM4" s="375"/>
      <x:c r="AEN4" s="375"/>
      <x:c r="AEO4" s="375"/>
      <x:c r="AEP4" s="375"/>
      <x:c r="AEQ4" s="375"/>
      <x:c r="AER4" s="375"/>
      <x:c r="AES4" s="375"/>
      <x:c r="AET4" s="375"/>
      <x:c r="AEU4" s="375"/>
      <x:c r="AEV4" s="375"/>
      <x:c r="AEW4" s="375"/>
      <x:c r="AEX4" s="375"/>
      <x:c r="AEY4" s="375"/>
      <x:c r="AEZ4" s="375"/>
      <x:c r="AFA4" s="375"/>
      <x:c r="AFB4" s="375"/>
      <x:c r="AFC4" s="375"/>
      <x:c r="AFD4" s="375"/>
      <x:c r="AFE4" s="375"/>
      <x:c r="AFF4" s="375"/>
      <x:c r="AFG4" s="375"/>
      <x:c r="AFH4" s="375"/>
      <x:c r="AFI4" s="375"/>
      <x:c r="AFJ4" s="375"/>
      <x:c r="AFK4" s="375"/>
      <x:c r="AFL4" s="375"/>
      <x:c r="AFM4" s="375"/>
      <x:c r="AFN4" s="375"/>
      <x:c r="AFO4" s="375"/>
      <x:c r="AFP4" s="375"/>
      <x:c r="AFQ4" s="375"/>
      <x:c r="AFR4" s="375"/>
      <x:c r="AFS4" s="375"/>
      <x:c r="AFT4" s="375"/>
      <x:c r="AFU4" s="375"/>
      <x:c r="AFV4" s="375"/>
      <x:c r="AFW4" s="375"/>
      <x:c r="AFX4" s="375"/>
      <x:c r="AFY4" s="375"/>
      <x:c r="AFZ4" s="375"/>
      <x:c r="AGA4" s="375"/>
      <x:c r="AGB4" s="375"/>
      <x:c r="AGC4" s="375"/>
      <x:c r="AGD4" s="375"/>
      <x:c r="AGE4" s="375"/>
      <x:c r="AGF4" s="375"/>
      <x:c r="AGG4" s="375"/>
      <x:c r="AGH4" s="375"/>
      <x:c r="AGI4" s="375"/>
      <x:c r="AGJ4" s="375"/>
      <x:c r="AGK4" s="375"/>
      <x:c r="AGL4" s="375"/>
      <x:c r="AGM4" s="375"/>
      <x:c r="AGN4" s="375"/>
      <x:c r="AGO4" s="375"/>
      <x:c r="AGP4" s="375"/>
      <x:c r="AGQ4" s="375"/>
      <x:c r="AGR4" s="375"/>
      <x:c r="AGS4" s="375"/>
      <x:c r="AGT4" s="375"/>
      <x:c r="AGU4" s="375"/>
      <x:c r="AGV4" s="375"/>
      <x:c r="AGW4" s="375"/>
      <x:c r="AGX4" s="375"/>
      <x:c r="AGY4" s="375"/>
      <x:c r="AGZ4" s="375"/>
      <x:c r="AHA4" s="375"/>
      <x:c r="AHB4" s="375"/>
      <x:c r="AHC4" s="375"/>
      <x:c r="AHD4" s="375"/>
      <x:c r="AHE4" s="375"/>
      <x:c r="AHF4" s="375"/>
      <x:c r="AHG4" s="375"/>
      <x:c r="AHH4" s="375"/>
      <x:c r="AHI4" s="375"/>
      <x:c r="AHJ4" s="375"/>
      <x:c r="AHK4" s="375"/>
      <x:c r="AHL4" s="375"/>
      <x:c r="AHM4" s="375"/>
      <x:c r="AHN4" s="375"/>
      <x:c r="AHO4" s="375"/>
      <x:c r="AHP4" s="375"/>
      <x:c r="AHQ4" s="375"/>
      <x:c r="AHR4" s="375"/>
      <x:c r="AHS4" s="375"/>
      <x:c r="AHT4" s="375"/>
      <x:c r="AHU4" s="375"/>
      <x:c r="AHV4" s="375"/>
      <x:c r="AHW4" s="375"/>
      <x:c r="AHX4" s="375"/>
      <x:c r="AHY4" s="375"/>
      <x:c r="AHZ4" s="375"/>
      <x:c r="AIA4" s="375"/>
      <x:c r="AIB4" s="375"/>
      <x:c r="AIC4" s="375"/>
      <x:c r="AID4" s="375"/>
      <x:c r="AIE4" s="375"/>
      <x:c r="AIF4" s="375"/>
      <x:c r="AIG4" s="375"/>
      <x:c r="AIH4" s="375"/>
      <x:c r="AII4" s="375"/>
      <x:c r="AIJ4" s="375"/>
      <x:c r="AIK4" s="375"/>
      <x:c r="AIL4" s="375"/>
      <x:c r="AIM4" s="375"/>
      <x:c r="AIN4" s="375"/>
      <x:c r="AIO4" s="375"/>
      <x:c r="AIP4" s="375"/>
      <x:c r="AIQ4" s="375"/>
      <x:c r="AIR4" s="375"/>
      <x:c r="AIS4" s="375"/>
      <x:c r="AIT4" s="375"/>
      <x:c r="AIU4" s="375"/>
      <x:c r="AIV4" s="375"/>
      <x:c r="AIW4" s="375"/>
      <x:c r="AIX4" s="375"/>
      <x:c r="AIY4" s="375"/>
      <x:c r="AIZ4" s="375"/>
      <x:c r="AJA4" s="375"/>
      <x:c r="AJB4" s="375"/>
      <x:c r="AJC4" s="375"/>
      <x:c r="AJD4" s="375"/>
      <x:c r="AJE4" s="375"/>
      <x:c r="AJF4" s="375"/>
      <x:c r="AJG4" s="375"/>
      <x:c r="AJH4" s="375"/>
      <x:c r="AJI4" s="375"/>
      <x:c r="AJJ4" s="375"/>
      <x:c r="AJK4" s="375"/>
      <x:c r="AJL4" s="375"/>
      <x:c r="AJM4" s="375"/>
      <x:c r="AJN4" s="375"/>
      <x:c r="AJO4" s="375"/>
      <x:c r="AJP4" s="375"/>
      <x:c r="AJQ4" s="375"/>
      <x:c r="AJR4" s="375"/>
      <x:c r="AJS4" s="375"/>
      <x:c r="AJT4" s="375"/>
      <x:c r="AJU4" s="375"/>
      <x:c r="AJV4" s="375"/>
      <x:c r="AJW4" s="375"/>
      <x:c r="AJX4" s="375"/>
      <x:c r="AJY4" s="375"/>
      <x:c r="AJZ4" s="375"/>
      <x:c r="AKA4" s="375"/>
      <x:c r="AKB4" s="375"/>
      <x:c r="AKC4" s="375"/>
      <x:c r="AKD4" s="375"/>
      <x:c r="AKE4" s="375"/>
      <x:c r="AKF4" s="375"/>
      <x:c r="AKG4" s="375"/>
      <x:c r="AKH4" s="375"/>
      <x:c r="AKI4" s="375"/>
      <x:c r="AKJ4" s="375"/>
      <x:c r="AKK4" s="375"/>
      <x:c r="AKL4" s="375"/>
      <x:c r="AKM4" s="375"/>
      <x:c r="AKN4" s="375"/>
      <x:c r="AKO4" s="375"/>
      <x:c r="AKP4" s="375"/>
      <x:c r="AKQ4" s="375"/>
      <x:c r="AKR4" s="375"/>
      <x:c r="AKS4" s="375"/>
      <x:c r="AKT4" s="375"/>
      <x:c r="AKU4" s="375"/>
      <x:c r="AKV4" s="375"/>
      <x:c r="AKW4" s="375"/>
      <x:c r="AKX4" s="375"/>
      <x:c r="AKY4" s="375"/>
      <x:c r="AKZ4" s="375"/>
      <x:c r="ALA4" s="375"/>
      <x:c r="ALB4" s="375"/>
      <x:c r="ALC4" s="375"/>
      <x:c r="ALD4" s="375"/>
      <x:c r="ALE4" s="375"/>
      <x:c r="ALF4" s="375"/>
      <x:c r="ALG4" s="375"/>
      <x:c r="ALH4" s="375"/>
      <x:c r="ALI4" s="375"/>
      <x:c r="ALJ4" s="375"/>
      <x:c r="ALK4" s="375"/>
      <x:c r="ALL4" s="375"/>
      <x:c r="ALM4" s="375"/>
      <x:c r="ALN4" s="375"/>
      <x:c r="ALO4" s="375"/>
      <x:c r="ALP4" s="375"/>
      <x:c r="ALQ4" s="375"/>
      <x:c r="ALR4" s="375"/>
      <x:c r="ALS4" s="375"/>
      <x:c r="ALT4" s="375"/>
      <x:c r="ALU4" s="375"/>
      <x:c r="ALV4" s="375"/>
      <x:c r="ALW4" s="375"/>
      <x:c r="ALX4" s="375"/>
      <x:c r="ALY4" s="375"/>
      <x:c r="ALZ4" s="375"/>
      <x:c r="AMA4" s="375"/>
      <x:c r="AMB4" s="375"/>
      <x:c r="AMC4" s="375"/>
      <x:c r="AMD4" s="375"/>
      <x:c r="AME4" s="375"/>
      <x:c r="AMF4" s="375"/>
      <x:c r="AMG4" s="375"/>
      <x:c r="AMH4" s="375"/>
      <x:c r="AMI4" s="375"/>
      <x:c r="AMJ4" s="375"/>
      <x:c r="AMK4" s="375"/>
    </x:row>
    <x:row r="5" ht="38" hidden="0" customHeight="1">
      <x:c r="A5" s="78" t="str">
        <x:v>01-yurina-o-n-4</x:v>
      </x:c>
      <x:c r="B5" s="78" t="str">
        <x:v>yurina</x:v>
      </x:c>
      <x:c r="C5" s="78"/>
      <x:c r="D5" s="78"/>
      <x:c r="E5" s="78" t="str">
        <x:v>居合</x:v>
      </x:c>
      <x:c r="F5" s="78" t="str">
        <x:v>いあい</x:v>
      </x:c>
      <x:c r="G5" s="78" t="str">
        <x:v>居合</x:v>
      </x:c>
      <x:c r="H5" s="78" t="str">
        <x:v>居合斩</x:v>
      </x:c>
      <x:c r="I5" s="333"/>
      <x:c r="J5" s="350" t="str">
        <x:v>거합</x:v>
      </x:c>
      <x:c r="K5" s="263" t="str">
        <x:v>Art of Drawing</x:v>
      </x:c>
      <x:c r="L5" s="78"/>
      <x:c r="M5" s="78" t="str">
        <x:v>通常札</x:v>
      </x:c>
      <x:c r="N5" s="78"/>
      <x:c r="O5" s="78"/>
      <x:c r="P5" s="78"/>
      <x:c r="Q5" s="78"/>
      <x:c r="R5" s="78" t="str">
        <x:v>攻撃</x:v>
      </x:c>
      <x:c r="S5" s="78" t="str">
        <x:v>全力</x:v>
      </x:c>
      <x:c r="T5" s="78" t="str">
        <x:v>2-4</x:v>
      </x:c>
      <x:c r="U5" s="324"/>
      <x:c r="V5" s="78" t="str">
        <x:v>4/3</x:v>
      </x:c>
      <x:c r="W5" s="324"/>
      <x:c r="X5" s="78"/>
      <x:c r="Y5" s="78"/>
      <x:c r="Z5" s="78"/>
      <x:c r="AA5" s="78"/>
      <x:c r="AB5" s="78"/>
      <x:c r="AC5" s="78"/>
      <x:c r="AD5" s="78"/>
      <x:c r="AE5" s="446" t="str">
        <x:v>【常時】現在の間合が2以下ならば、この《攻撃》は-1/-1となる。</x:v>
      </x:c>
      <x:c r="AF5" s="447"/>
      <x:c r="AG5" s="492" t="str">
        <x:v>【常时】若当前距离小于等于2，则此《攻击》得-1/-1。</x:v>
      </x:c>
      <x:c r="AH5" s="447"/>
      <x:c r="AI5" s="493" t="str">
        <x:v>【常时】若当前距离小于2，则此《攻击》得-1/-1。</x:v>
      </x:c>
      <x:c r="AJ5" s="447"/>
      <x:c r="AK5" s="492" t="str">
        <x:v>【상시】현재 간격이 2 이하라면, 이 공격은 -1/-1이 된다.</x:v>
      </x:c>
      <x:c r="AL5" s="447"/>
      <x:c r="AM5" s="492" t="str">
        <x:v>Forced: If the current Distance is 2 or less, this attack gets -1/-1.</x:v>
      </x:c>
      <x:c r="AN5" s="440"/>
      <x:c r="AO5" s="439"/>
      <x:c r="AP5" s="439"/>
      <x:c r="AQ5" s="439"/>
      <x:c r="AR5" s="439"/>
      <x:c r="AS5" s="439"/>
      <x:c r="AT5" s="378" t="str">
        <x:f aca="0">IF(A5="", "","'"&amp;A5&amp;"': {megami: '"&amp;B5&amp;"'"&amp;IF(C5&lt;&gt;"",", anotherID: '"&amp;C5&amp;"', replace: '"&amp;D5&amp;"'","")&amp;", name: '"&amp;SUBSTITUTE(E5,"'","\'")&amp;"', nameEn: '"&amp;SUBSTITUTE(K5,"'","\'")&amp;"', nameZh: '"&amp;SUBSTITUTE(G5,"'","\'")&amp;"', nameZhG4: '"&amp;SUBSTITUTE(H5,"'","\'")&amp;"', nameKo: '"&amp;SUBSTITUTE(J5,"'","\'")&amp;"', ruby: '"&amp;F5&amp;"', rubyEn: '"&amp;L5&amp;IF(I5&lt;&gt;"", "', rubyZh: '"&amp;I5, "")&amp;"', baseType: '"&amp;IF(M5="通常札","normal",IF(M5="切札","special",IF(M5="追加札","extra",IF(M5="transform","transform",IF(M5="嵐","storm",IF(M5="兵員","troop",IF(M5="構想","plan",IF(M5="メインパーツ","mainParts",IF(M5="カスタムパーツ","customParts",IF(M5="運命","fate",IF(M5="仮想樹","virtualTree","")))))))))))&amp;"'"&amp;IF(N5="○",", extra: true","")&amp;IF(O5&lt;&gt;"",", extraFrom: '"&amp;O5&amp;"'","")&amp;IF(P5&lt;&gt;"",", exchangableTo: '"&amp;P5&amp;"'","")&amp;IF(Q5="○",", poison: true","")&amp;IF(R5&lt;&gt;"", ", type: '"&amp;IF(R5="攻撃","attack",IF(R5="行動","action",IF(R5="不定","variable",IF(R5="対応","reaction",IF(R5="全力","fullpower",IF(R5="付与","enhance",IF(R5="transform","transform","")))))))&amp;"'", "")&amp;IF(S5&lt;&gt;"",", subType: '"&amp;IF(S5="攻撃","attack",IF(S5="行動","action",IF(S5="不定","variable",IF(S5="対応","reaction",IF(S5="全力","fullpower",IF(S5="付与","enhance",IF(S5="transform","transform","")))))))&amp;"'","")&amp;""&amp;IF(T5&lt;&gt;"",",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textZhG4: '"&amp;SUBSTITUTE(SUBSTITUTE(SUBSTITUTE(AI5, CHAR(13), ""),CHAR(10),"\n"),"'","\'")&amp;IF(AH5&lt;&gt;"", "', textZhAdditional: '"&amp;SUBSTITUTE(SUBSTITUTE(AH5, CHAR(13), ""),CHAR(10),"\n"), "")&amp;IF(AK5&lt;&gt;"", "', textZhG4Additional: '"&amp;SUBSTITUTE(SUBSTITUTE(AK5, CHAR(13), ""),CHAR(10),"\n"), "")&amp;"', textKo: '"&amp;SUBSTITUTE(SUBSTITUTE(SUBSTITUTE(AM5, CHAR(13), ""),CHAR(10),"\n"),"'","\'")&amp;IF(AM5&lt;&gt;"", "', textKoAdditional: '"&amp;SUBSTITUTE(SUBSTITUTE(AM5, CHAR(13), ""),CHAR(10),"\n"), "")&amp;"', textEn: '"&amp;SUBSTITUTE(SUBSTITUTE(SUBSTITUTE(AM5, CHAR(13), ""),CHAR(10),"\n"),"'","\'")&amp;IF(AN5&lt;&gt;"", "', textEnAdditional: '"&amp;SUBSTITUTE(SUBSTITUTE(AN5, CHAR(13), ""),CHAR(10),"\n"), "")&amp;"'"&amp;IF(AB5="○",", sealable: true","")&amp;IF(AC5="○",", removable: true","")&amp;IF(AA5="○",", lie: true","")&amp;IF(AD5="○",", investable: true","")&amp;"},")</x:f>
        <x:v>'01-yurina-o-n-4': {megami: 'yurina', name: '居合', nameEn: 'Art of Drawing', nameZh: '居合', nameZhG4: '居合斩', nameKo: '거합', ruby: 'いあい', rubyEn: '', baseType: 'normal', type: 'attack', subType: 'fullpower', range: '2-4', damage: '4/3', text: '【常時】現在の間合が2以下ならば、この《攻撃》は-1/-1となる。', textZh: '【常时】若当前距离小于等于2，则此《攻击》得-1/-1。', textZhG4: '【常时】若当前距离小于2，则此《攻击》得-1/-1。', textZhG4Additional: '【상시】현재 간격이 2 이하라면, 이 공격은 -1/-1이 된다.', textKo: 'Forced: If the current Distance is 2 or less, this attack gets -1/-1.', textKoAdditional: 'Forced: If the current Distance is 2 or less, this attack gets -1/-1.', textEn: 'Forced: If the current Distance is 2 or less, this attack gets -1/-1.'},</x:v>
      </x:c>
      <x:c r="AU5" s="379" t="str">
        <x:f aca="0">IF($A5&lt;&gt;"", "    /** 《"&amp;$E5&amp;"》 */ export const "&amp;SUBSTITUTE(UPPER(IF(MID($A5, 3, 1)="-", RIGHT($A5,LEN($A5)-3), $A5)), "-", "_")&amp;": TCardId = '"&amp;$A5&amp;"';", "")</x:f>
        <x:v>    /** 《居合》 */ export const YURINA_O_N_4: TCardId = '01-yurina-o-n-4';</x:v>
      </x:c>
      <x:c r="AV5" s="380" t="str">
        <x:f aca="0">IF($A6&lt;&gt;"", "    | '"&amp;$A6&amp;"'", "")</x:f>
        <x:v>    | '01-yurina-o-n-5'</x:v>
      </x:c>
      <x:c r="AW5" s="381"/>
      <x:c r="AX5" s="381"/>
      <x:c r="AY5" s="381"/>
      <x:c r="AZ5" s="381"/>
      <x:c r="BA5" s="381"/>
      <x:c r="BB5" s="381"/>
      <x:c r="BC5" s="381"/>
      <x:c r="BD5" s="381"/>
      <x:c r="BE5" s="381"/>
      <x:c r="BF5" s="381"/>
      <x:c r="BG5" s="381"/>
      <x:c r="BH5" s="381"/>
      <x:c r="BI5" s="381"/>
      <x:c r="BJ5" s="381"/>
      <x:c r="BK5" s="381"/>
      <x:c r="BL5" s="381"/>
      <x:c r="BM5" s="381"/>
      <x:c r="BN5" s="381"/>
      <x:c r="BO5" s="381"/>
      <x:c r="BP5" s="381"/>
      <x:c r="BQ5" s="375"/>
      <x:c r="BR5" s="375"/>
      <x:c r="BS5" s="375"/>
      <x:c r="BT5" s="375"/>
      <x:c r="BU5" s="375"/>
      <x:c r="BV5" s="375"/>
      <x:c r="BW5" s="375"/>
      <x:c r="BX5" s="375"/>
      <x:c r="BY5" s="375"/>
      <x:c r="BZ5" s="375"/>
      <x:c r="CA5" s="375"/>
      <x:c r="CB5" s="375"/>
      <x:c r="CC5" s="375"/>
      <x:c r="CD5" s="375"/>
      <x:c r="CE5" s="375"/>
      <x:c r="CF5" s="375"/>
      <x:c r="CG5" s="375"/>
      <x:c r="CH5" s="375"/>
      <x:c r="CI5" s="375"/>
      <x:c r="CJ5" s="375"/>
      <x:c r="CK5" s="375"/>
      <x:c r="CL5" s="375"/>
      <x:c r="CM5" s="375"/>
      <x:c r="CN5" s="375"/>
      <x:c r="CO5" s="375"/>
      <x:c r="CP5" s="375"/>
      <x:c r="CQ5" s="375"/>
      <x:c r="CR5" s="375"/>
      <x:c r="CS5" s="375"/>
      <x:c r="CT5" s="375"/>
      <x:c r="CU5" s="375"/>
      <x:c r="CV5" s="375"/>
      <x:c r="CW5" s="375"/>
      <x:c r="CX5" s="375"/>
      <x:c r="CY5" s="375"/>
      <x:c r="CZ5" s="375"/>
      <x:c r="DA5" s="375"/>
      <x:c r="DB5" s="375"/>
      <x:c r="DC5" s="375"/>
      <x:c r="DD5" s="375"/>
      <x:c r="DE5" s="375"/>
      <x:c r="DF5" s="375"/>
      <x:c r="DG5" s="375"/>
      <x:c r="DH5" s="375"/>
      <x:c r="DI5" s="375"/>
      <x:c r="DJ5" s="375"/>
      <x:c r="DK5" s="375"/>
      <x:c r="DL5" s="375"/>
      <x:c r="DM5" s="375"/>
      <x:c r="DN5" s="375"/>
      <x:c r="DO5" s="375"/>
      <x:c r="DP5" s="375"/>
      <x:c r="DQ5" s="375"/>
      <x:c r="DR5" s="375"/>
      <x:c r="DS5" s="375"/>
      <x:c r="DT5" s="375"/>
      <x:c r="DU5" s="375"/>
      <x:c r="DV5" s="375"/>
      <x:c r="DW5" s="375"/>
      <x:c r="DX5" s="375"/>
      <x:c r="DY5" s="375"/>
      <x:c r="DZ5" s="375"/>
      <x:c r="EA5" s="375"/>
      <x:c r="EB5" s="375"/>
      <x:c r="EC5" s="375"/>
      <x:c r="ED5" s="375"/>
      <x:c r="EE5" s="375"/>
      <x:c r="EF5" s="375"/>
      <x:c r="EG5" s="375"/>
      <x:c r="EH5" s="375"/>
      <x:c r="EI5" s="375"/>
      <x:c r="EJ5" s="375"/>
      <x:c r="EK5" s="375"/>
      <x:c r="EL5" s="375"/>
      <x:c r="EM5" s="375"/>
      <x:c r="EN5" s="375"/>
      <x:c r="EO5" s="375"/>
      <x:c r="EP5" s="375"/>
      <x:c r="EQ5" s="375"/>
      <x:c r="ER5" s="375"/>
      <x:c r="ES5" s="375"/>
      <x:c r="ET5" s="375"/>
      <x:c r="EU5" s="375"/>
      <x:c r="EV5" s="375"/>
      <x:c r="EW5" s="375"/>
      <x:c r="EX5" s="375"/>
      <x:c r="EY5" s="375"/>
      <x:c r="EZ5" s="375"/>
      <x:c r="FA5" s="375"/>
      <x:c r="FB5" s="375"/>
      <x:c r="FC5" s="375"/>
      <x:c r="FD5" s="375"/>
      <x:c r="FE5" s="375"/>
      <x:c r="FF5" s="375"/>
      <x:c r="FG5" s="375"/>
      <x:c r="FH5" s="375"/>
      <x:c r="FI5" s="375"/>
      <x:c r="FJ5" s="375"/>
      <x:c r="FK5" s="375"/>
      <x:c r="FL5" s="375"/>
      <x:c r="FM5" s="375"/>
      <x:c r="FN5" s="375"/>
      <x:c r="FO5" s="375"/>
      <x:c r="FP5" s="375"/>
      <x:c r="FQ5" s="375"/>
      <x:c r="FR5" s="375"/>
      <x:c r="FS5" s="375"/>
      <x:c r="FT5" s="375"/>
      <x:c r="FU5" s="375"/>
      <x:c r="FV5" s="375"/>
      <x:c r="FW5" s="375"/>
      <x:c r="FX5" s="375"/>
      <x:c r="FY5" s="375"/>
      <x:c r="FZ5" s="375"/>
      <x:c r="GA5" s="375"/>
      <x:c r="GB5" s="375"/>
      <x:c r="GC5" s="375"/>
      <x:c r="GD5" s="375"/>
      <x:c r="GE5" s="375"/>
      <x:c r="GF5" s="375"/>
      <x:c r="GG5" s="375"/>
      <x:c r="GH5" s="375"/>
      <x:c r="GI5" s="375"/>
      <x:c r="GJ5" s="375"/>
      <x:c r="GK5" s="375"/>
      <x:c r="GL5" s="375"/>
      <x:c r="GM5" s="375"/>
      <x:c r="GN5" s="375"/>
      <x:c r="GO5" s="375"/>
      <x:c r="GP5" s="375"/>
      <x:c r="GQ5" s="375"/>
      <x:c r="GR5" s="375"/>
      <x:c r="GS5" s="375"/>
      <x:c r="GT5" s="375"/>
      <x:c r="GU5" s="375"/>
      <x:c r="GV5" s="375"/>
      <x:c r="GW5" s="375"/>
      <x:c r="GX5" s="375"/>
      <x:c r="GY5" s="375"/>
      <x:c r="GZ5" s="375"/>
      <x:c r="HA5" s="375"/>
      <x:c r="HB5" s="375"/>
      <x:c r="HC5" s="375"/>
      <x:c r="HD5" s="375"/>
      <x:c r="HE5" s="375"/>
      <x:c r="HF5" s="375"/>
      <x:c r="HG5" s="375"/>
      <x:c r="HH5" s="375"/>
      <x:c r="HI5" s="375"/>
      <x:c r="HJ5" s="375"/>
      <x:c r="HK5" s="375"/>
      <x:c r="HL5" s="375"/>
      <x:c r="HM5" s="375"/>
      <x:c r="HN5" s="375"/>
      <x:c r="HO5" s="375"/>
      <x:c r="HP5" s="375"/>
      <x:c r="HQ5" s="375"/>
      <x:c r="HR5" s="375"/>
      <x:c r="HS5" s="375"/>
      <x:c r="HT5" s="375"/>
      <x:c r="HU5" s="375"/>
      <x:c r="HV5" s="375"/>
      <x:c r="HW5" s="375"/>
      <x:c r="HX5" s="375"/>
      <x:c r="HY5" s="375"/>
      <x:c r="HZ5" s="375"/>
      <x:c r="IA5" s="375"/>
      <x:c r="IB5" s="375"/>
      <x:c r="IC5" s="375"/>
      <x:c r="ID5" s="375"/>
      <x:c r="IE5" s="375"/>
      <x:c r="IF5" s="375"/>
      <x:c r="IG5" s="375"/>
      <x:c r="IH5" s="375"/>
      <x:c r="II5" s="375"/>
      <x:c r="IJ5" s="375"/>
      <x:c r="IK5" s="375"/>
      <x:c r="IL5" s="375"/>
      <x:c r="IM5" s="375"/>
      <x:c r="IN5" s="375"/>
      <x:c r="IO5" s="375"/>
      <x:c r="IP5" s="375"/>
      <x:c r="IQ5" s="375"/>
      <x:c r="IR5" s="375"/>
      <x:c r="IS5" s="375"/>
      <x:c r="IT5" s="375"/>
      <x:c r="IU5" s="375"/>
      <x:c r="IV5" s="375"/>
      <x:c r="IW5" s="375"/>
      <x:c r="IX5" s="375"/>
      <x:c r="IY5" s="375"/>
      <x:c r="IZ5" s="375"/>
      <x:c r="JA5" s="375"/>
      <x:c r="JB5" s="375"/>
      <x:c r="JC5" s="375"/>
      <x:c r="JD5" s="375"/>
      <x:c r="JE5" s="375"/>
      <x:c r="JF5" s="375"/>
      <x:c r="JG5" s="375"/>
      <x:c r="JH5" s="375"/>
      <x:c r="JI5" s="375"/>
      <x:c r="JJ5" s="375"/>
      <x:c r="JK5" s="375"/>
      <x:c r="JL5" s="375"/>
      <x:c r="JM5" s="375"/>
      <x:c r="JN5" s="375"/>
      <x:c r="JO5" s="375"/>
      <x:c r="JP5" s="375"/>
      <x:c r="JQ5" s="375"/>
      <x:c r="JR5" s="375"/>
      <x:c r="JS5" s="375"/>
      <x:c r="JT5" s="375"/>
      <x:c r="JU5" s="375"/>
      <x:c r="JV5" s="375"/>
      <x:c r="JW5" s="375"/>
      <x:c r="JX5" s="375"/>
      <x:c r="JY5" s="375"/>
      <x:c r="JZ5" s="375"/>
      <x:c r="KA5" s="375"/>
      <x:c r="KB5" s="375"/>
      <x:c r="KC5" s="375"/>
      <x:c r="KD5" s="375"/>
      <x:c r="KE5" s="375"/>
      <x:c r="KF5" s="375"/>
      <x:c r="KG5" s="375"/>
      <x:c r="KH5" s="375"/>
      <x:c r="KI5" s="375"/>
      <x:c r="KJ5" s="375"/>
      <x:c r="KK5" s="375"/>
      <x:c r="KL5" s="375"/>
      <x:c r="KM5" s="375"/>
      <x:c r="KN5" s="375"/>
      <x:c r="KO5" s="375"/>
      <x:c r="KP5" s="375"/>
      <x:c r="KQ5" s="375"/>
      <x:c r="KR5" s="375"/>
      <x:c r="KS5" s="375"/>
      <x:c r="KT5" s="375"/>
      <x:c r="KU5" s="375"/>
      <x:c r="KV5" s="375"/>
      <x:c r="KW5" s="375"/>
      <x:c r="KX5" s="375"/>
      <x:c r="KY5" s="375"/>
      <x:c r="KZ5" s="375"/>
      <x:c r="LA5" s="375"/>
      <x:c r="LB5" s="375"/>
      <x:c r="LC5" s="375"/>
      <x:c r="LD5" s="375"/>
      <x:c r="LE5" s="375"/>
      <x:c r="LF5" s="375"/>
      <x:c r="LG5" s="375"/>
      <x:c r="LH5" s="375"/>
      <x:c r="LI5" s="375"/>
      <x:c r="LJ5" s="375"/>
      <x:c r="LK5" s="375"/>
      <x:c r="LL5" s="375"/>
      <x:c r="LM5" s="375"/>
      <x:c r="LN5" s="375"/>
      <x:c r="LO5" s="375"/>
      <x:c r="LP5" s="375"/>
      <x:c r="LQ5" s="375"/>
      <x:c r="LR5" s="375"/>
      <x:c r="LS5" s="375"/>
      <x:c r="LT5" s="375"/>
      <x:c r="LU5" s="375"/>
      <x:c r="LV5" s="375"/>
      <x:c r="LW5" s="375"/>
      <x:c r="LX5" s="375"/>
      <x:c r="LY5" s="375"/>
      <x:c r="LZ5" s="375"/>
      <x:c r="MA5" s="375"/>
      <x:c r="MB5" s="375"/>
      <x:c r="MC5" s="375"/>
      <x:c r="MD5" s="375"/>
      <x:c r="ME5" s="375"/>
      <x:c r="MF5" s="375"/>
      <x:c r="MG5" s="375"/>
      <x:c r="MH5" s="375"/>
      <x:c r="MI5" s="375"/>
      <x:c r="MJ5" s="375"/>
      <x:c r="MK5" s="375"/>
      <x:c r="ML5" s="375"/>
      <x:c r="MM5" s="375"/>
      <x:c r="MN5" s="375"/>
      <x:c r="MO5" s="375"/>
      <x:c r="MP5" s="375"/>
      <x:c r="MQ5" s="375"/>
      <x:c r="MR5" s="375"/>
      <x:c r="MS5" s="375"/>
      <x:c r="MT5" s="375"/>
      <x:c r="MU5" s="375"/>
      <x:c r="MV5" s="375"/>
      <x:c r="MW5" s="375"/>
      <x:c r="MX5" s="375"/>
      <x:c r="MY5" s="375"/>
      <x:c r="MZ5" s="375"/>
      <x:c r="NA5" s="375"/>
      <x:c r="NB5" s="375"/>
      <x:c r="NC5" s="375"/>
      <x:c r="ND5" s="375"/>
      <x:c r="NE5" s="375"/>
      <x:c r="NF5" s="375"/>
      <x:c r="NG5" s="375"/>
      <x:c r="NH5" s="375"/>
      <x:c r="NI5" s="375"/>
      <x:c r="NJ5" s="375"/>
      <x:c r="NK5" s="375"/>
      <x:c r="NL5" s="375"/>
      <x:c r="NM5" s="375"/>
      <x:c r="NN5" s="375"/>
      <x:c r="NO5" s="375"/>
      <x:c r="NP5" s="375"/>
      <x:c r="NQ5" s="375"/>
      <x:c r="NR5" s="375"/>
      <x:c r="NS5" s="375"/>
      <x:c r="NT5" s="375"/>
      <x:c r="NU5" s="375"/>
      <x:c r="NV5" s="375"/>
      <x:c r="NW5" s="375"/>
      <x:c r="NX5" s="375"/>
      <x:c r="NY5" s="375"/>
      <x:c r="NZ5" s="375"/>
      <x:c r="OA5" s="375"/>
      <x:c r="OB5" s="375"/>
      <x:c r="OC5" s="375"/>
      <x:c r="OD5" s="375"/>
      <x:c r="OE5" s="375"/>
      <x:c r="OF5" s="375"/>
      <x:c r="OG5" s="375"/>
      <x:c r="OH5" s="375"/>
      <x:c r="OI5" s="375"/>
      <x:c r="OJ5" s="375"/>
      <x:c r="OK5" s="375"/>
      <x:c r="OL5" s="375"/>
      <x:c r="OM5" s="375"/>
      <x:c r="ON5" s="375"/>
      <x:c r="OO5" s="375"/>
      <x:c r="OP5" s="375"/>
      <x:c r="OQ5" s="375"/>
      <x:c r="OR5" s="375"/>
      <x:c r="OS5" s="375"/>
      <x:c r="OT5" s="375"/>
      <x:c r="OU5" s="375"/>
      <x:c r="OV5" s="375"/>
      <x:c r="OW5" s="375"/>
      <x:c r="OX5" s="375"/>
      <x:c r="OY5" s="375"/>
      <x:c r="OZ5" s="375"/>
      <x:c r="PA5" s="375"/>
      <x:c r="PB5" s="375"/>
      <x:c r="PC5" s="375"/>
      <x:c r="PD5" s="375"/>
      <x:c r="PE5" s="375"/>
      <x:c r="PF5" s="375"/>
      <x:c r="PG5" s="375"/>
      <x:c r="PH5" s="375"/>
      <x:c r="PI5" s="375"/>
      <x:c r="PJ5" s="375"/>
      <x:c r="PK5" s="375"/>
      <x:c r="PL5" s="375"/>
      <x:c r="PM5" s="375"/>
      <x:c r="PN5" s="375"/>
      <x:c r="PO5" s="375"/>
      <x:c r="PP5" s="375"/>
      <x:c r="PQ5" s="375"/>
      <x:c r="PR5" s="375"/>
      <x:c r="PS5" s="375"/>
      <x:c r="PT5" s="375"/>
      <x:c r="PU5" s="375"/>
      <x:c r="PV5" s="375"/>
      <x:c r="PW5" s="375"/>
      <x:c r="PX5" s="375"/>
      <x:c r="PY5" s="375"/>
      <x:c r="PZ5" s="375"/>
      <x:c r="QA5" s="375"/>
      <x:c r="QB5" s="375"/>
      <x:c r="QC5" s="375"/>
      <x:c r="QD5" s="375"/>
      <x:c r="QE5" s="375"/>
      <x:c r="QF5" s="375"/>
      <x:c r="QG5" s="375"/>
      <x:c r="QH5" s="375"/>
      <x:c r="QI5" s="375"/>
      <x:c r="QJ5" s="375"/>
      <x:c r="QK5" s="375"/>
      <x:c r="QL5" s="375"/>
      <x:c r="QM5" s="375"/>
      <x:c r="QN5" s="375"/>
      <x:c r="QO5" s="375"/>
      <x:c r="QP5" s="375"/>
      <x:c r="QQ5" s="375"/>
      <x:c r="QR5" s="375"/>
      <x:c r="QS5" s="375"/>
      <x:c r="QT5" s="375"/>
      <x:c r="QU5" s="375"/>
      <x:c r="QV5" s="375"/>
      <x:c r="QW5" s="375"/>
      <x:c r="QX5" s="375"/>
      <x:c r="QY5" s="375"/>
      <x:c r="QZ5" s="375"/>
      <x:c r="RA5" s="375"/>
      <x:c r="RB5" s="375"/>
      <x:c r="RC5" s="375"/>
      <x:c r="RD5" s="375"/>
      <x:c r="RE5" s="375"/>
      <x:c r="RF5" s="375"/>
      <x:c r="RG5" s="375"/>
      <x:c r="RH5" s="375"/>
      <x:c r="RI5" s="375"/>
      <x:c r="RJ5" s="375"/>
      <x:c r="RK5" s="375"/>
      <x:c r="RL5" s="375"/>
      <x:c r="RM5" s="375"/>
      <x:c r="RN5" s="375"/>
      <x:c r="RO5" s="375"/>
      <x:c r="RP5" s="375"/>
      <x:c r="RQ5" s="375"/>
      <x:c r="RR5" s="375"/>
      <x:c r="RS5" s="375"/>
      <x:c r="RT5" s="375"/>
      <x:c r="RU5" s="375"/>
      <x:c r="RV5" s="375"/>
      <x:c r="RW5" s="375"/>
      <x:c r="RX5" s="375"/>
      <x:c r="RY5" s="375"/>
      <x:c r="RZ5" s="375"/>
      <x:c r="SA5" s="375"/>
      <x:c r="SB5" s="375"/>
      <x:c r="SC5" s="375"/>
      <x:c r="SD5" s="375"/>
      <x:c r="SE5" s="375"/>
      <x:c r="SF5" s="375"/>
      <x:c r="SG5" s="375"/>
      <x:c r="SH5" s="375"/>
      <x:c r="SI5" s="375"/>
      <x:c r="SJ5" s="375"/>
      <x:c r="SK5" s="375"/>
      <x:c r="SL5" s="375"/>
      <x:c r="SM5" s="375"/>
      <x:c r="SN5" s="375"/>
      <x:c r="SO5" s="375"/>
      <x:c r="SP5" s="375"/>
      <x:c r="SQ5" s="375"/>
      <x:c r="SR5" s="375"/>
      <x:c r="SS5" s="375"/>
      <x:c r="ST5" s="375"/>
      <x:c r="SU5" s="375"/>
      <x:c r="SV5" s="375"/>
      <x:c r="SW5" s="375"/>
      <x:c r="SX5" s="375"/>
      <x:c r="SY5" s="375"/>
      <x:c r="SZ5" s="375"/>
      <x:c r="TA5" s="375"/>
      <x:c r="TB5" s="375"/>
      <x:c r="TC5" s="375"/>
      <x:c r="TD5" s="375"/>
      <x:c r="TE5" s="375"/>
      <x:c r="TF5" s="375"/>
      <x:c r="TG5" s="375"/>
      <x:c r="TH5" s="375"/>
      <x:c r="TI5" s="375"/>
      <x:c r="TJ5" s="375"/>
      <x:c r="TK5" s="375"/>
      <x:c r="TL5" s="375"/>
      <x:c r="TM5" s="375"/>
      <x:c r="TN5" s="375"/>
      <x:c r="TO5" s="375"/>
      <x:c r="TP5" s="375"/>
      <x:c r="TQ5" s="375"/>
      <x:c r="TR5" s="375"/>
      <x:c r="TS5" s="375"/>
      <x:c r="TT5" s="375"/>
      <x:c r="TU5" s="375"/>
      <x:c r="TV5" s="375"/>
      <x:c r="TW5" s="375"/>
      <x:c r="TX5" s="375"/>
      <x:c r="TY5" s="375"/>
      <x:c r="TZ5" s="375"/>
      <x:c r="UA5" s="375"/>
      <x:c r="UB5" s="375"/>
      <x:c r="UC5" s="375"/>
      <x:c r="UD5" s="375"/>
      <x:c r="UE5" s="375"/>
      <x:c r="UF5" s="375"/>
      <x:c r="UG5" s="375"/>
      <x:c r="UH5" s="375"/>
      <x:c r="UI5" s="375"/>
      <x:c r="UJ5" s="375"/>
      <x:c r="UK5" s="375"/>
      <x:c r="UL5" s="375"/>
      <x:c r="UM5" s="375"/>
      <x:c r="UN5" s="375"/>
      <x:c r="UO5" s="375"/>
      <x:c r="UP5" s="375"/>
      <x:c r="UQ5" s="375"/>
      <x:c r="UR5" s="375"/>
      <x:c r="US5" s="375"/>
      <x:c r="UT5" s="375"/>
      <x:c r="UU5" s="375"/>
      <x:c r="UV5" s="375"/>
      <x:c r="UW5" s="375"/>
      <x:c r="UX5" s="375"/>
      <x:c r="UY5" s="375"/>
      <x:c r="UZ5" s="375"/>
      <x:c r="VA5" s="375"/>
      <x:c r="VB5" s="375"/>
      <x:c r="VC5" s="375"/>
      <x:c r="VD5" s="375"/>
      <x:c r="VE5" s="375"/>
      <x:c r="VF5" s="375"/>
      <x:c r="VG5" s="375"/>
      <x:c r="VH5" s="375"/>
      <x:c r="VI5" s="375"/>
      <x:c r="VJ5" s="375"/>
      <x:c r="VK5" s="375"/>
      <x:c r="VL5" s="375"/>
      <x:c r="VM5" s="375"/>
      <x:c r="VN5" s="375"/>
      <x:c r="VO5" s="375"/>
      <x:c r="VP5" s="375"/>
      <x:c r="VQ5" s="375"/>
      <x:c r="VR5" s="375"/>
      <x:c r="VS5" s="375"/>
      <x:c r="VT5" s="375"/>
      <x:c r="VU5" s="375"/>
      <x:c r="VV5" s="375"/>
      <x:c r="VW5" s="375"/>
      <x:c r="VX5" s="375"/>
      <x:c r="VY5" s="375"/>
      <x:c r="VZ5" s="375"/>
      <x:c r="WA5" s="375"/>
      <x:c r="WB5" s="375"/>
      <x:c r="WC5" s="375"/>
      <x:c r="WD5" s="375"/>
      <x:c r="WE5" s="375"/>
      <x:c r="WF5" s="375"/>
      <x:c r="WG5" s="375"/>
      <x:c r="WH5" s="375"/>
      <x:c r="WI5" s="375"/>
      <x:c r="WJ5" s="375"/>
      <x:c r="WK5" s="375"/>
      <x:c r="WL5" s="375"/>
      <x:c r="WM5" s="375"/>
      <x:c r="WN5" s="375"/>
      <x:c r="WO5" s="375"/>
      <x:c r="WP5" s="375"/>
      <x:c r="WQ5" s="375"/>
      <x:c r="WR5" s="375"/>
      <x:c r="WS5" s="375"/>
      <x:c r="WT5" s="375"/>
      <x:c r="WU5" s="375"/>
      <x:c r="WV5" s="375"/>
      <x:c r="WW5" s="375"/>
      <x:c r="WX5" s="375"/>
      <x:c r="WY5" s="375"/>
      <x:c r="WZ5" s="375"/>
      <x:c r="XA5" s="375"/>
      <x:c r="XB5" s="375"/>
      <x:c r="XC5" s="375"/>
      <x:c r="XD5" s="375"/>
      <x:c r="XE5" s="375"/>
      <x:c r="XF5" s="375"/>
      <x:c r="XG5" s="375"/>
      <x:c r="XH5" s="375"/>
      <x:c r="XI5" s="375"/>
      <x:c r="XJ5" s="375"/>
      <x:c r="XK5" s="375"/>
      <x:c r="XL5" s="375"/>
      <x:c r="XM5" s="375"/>
      <x:c r="XN5" s="375"/>
      <x:c r="XO5" s="375"/>
      <x:c r="XP5" s="375"/>
      <x:c r="XQ5" s="375"/>
      <x:c r="XR5" s="375"/>
      <x:c r="XS5" s="375"/>
      <x:c r="XT5" s="375"/>
      <x:c r="XU5" s="375"/>
      <x:c r="XV5" s="375"/>
      <x:c r="XW5" s="375"/>
      <x:c r="XX5" s="375"/>
      <x:c r="XY5" s="375"/>
      <x:c r="XZ5" s="375"/>
      <x:c r="YA5" s="375"/>
      <x:c r="YB5" s="375"/>
      <x:c r="YC5" s="375"/>
      <x:c r="YD5" s="375"/>
      <x:c r="YE5" s="375"/>
      <x:c r="YF5" s="375"/>
      <x:c r="YG5" s="375"/>
      <x:c r="YH5" s="375"/>
      <x:c r="YI5" s="375"/>
      <x:c r="YJ5" s="375"/>
      <x:c r="YK5" s="375"/>
      <x:c r="YL5" s="375"/>
      <x:c r="YM5" s="375"/>
      <x:c r="YN5" s="375"/>
      <x:c r="YO5" s="375"/>
      <x:c r="YP5" s="375"/>
      <x:c r="YQ5" s="375"/>
      <x:c r="YR5" s="375"/>
      <x:c r="YS5" s="375"/>
      <x:c r="YT5" s="375"/>
      <x:c r="YU5" s="375"/>
      <x:c r="YV5" s="375"/>
      <x:c r="YW5" s="375"/>
      <x:c r="YX5" s="375"/>
      <x:c r="YY5" s="375"/>
      <x:c r="YZ5" s="375"/>
      <x:c r="ZA5" s="375"/>
      <x:c r="ZB5" s="375"/>
      <x:c r="ZC5" s="375"/>
      <x:c r="ZD5" s="375"/>
      <x:c r="ZE5" s="375"/>
      <x:c r="ZF5" s="375"/>
      <x:c r="ZG5" s="375"/>
      <x:c r="ZH5" s="375"/>
      <x:c r="ZI5" s="375"/>
      <x:c r="ZJ5" s="375"/>
      <x:c r="ZK5" s="375"/>
      <x:c r="ZL5" s="375"/>
      <x:c r="ZM5" s="375"/>
      <x:c r="ZN5" s="375"/>
      <x:c r="ZO5" s="375"/>
      <x:c r="ZP5" s="375"/>
      <x:c r="ZQ5" s="375"/>
      <x:c r="ZR5" s="375"/>
      <x:c r="ZS5" s="375"/>
      <x:c r="ZT5" s="375"/>
      <x:c r="ZU5" s="375"/>
      <x:c r="ZV5" s="375"/>
      <x:c r="ZW5" s="375"/>
      <x:c r="ZX5" s="375"/>
      <x:c r="ZY5" s="375"/>
      <x:c r="ZZ5" s="375"/>
      <x:c r="AAA5" s="375"/>
      <x:c r="AAB5" s="375"/>
      <x:c r="AAC5" s="375"/>
      <x:c r="AAD5" s="375"/>
      <x:c r="AAE5" s="375"/>
      <x:c r="AAF5" s="375"/>
      <x:c r="AAG5" s="375"/>
      <x:c r="AAH5" s="375"/>
      <x:c r="AAI5" s="375"/>
      <x:c r="AAJ5" s="375"/>
      <x:c r="AAK5" s="375"/>
      <x:c r="AAL5" s="375"/>
      <x:c r="AAM5" s="375"/>
      <x:c r="AAN5" s="375"/>
      <x:c r="AAO5" s="375"/>
      <x:c r="AAP5" s="375"/>
      <x:c r="AAQ5" s="375"/>
      <x:c r="AAR5" s="375"/>
      <x:c r="AAS5" s="375"/>
      <x:c r="AAT5" s="375"/>
      <x:c r="AAU5" s="375"/>
      <x:c r="AAV5" s="375"/>
      <x:c r="AAW5" s="375"/>
      <x:c r="AAX5" s="375"/>
      <x:c r="AAY5" s="375"/>
      <x:c r="AAZ5" s="375"/>
      <x:c r="ABA5" s="375"/>
      <x:c r="ABB5" s="375"/>
      <x:c r="ABC5" s="375"/>
      <x:c r="ABD5" s="375"/>
      <x:c r="ABE5" s="375"/>
      <x:c r="ABF5" s="375"/>
      <x:c r="ABG5" s="375"/>
      <x:c r="ABH5" s="375"/>
      <x:c r="ABI5" s="375"/>
      <x:c r="ABJ5" s="375"/>
      <x:c r="ABK5" s="375"/>
      <x:c r="ABL5" s="375"/>
      <x:c r="ABM5" s="375"/>
      <x:c r="ABN5" s="375"/>
      <x:c r="ABO5" s="375"/>
      <x:c r="ABP5" s="375"/>
      <x:c r="ABQ5" s="375"/>
      <x:c r="ABR5" s="375"/>
      <x:c r="ABS5" s="375"/>
      <x:c r="ABT5" s="375"/>
      <x:c r="ABU5" s="375"/>
      <x:c r="ABV5" s="375"/>
      <x:c r="ABW5" s="375"/>
      <x:c r="ABX5" s="375"/>
      <x:c r="ABY5" s="375"/>
      <x:c r="ABZ5" s="375"/>
      <x:c r="ACA5" s="375"/>
      <x:c r="ACB5" s="375"/>
      <x:c r="ACC5" s="375"/>
      <x:c r="ACD5" s="375"/>
      <x:c r="ACE5" s="375"/>
      <x:c r="ACF5" s="375"/>
      <x:c r="ACG5" s="375"/>
      <x:c r="ACH5" s="375"/>
      <x:c r="ACI5" s="375"/>
      <x:c r="ACJ5" s="375"/>
      <x:c r="ACK5" s="375"/>
      <x:c r="ACL5" s="375"/>
      <x:c r="ACM5" s="375"/>
      <x:c r="ACN5" s="375"/>
      <x:c r="ACO5" s="375"/>
      <x:c r="ACP5" s="375"/>
      <x:c r="ACQ5" s="375"/>
      <x:c r="ACR5" s="375"/>
      <x:c r="ACS5" s="375"/>
      <x:c r="ACT5" s="375"/>
      <x:c r="ACU5" s="375"/>
      <x:c r="ACV5" s="375"/>
      <x:c r="ACW5" s="375"/>
      <x:c r="ACX5" s="375"/>
      <x:c r="ACY5" s="375"/>
      <x:c r="ACZ5" s="375"/>
      <x:c r="ADA5" s="375"/>
      <x:c r="ADB5" s="375"/>
      <x:c r="ADC5" s="375"/>
      <x:c r="ADD5" s="375"/>
      <x:c r="ADE5" s="375"/>
      <x:c r="ADF5" s="375"/>
      <x:c r="ADG5" s="375"/>
      <x:c r="ADH5" s="375"/>
      <x:c r="ADI5" s="375"/>
      <x:c r="ADJ5" s="375"/>
      <x:c r="ADK5" s="375"/>
      <x:c r="ADL5" s="375"/>
      <x:c r="ADM5" s="375"/>
      <x:c r="ADN5" s="375"/>
      <x:c r="ADO5" s="375"/>
      <x:c r="ADP5" s="375"/>
      <x:c r="ADQ5" s="375"/>
      <x:c r="ADR5" s="375"/>
      <x:c r="ADS5" s="375"/>
      <x:c r="ADT5" s="375"/>
      <x:c r="ADU5" s="375"/>
      <x:c r="ADV5" s="375"/>
      <x:c r="ADW5" s="375"/>
      <x:c r="ADX5" s="375"/>
      <x:c r="ADY5" s="375"/>
      <x:c r="ADZ5" s="375"/>
      <x:c r="AEA5" s="375"/>
      <x:c r="AEB5" s="375"/>
      <x:c r="AEC5" s="375"/>
      <x:c r="AED5" s="375"/>
      <x:c r="AEE5" s="375"/>
      <x:c r="AEF5" s="375"/>
      <x:c r="AEG5" s="375"/>
      <x:c r="AEH5" s="375"/>
      <x:c r="AEI5" s="375"/>
      <x:c r="AEJ5" s="375"/>
      <x:c r="AEK5" s="375"/>
      <x:c r="AEL5" s="375"/>
      <x:c r="AEM5" s="375"/>
      <x:c r="AEN5" s="375"/>
      <x:c r="AEO5" s="375"/>
      <x:c r="AEP5" s="375"/>
      <x:c r="AEQ5" s="375"/>
      <x:c r="AER5" s="375"/>
      <x:c r="AES5" s="375"/>
      <x:c r="AET5" s="375"/>
      <x:c r="AEU5" s="375"/>
      <x:c r="AEV5" s="375"/>
      <x:c r="AEW5" s="375"/>
      <x:c r="AEX5" s="375"/>
      <x:c r="AEY5" s="375"/>
      <x:c r="AEZ5" s="375"/>
      <x:c r="AFA5" s="375"/>
      <x:c r="AFB5" s="375"/>
      <x:c r="AFC5" s="375"/>
      <x:c r="AFD5" s="375"/>
      <x:c r="AFE5" s="375"/>
      <x:c r="AFF5" s="375"/>
      <x:c r="AFG5" s="375"/>
      <x:c r="AFH5" s="375"/>
      <x:c r="AFI5" s="375"/>
      <x:c r="AFJ5" s="375"/>
      <x:c r="AFK5" s="375"/>
      <x:c r="AFL5" s="375"/>
      <x:c r="AFM5" s="375"/>
      <x:c r="AFN5" s="375"/>
      <x:c r="AFO5" s="375"/>
      <x:c r="AFP5" s="375"/>
      <x:c r="AFQ5" s="375"/>
      <x:c r="AFR5" s="375"/>
      <x:c r="AFS5" s="375"/>
      <x:c r="AFT5" s="375"/>
      <x:c r="AFU5" s="375"/>
      <x:c r="AFV5" s="375"/>
      <x:c r="AFW5" s="375"/>
      <x:c r="AFX5" s="375"/>
      <x:c r="AFY5" s="375"/>
      <x:c r="AFZ5" s="375"/>
      <x:c r="AGA5" s="375"/>
      <x:c r="AGB5" s="375"/>
      <x:c r="AGC5" s="375"/>
      <x:c r="AGD5" s="375"/>
      <x:c r="AGE5" s="375"/>
      <x:c r="AGF5" s="375"/>
      <x:c r="AGG5" s="375"/>
      <x:c r="AGH5" s="375"/>
      <x:c r="AGI5" s="375"/>
      <x:c r="AGJ5" s="375"/>
      <x:c r="AGK5" s="375"/>
      <x:c r="AGL5" s="375"/>
      <x:c r="AGM5" s="375"/>
      <x:c r="AGN5" s="375"/>
      <x:c r="AGO5" s="375"/>
      <x:c r="AGP5" s="375"/>
      <x:c r="AGQ5" s="375"/>
      <x:c r="AGR5" s="375"/>
      <x:c r="AGS5" s="375"/>
      <x:c r="AGT5" s="375"/>
      <x:c r="AGU5" s="375"/>
      <x:c r="AGV5" s="375"/>
      <x:c r="AGW5" s="375"/>
      <x:c r="AGX5" s="375"/>
      <x:c r="AGY5" s="375"/>
      <x:c r="AGZ5" s="375"/>
      <x:c r="AHA5" s="375"/>
      <x:c r="AHB5" s="375"/>
      <x:c r="AHC5" s="375"/>
      <x:c r="AHD5" s="375"/>
      <x:c r="AHE5" s="375"/>
      <x:c r="AHF5" s="375"/>
      <x:c r="AHG5" s="375"/>
      <x:c r="AHH5" s="375"/>
      <x:c r="AHI5" s="375"/>
      <x:c r="AHJ5" s="375"/>
      <x:c r="AHK5" s="375"/>
      <x:c r="AHL5" s="375"/>
      <x:c r="AHM5" s="375"/>
      <x:c r="AHN5" s="375"/>
      <x:c r="AHO5" s="375"/>
      <x:c r="AHP5" s="375"/>
      <x:c r="AHQ5" s="375"/>
      <x:c r="AHR5" s="375"/>
      <x:c r="AHS5" s="375"/>
      <x:c r="AHT5" s="375"/>
      <x:c r="AHU5" s="375"/>
      <x:c r="AHV5" s="375"/>
      <x:c r="AHW5" s="375"/>
      <x:c r="AHX5" s="375"/>
      <x:c r="AHY5" s="375"/>
      <x:c r="AHZ5" s="375"/>
      <x:c r="AIA5" s="375"/>
      <x:c r="AIB5" s="375"/>
      <x:c r="AIC5" s="375"/>
      <x:c r="AID5" s="375"/>
      <x:c r="AIE5" s="375"/>
      <x:c r="AIF5" s="375"/>
      <x:c r="AIG5" s="375"/>
      <x:c r="AIH5" s="375"/>
      <x:c r="AII5" s="375"/>
      <x:c r="AIJ5" s="375"/>
      <x:c r="AIK5" s="375"/>
      <x:c r="AIL5" s="375"/>
      <x:c r="AIM5" s="375"/>
      <x:c r="AIN5" s="375"/>
      <x:c r="AIO5" s="375"/>
      <x:c r="AIP5" s="375"/>
      <x:c r="AIQ5" s="375"/>
      <x:c r="AIR5" s="375"/>
      <x:c r="AIS5" s="375"/>
      <x:c r="AIT5" s="375"/>
      <x:c r="AIU5" s="375"/>
      <x:c r="AIV5" s="375"/>
      <x:c r="AIW5" s="375"/>
      <x:c r="AIX5" s="375"/>
      <x:c r="AIY5" s="375"/>
      <x:c r="AIZ5" s="375"/>
      <x:c r="AJA5" s="375"/>
      <x:c r="AJB5" s="375"/>
      <x:c r="AJC5" s="375"/>
      <x:c r="AJD5" s="375"/>
      <x:c r="AJE5" s="375"/>
      <x:c r="AJF5" s="375"/>
      <x:c r="AJG5" s="375"/>
      <x:c r="AJH5" s="375"/>
      <x:c r="AJI5" s="375"/>
      <x:c r="AJJ5" s="375"/>
      <x:c r="AJK5" s="375"/>
      <x:c r="AJL5" s="375"/>
      <x:c r="AJM5" s="375"/>
      <x:c r="AJN5" s="375"/>
      <x:c r="AJO5" s="375"/>
      <x:c r="AJP5" s="375"/>
      <x:c r="AJQ5" s="375"/>
      <x:c r="AJR5" s="375"/>
      <x:c r="AJS5" s="375"/>
      <x:c r="AJT5" s="375"/>
      <x:c r="AJU5" s="375"/>
      <x:c r="AJV5" s="375"/>
      <x:c r="AJW5" s="375"/>
      <x:c r="AJX5" s="375"/>
      <x:c r="AJY5" s="375"/>
      <x:c r="AJZ5" s="375"/>
      <x:c r="AKA5" s="375"/>
      <x:c r="AKB5" s="375"/>
      <x:c r="AKC5" s="375"/>
      <x:c r="AKD5" s="375"/>
      <x:c r="AKE5" s="375"/>
      <x:c r="AKF5" s="375"/>
      <x:c r="AKG5" s="375"/>
      <x:c r="AKH5" s="375"/>
      <x:c r="AKI5" s="375"/>
      <x:c r="AKJ5" s="375"/>
      <x:c r="AKK5" s="375"/>
      <x:c r="AKL5" s="375"/>
      <x:c r="AKM5" s="375"/>
      <x:c r="AKN5" s="375"/>
      <x:c r="AKO5" s="375"/>
      <x:c r="AKP5" s="375"/>
      <x:c r="AKQ5" s="375"/>
      <x:c r="AKR5" s="375"/>
      <x:c r="AKS5" s="375"/>
      <x:c r="AKT5" s="375"/>
      <x:c r="AKU5" s="375"/>
      <x:c r="AKV5" s="375"/>
      <x:c r="AKW5" s="375"/>
      <x:c r="AKX5" s="375"/>
      <x:c r="AKY5" s="375"/>
      <x:c r="AKZ5" s="375"/>
      <x:c r="ALA5" s="375"/>
      <x:c r="ALB5" s="375"/>
      <x:c r="ALC5" s="375"/>
      <x:c r="ALD5" s="375"/>
      <x:c r="ALE5" s="375"/>
      <x:c r="ALF5" s="375"/>
      <x:c r="ALG5" s="375"/>
      <x:c r="ALH5" s="375"/>
      <x:c r="ALI5" s="375"/>
      <x:c r="ALJ5" s="375"/>
      <x:c r="ALK5" s="375"/>
      <x:c r="ALL5" s="375"/>
      <x:c r="ALM5" s="375"/>
      <x:c r="ALN5" s="375"/>
      <x:c r="ALO5" s="375"/>
      <x:c r="ALP5" s="375"/>
      <x:c r="ALQ5" s="375"/>
      <x:c r="ALR5" s="375"/>
      <x:c r="ALS5" s="375"/>
      <x:c r="ALT5" s="375"/>
      <x:c r="ALU5" s="375"/>
      <x:c r="ALV5" s="375"/>
      <x:c r="ALW5" s="375"/>
      <x:c r="ALX5" s="375"/>
      <x:c r="ALY5" s="375"/>
      <x:c r="ALZ5" s="375"/>
      <x:c r="AMA5" s="375"/>
      <x:c r="AMB5" s="375"/>
      <x:c r="AMC5" s="375"/>
      <x:c r="AMD5" s="375"/>
      <x:c r="AME5" s="375"/>
      <x:c r="AMF5" s="375"/>
      <x:c r="AMG5" s="375"/>
      <x:c r="AMH5" s="375"/>
      <x:c r="AMI5" s="375"/>
      <x:c r="AMJ5" s="375"/>
      <x:c r="AMK5" s="375"/>
    </x:row>
    <x:row r="6" ht="38" hidden="0" customHeight="1">
      <x:c r="A6" s="266" t="str">
        <x:v>01-yurina-o-n-5</x:v>
      </x:c>
      <x:c r="B6" s="354" t="str">
        <x:v>yurina</x:v>
      </x:c>
      <x:c r="C6" s="266"/>
      <x:c r="D6" s="266"/>
      <x:c r="E6" s="266" t="str">
        <x:v>体捌き</x:v>
      </x:c>
      <x:c r="F6" s="399" t="str">
        <x:v>たいさばき</x:v>
      </x:c>
      <x:c r="G6" s="399" t="str">
        <x:v>身法</x:v>
      </x:c>
      <x:c r="H6" s="399"/>
      <x:c r="I6" s="399"/>
      <x:c r="J6" s="399" t="str">
        <x:v>몸놀림</x:v>
      </x:c>
      <x:c r="K6" s="399"/>
      <x:c r="L6" s="399"/>
      <x:c r="M6" s="399" t="str">
        <x:v>通常札</x:v>
      </x:c>
      <x:c r="N6" s="399"/>
      <x:c r="O6" s="399"/>
      <x:c r="P6" s="399"/>
      <x:c r="Q6" s="399"/>
      <x:c r="R6" s="399" t="str">
        <x:v>行動</x:v>
      </x:c>
      <x:c r="S6" s="399"/>
      <x:c r="T6" s="400"/>
      <x:c r="U6" s="401"/>
      <x:c r="V6" s="402"/>
      <x:c r="W6" s="401"/>
      <x:c r="X6" s="402"/>
      <x:c r="Y6" s="402"/>
      <x:c r="Z6" s="402"/>
      <x:c r="AA6" s="402"/>
      <x:c r="AB6" s="403"/>
      <x:c r="AC6" s="403"/>
      <x:c r="AD6" s="396"/>
      <x:c r="AE6" s="447" t="str">
        <x:v>このターンにあなたが次に行う《攻撃》は距離拡大（遠1）を得る。
あなたのライフが相手のライフよりも小さいならば、基本動作を2回まで行う。</x:v>
      </x:c>
      <x:c r="AF6" s="449"/>
      <x:c r="AG6" s="494" t="str">
        <x:v>本回合你的下一次《攻击》获得距离扩大（远1）。
自命小于敌命时，进行最多2次基本动作。</x:v>
      </x:c>
      <x:c r="AH6" s="451"/>
      <x:c r="AI6" s="447"/>
      <x:c r="AJ6" s="447"/>
      <x:c r="AK6" s="494" t="str">
        <x:v>이번 턴에 당신이 수행하는 다음번 《공격》은 거리확대(원1)을 얻는다.
당신의 라이프가 상대의 라이프보다 적다면, 기본행동을 2회까지 수행한다.</x:v>
      </x:c>
      <x:c r="AL6" s="447"/>
      <x:c r="AM6" s="447"/>
      <x:c r="AN6" s="447"/>
      <x:c r="AO6" s="439"/>
      <x:c r="AP6" s="439"/>
      <x:c r="AQ6" s="439"/>
      <x:c r="AR6" s="439"/>
      <x:c r="AS6" s="439"/>
      <x:c r="AT6" s="378" t="str">
        <x:f aca="0">IF(A6="", "","'"&amp;A6&amp;"': {megami: '"&amp;B6&amp;"'"&amp;IF(C6&lt;&gt;"",", anotherID: '"&amp;C6&amp;"', replace: '"&amp;D6&amp;"'","")&amp;", name: '"&amp;SUBSTITUTE(E6,"'","\'")&amp;"', nameEn: '"&amp;SUBSTITUTE(K6,"'","\'")&amp;"', nameZh: '"&amp;SUBSTITUTE(G6,"'","\'")&amp;"', nameZhG5: '"&amp;SUBSTITUTE(H6,"'","\'")&amp;"', nameKo: '"&amp;SUBSTITUTE(J6,"'","\'")&amp;"', ruby: '"&amp;F6&amp;"', rubyEn: '"&amp;L6&amp;IF(I6&lt;&gt;"", "', rubyZh: '"&amp;I6, "")&amp;"', baseType: '"&amp;IF(M6="通常札","normal",IF(M6="切札","special",IF(M6="追加札","extra",IF(M6="transform","transform",IF(M6="嵐","storm",IF(M6="兵員","troop",IF(M6="構想","plan",IF(M6="メインパーツ","mainParts",IF(M6="カスタムパーツ","customParts",IF(M6="運命","fate",IF(M6="仮想樹","virtualTree","")))))))))))&amp;"'"&amp;IF(N6="○",", extra: true","")&amp;IF(O6&lt;&gt;"",", extraFrom: '"&amp;O6&amp;"'","")&amp;IF(P6&lt;&gt;"",", exchangableTo: '"&amp;P6&amp;"'","")&amp;IF(Q6="○",", poison: true","")&amp;IF(R6&lt;&gt;"", ", type: '"&amp;IF(R6="攻撃","attack",IF(R6="行動","action",IF(R6="不定","variable",IF(R6="対応","reaction",IF(R6="全力","fullpower",IF(R6="付与","enhance",IF(R6="transform","transform","")))))))&amp;"'", "")&amp;IF(S6&lt;&gt;"",", subType: '"&amp;IF(S6="攻撃","attack",IF(S6="行動","action",IF(S6="不定","variable",IF(S6="対応","reaction",IF(S6="全力","fullpower",IF(S6="付与","enhance",IF(S6="transform","transform","")))))))&amp;"'","")&amp;""&amp;IF(T6&lt;&gt;"",",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textZhG5: '"&amp;SUBSTITUTE(SUBSTITUTE(SUBSTITUTE(AI6, CHAR(13), ""),CHAR(10),"\n"),"'","\'")&amp;IF(AH6&lt;&gt;"", "', textZhAdditional: '"&amp;SUBSTITUTE(SUBSTITUTE(AH6, CHAR(13), ""),CHAR(10),"\n"), "")&amp;IF(AK6&lt;&gt;"", "', textZhG5Additional: '"&amp;SUBSTITUTE(SUBSTITUTE(AK6, CHAR(13), ""),CHAR(10),"\n"), "")&amp;"', textKo: '"&amp;SUBSTITUTE(SUBSTITUTE(SUBSTITUTE(AM6, CHAR(13), ""),CHAR(10),"\n"),"'","\'")&amp;IF(AM6&lt;&gt;"", "', textKoAdditional: '"&amp;SUBSTITUTE(SUBSTITUTE(AM6, CHAR(13), ""),CHAR(10),"\n"), "")&amp;"', textEn: '"&amp;SUBSTITUTE(SUBSTITUTE(SUBSTITUTE(AM6, CHAR(13), ""),CHAR(10),"\n"),"'","\'")&amp;IF(AN6&lt;&gt;"", "', textEnAdditional: '"&amp;SUBSTITUTE(SUBSTITUTE(AN6, CHAR(13), ""),CHAR(10),"\n"), "")&amp;"'"&amp;IF(AB6="○",", sealable: true","")&amp;IF(AC6="○",", removable: true","")&amp;IF(AA6="○",", lie: true","")&amp;IF(AD6="○",", investable: true","")&amp;"},")</x:f>
        <x:v>'01-yurina-o-n-5': {megami: 'yurina', name: '体捌き', nameEn: '', nameZh: '身法', nameZhG5: '', nameKo: '몸놀림', ruby: 'たいさばき', rubyEn: '', baseType: 'normal', type: 'action', text: 'このターンにあなたが次に行う《攻撃》は距離拡大（遠1）を得る。\nあなたのライフが相手のライフよりも小さいならば、基本動作を2回まで行う。', textZh: '本回合你的下一次《攻击》获得距离扩大（远1）。\n自命小于敌命时，进行最多2次基本动作。', textZhG5: '', textZhG5Additional: '이번 턴에 당신이 수행하는 다음번 《공격》은 거리확대(원1)을 얻는다.\n당신의 라이프가 상대의 라이프보다 적다면, 기본행동을 2회까지 수행한다.', textKo: '', textEn: ''},</x:v>
      </x:c>
      <x:c r="AU6" s="379" t="str">
        <x:f aca="0">IF($A6&lt;&gt;"", "    /** 《"&amp;$E6&amp;"》 */ export const "&amp;SUBSTITUTE(UPPER(IF(MID($A6, 3, 1)="-", RIGHT($A6,LEN($A6)-3), $A6)), "-", "_")&amp;": TCardId = '"&amp;$A6&amp;"';", "")</x:f>
        <x:v>    /** 《体捌き》 */ export const YURINA_O_N_5: TCardId = '01-yurina-o-n-5';</x:v>
      </x:c>
      <x:c r="AV6" s="380" t="str">
        <x:f aca="0">IF($A7&lt;&gt;"", "    | '"&amp;$A7&amp;"'", "")</x:f>
        <x:v>    | '01-yurina-o-n-6'</x:v>
      </x:c>
    </x:row>
    <x:row r="7" ht="53" hidden="0" customHeight="1">
      <x:c r="A7" s="266" t="str">
        <x:v>01-yurina-o-n-6</x:v>
      </x:c>
      <x:c r="B7" s="354" t="str">
        <x:v>yurina</x:v>
      </x:c>
      <x:c r="C7" s="266"/>
      <x:c r="D7" s="266"/>
      <x:c r="E7" s="399" t="str">
        <x:v>圧気</x:v>
      </x:c>
      <x:c r="F7" s="399" t="str">
        <x:v>あっき</x:v>
      </x:c>
      <x:c r="G7" s="399" t="str">
        <x:v>威压</x:v>
      </x:c>
      <x:c r="H7" s="399" t="str">
        <x:v>气合斩</x:v>
      </x:c>
      <x:c r="I7" s="399"/>
      <x:c r="J7" s="399" t="str">
        <x:v>압기</x:v>
      </x:c>
      <x:c r="K7" s="399" t="str">
        <x:v>Overawe</x:v>
      </x:c>
      <x:c r="L7" s="399"/>
      <x:c r="M7" s="406" t="str">
        <x:v>通常札</x:v>
      </x:c>
      <x:c r="N7" s="399"/>
      <x:c r="O7" s="399"/>
      <x:c r="P7" s="399"/>
      <x:c r="Q7" s="399"/>
      <x:c r="R7" s="399" t="str">
        <x:v>付与</x:v>
      </x:c>
      <x:c r="S7" s="399"/>
      <x:c r="T7" s="400"/>
      <x:c r="U7" s="401"/>
      <x:c r="V7" s="402"/>
      <x:c r="W7" s="401"/>
      <x:c r="X7" s="402" t="n">
        <x:v>2</x:v>
      </x:c>
      <x:c r="Y7" s="402"/>
      <x:c r="Z7" s="402"/>
      <x:c r="AA7" s="402"/>
      <x:c r="AB7" s="403"/>
      <x:c r="AC7" s="403"/>
      <x:c r="AD7" s="396"/>
      <x:c r="AE7" s="447" t="str">
        <x:v>隙
【展開中】各ターンにおける相手の最初の《攻撃》は-1/+0となる。
【破棄時】攻撃『適正距離1-3、3/-』を行う。</x:v>
      </x:c>
      <x:c r="AF7" s="449"/>
      <x:c r="AG7" s="494" t="str">
        <x:v>破绽
【破弃时】进行一次“攻击距离1-4、伤害3/-”的攻击。</x:v>
      </x:c>
      <x:c r="AH7" s="451"/>
      <x:c r="AI7" s="494" t="str">
        <x:v>破绽
【破弃时】进行一次“攻击距离1-4 伤害3/-”的攻击。</x:v>
      </x:c>
      <x:c r="AJ7" s="447"/>
      <x:c r="AK7" s="494" t="str">
        <x:v>빈틈
 【파기시】공격『적정거리1-4、3/-』을 행한다.</x:v>
      </x:c>
      <x:c r="AL7" s="447"/>
      <x:c r="AM7" s="494" t="str">
        <x:v>Unguarded
Disenchant: You attack with "Range: 1-4, Damage: 3/-".</x:v>
      </x:c>
      <x:c r="AN7" s="447"/>
      <x:c r="AO7" s="439"/>
      <x:c r="AP7" s="439"/>
      <x:c r="AQ7" s="439"/>
      <x:c r="AR7" s="439"/>
      <x:c r="AS7" s="439"/>
      <x:c r="AT7" s="378" t="str">
        <x:f aca="0">IF(A7="", "","'"&amp;A7&amp;"': {megami: '"&amp;B7&amp;"'"&amp;IF(C7&lt;&gt;"",", anotherID: '"&amp;C7&amp;"', replace: '"&amp;D7&amp;"'","")&amp;", name: '"&amp;SUBSTITUTE(E7,"'","\'")&amp;"', nameEn: '"&amp;SUBSTITUTE(K7,"'","\'")&amp;"', nameZh: '"&amp;SUBSTITUTE(G7,"'","\'")&amp;"', nameZhG6: '"&amp;SUBSTITUTE(H7,"'","\'")&amp;"', nameKo: '"&amp;SUBSTITUTE(J7,"'","\'")&amp;"', ruby: '"&amp;F7&amp;"', rubyEn: '"&amp;L7&amp;IF(I7&lt;&gt;"", "', rubyZh: '"&amp;I7, "")&amp;"', baseType: '"&amp;IF(M7="通常札","normal",IF(M7="切札","special",IF(M7="追加札","extra",IF(M7="transform","transform",IF(M7="嵐","storm",IF(M7="兵員","troop",IF(M7="構想","plan",IF(M7="メインパーツ","mainParts",IF(M7="カスタムパーツ","customParts",IF(M7="運命","fate",IF(M7="仮想樹","virtualTree","")))))))))))&amp;"'"&amp;IF(N7="○",", extra: true","")&amp;IF(O7&lt;&gt;"",", extraFrom: '"&amp;O7&amp;"'","")&amp;IF(P7&lt;&gt;"",", exchangableTo: '"&amp;P7&amp;"'","")&amp;IF(Q7="○",", poison: true","")&amp;IF(R7&lt;&gt;"", ", type: '"&amp;IF(R7="攻撃","attack",IF(R7="行動","action",IF(R7="不定","variable",IF(R7="対応","reaction",IF(R7="全力","fullpower",IF(R7="付与","enhance",IF(R7="transform","transform","")))))))&amp;"'", "")&amp;IF(S7&lt;&gt;"",", subType: '"&amp;IF(S7="攻撃","attack",IF(S7="行動","action",IF(S7="不定","variable",IF(S7="対応","reaction",IF(S7="全力","fullpower",IF(S7="付与","enhance",IF(S7="transform","transform","")))))))&amp;"'","")&amp;""&amp;IF(T7&lt;&gt;"",",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textZhG6: '"&amp;SUBSTITUTE(SUBSTITUTE(SUBSTITUTE(AI7, CHAR(13), ""),CHAR(10),"\n"),"'","\'")&amp;IF(AH7&lt;&gt;"", "', textZhAdditional: '"&amp;SUBSTITUTE(SUBSTITUTE(AH7, CHAR(13), ""),CHAR(10),"\n"), "")&amp;IF(AK7&lt;&gt;"", "', textZhG6Additional: '"&amp;SUBSTITUTE(SUBSTITUTE(AK7, CHAR(13), ""),CHAR(10),"\n"), "")&amp;"', textKo: '"&amp;SUBSTITUTE(SUBSTITUTE(SUBSTITUTE(AM7, CHAR(13), ""),CHAR(10),"\n"),"'","\'")&amp;IF(AM7&lt;&gt;"", "', textKoAdditional: '"&amp;SUBSTITUTE(SUBSTITUTE(AM7, CHAR(13), ""),CHAR(10),"\n"), "")&amp;"', textEn: '"&amp;SUBSTITUTE(SUBSTITUTE(SUBSTITUTE(AM7, CHAR(13), ""),CHAR(10),"\n"),"'","\'")&amp;IF(AN7&lt;&gt;"", "', textEnAdditional: '"&amp;SUBSTITUTE(SUBSTITUTE(AN7, CHAR(13), ""),CHAR(10),"\n"), "")&amp;"'"&amp;IF(AB7="○",", sealable: true","")&amp;IF(AC7="○",", removable: true","")&amp;IF(AA7="○",", lie: true","")&amp;IF(AD7="○",", investable: true","")&amp;"},")</x:f>
        <x:v>'01-yurina-o-n-6': {megami: 'yurina', name: '圧気', nameEn: 'Overawe', nameZh: '威压', nameZhG6: '气合斩', nameKo: '압기', ruby: 'あっき', rubyEn: '', baseType: 'normal', type: 'enhance', capacity: '2', text: '隙\n【展開中】各ターンにおける相手の最初の《攻撃》は-1/+0となる。\n【破棄時】攻撃『適正距離1-3、3/-』を行う。', textZh: '破绽\n【破弃时】进行一次“攻击距离1-4、伤害3/-”的攻击。', textZhG6: '破绽\n【破弃时】进行一次“攻击距离1-4 伤害3/-”的攻击。', textZhG6Additional: '빈틈\n 【파기시】공격『적정거리1-4、3/-』을 행한다.', textKo: 'Unguarded\nDisenchant: You attack with "Range: 1-4, Damage: 3/-".', textKoAdditional: 'Unguarded\nDisenchant: You attack with "Range: 1-4, Damage: 3/-".', textEn: 'Unguarded\nDisenchant: You attack with "Range: 1-4, Damage: 3/-".'},</x:v>
      </x:c>
      <x:c r="AU7" s="379" t="str">
        <x:f aca="0">IF($A7&lt;&gt;"", "    /** 《"&amp;$E7&amp;"》 */ export const "&amp;SUBSTITUTE(UPPER(IF(MID($A7, 3, 1)="-", RIGHT($A7,LEN($A7)-3), $A7)), "-", "_")&amp;": TCardId = '"&amp;$A7&amp;"';", "")</x:f>
        <x:v>    /** 《圧気》 */ export const YURINA_O_N_6: TCardId = '01-yurina-o-n-6';</x:v>
      </x:c>
      <x:c r="AV7" s="380" t="str">
        <x:f aca="0">IF($A8&lt;&gt;"", "    | '"&amp;$A8&amp;"'", "")</x:f>
        <x:v>    | '01-yurina-o-n-7'</x:v>
      </x:c>
    </x:row>
    <x:row r="8" ht="38" hidden="0" customHeight="1">
      <x:c r="A8" s="375" t="str">
        <x:v>01-yurina-o-n-7</x:v>
      </x:c>
      <x:c r="B8" s="375" t="str">
        <x:v>yurina</x:v>
      </x:c>
      <x:c r="C8" s="375"/>
      <x:c r="D8" s="375"/>
      <x:c r="E8" s="375" t="str">
        <x:v>気炎万丈</x:v>
      </x:c>
      <x:c r="F8" s="375" t="str">
        <x:v>きえんばんじょう</x:v>
      </x:c>
      <x:c r="G8" s="375" t="str">
        <x:v>气焰万丈</x:v>
      </x:c>
      <x:c r="H8" s="375" t="str">
        <x:v>气焰万丈</x:v>
      </x:c>
      <x:c r="I8" s="375"/>
      <x:c r="J8" s="375" t="str">
        <x:v>기염만장</x:v>
      </x:c>
      <x:c r="K8" s="375" t="str">
        <x:v>Spirit of Fire</x:v>
      </x:c>
      <x:c r="L8" s="375"/>
      <x:c r="M8" s="375" t="str">
        <x:v>通常札</x:v>
      </x:c>
      <x:c r="N8" s="375"/>
      <x:c r="O8" s="375"/>
      <x:c r="P8" s="375"/>
      <x:c r="Q8" s="375"/>
      <x:c r="R8" s="375" t="str">
        <x:v>付与</x:v>
      </x:c>
      <x:c r="S8" s="375" t="str">
        <x:v>全力</x:v>
      </x:c>
      <x:c r="T8" s="375"/>
      <x:c r="U8" s="383"/>
      <x:c r="V8" s="382"/>
      <x:c r="W8" s="383"/>
      <x:c r="X8" s="382" t="n">
        <x:v>4</x:v>
      </x:c>
      <x:c r="Y8" s="382"/>
      <x:c r="Z8" s="382"/>
      <x:c r="AA8" s="382"/>
      <x:c r="AB8" s="382"/>
      <x:c r="AC8" s="385"/>
      <x:c r="AD8" s="385"/>
      <x:c r="AE8" s="440" t="str">
        <x:v>【展開中】決死―あなたのライフが3以下ならば、あなたの他のメガミによる《攻撃》は+1/+1となるとともに超克を得る。</x:v>
      </x:c>
      <x:c r="AF8" s="440"/>
      <x:c r="AG8" s="489" t="str">
        <x:v>【展开中】决死～若自命中的樱花结晶数小于等于3，则你的另一柱女神的《攻击》得+1/+1和超克。</x:v>
      </x:c>
      <x:c r="AH8" s="444"/>
      <x:c r="AI8" s="495" t="str">
        <x:v>【展开中】决死-若自命中的樱花结晶的数目小于3，则你的另一柱女武神的《攻击》得+1/+1和超克。</x:v>
      </x:c>
      <x:c r="AJ8" s="440"/>
      <x:c r="AK8" s="489" t="str">
        <x:v>【전개중】결사-당신의 라이프가 3 이하라면, 당신의 다른 여신에 의한 《공격》은 +1/+1이 되며 초극을 얻는다.</x:v>
      </x:c>
      <x:c r="AL8" s="444"/>
      <x:c r="AM8" s="496" t="str">
        <x:v>Ongoing: Resolve - All your other Megami's attacks gain +1/+1 and Overwhelm if your Life is 3 or less.</x:v>
      </x:c>
      <x:c r="AN8" s="444"/>
      <x:c r="AO8" s="439"/>
      <x:c r="AP8" s="439"/>
      <x:c r="AQ8" s="439"/>
      <x:c r="AR8" s="439"/>
      <x:c r="AS8" s="439"/>
      <x:c r="AT8" s="378" t="str">
        <x:f aca="0">IF(A8="", "","'"&amp;A8&amp;"': {megami: '"&amp;B8&amp;"'"&amp;IF(C8&lt;&gt;"",", anotherID: '"&amp;C8&amp;"', replace: '"&amp;D8&amp;"'","")&amp;", name: '"&amp;SUBSTITUTE(E8,"'","\'")&amp;"', nameEn: '"&amp;SUBSTITUTE(K8,"'","\'")&amp;"', nameZh: '"&amp;SUBSTITUTE(G8,"'","\'")&amp;"', nameZhG7: '"&amp;SUBSTITUTE(H8,"'","\'")&amp;"', nameKo: '"&amp;SUBSTITUTE(J8,"'","\'")&amp;"', ruby: '"&amp;F8&amp;"', rubyEn: '"&amp;L8&amp;IF(I8&lt;&gt;"", "', rubyZh: '"&amp;I8, "")&amp;"', baseType: '"&amp;IF(M8="通常札","normal",IF(M8="切札","special",IF(M8="追加札","extra",IF(M8="transform","transform",IF(M8="嵐","storm",IF(M8="兵員","troop",IF(M8="構想","plan",IF(M8="メインパーツ","mainParts",IF(M8="カスタムパーツ","customParts",IF(M8="運命","fate",IF(M8="仮想樹","virtualTree","")))))))))))&amp;"'"&amp;IF(N8="○",", extra: true","")&amp;IF(O8&lt;&gt;"",", extraFrom: '"&amp;O8&amp;"'","")&amp;IF(P8&lt;&gt;"",", exchangableTo: '"&amp;P8&amp;"'","")&amp;IF(Q8="○",", poison: true","")&amp;IF(R8&lt;&gt;"", ", type: '"&amp;IF(R8="攻撃","attack",IF(R8="行動","action",IF(R8="不定","variable",IF(R8="対応","reaction",IF(R8="全力","fullpower",IF(R8="付与","enhance",IF(R8="transform","transform","")))))))&amp;"'", "")&amp;IF(S8&lt;&gt;"",", subType: '"&amp;IF(S8="攻撃","attack",IF(S8="行動","action",IF(S8="不定","variable",IF(S8="対応","reaction",IF(S8="全力","fullpower",IF(S8="付与","enhance",IF(S8="transform","transform","")))))))&amp;"'","")&amp;""&amp;IF(T8&lt;&gt;"",",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textZhG7: '"&amp;SUBSTITUTE(SUBSTITUTE(SUBSTITUTE(AI8, CHAR(13), ""),CHAR(10),"\n"),"'","\'")&amp;IF(AH8&lt;&gt;"", "', textZhAdditional: '"&amp;SUBSTITUTE(SUBSTITUTE(AH8, CHAR(13), ""),CHAR(10),"\n"), "")&amp;IF(AK8&lt;&gt;"", "', textZhG7Additional: '"&amp;SUBSTITUTE(SUBSTITUTE(AK8, CHAR(13), ""),CHAR(10),"\n"), "")&amp;"', textKo: '"&amp;SUBSTITUTE(SUBSTITUTE(SUBSTITUTE(AM8, CHAR(13), ""),CHAR(10),"\n"),"'","\'")&amp;IF(AM8&lt;&gt;"", "', textKoAdditional: '"&amp;SUBSTITUTE(SUBSTITUTE(AM8, CHAR(13), ""),CHAR(10),"\n"), "")&amp;"', textEn: '"&amp;SUBSTITUTE(SUBSTITUTE(SUBSTITUTE(AM8, CHAR(13), ""),CHAR(10),"\n"),"'","\'")&amp;IF(AN8&lt;&gt;"", "', textEnAdditional: '"&amp;SUBSTITUTE(SUBSTITUTE(AN8, CHAR(13), ""),CHAR(10),"\n"), "")&amp;"'"&amp;IF(AB8="○",", sealable: true","")&amp;IF(AC8="○",", removable: true","")&amp;IF(AA8="○",", lie: true","")&amp;IF(AD8="○",", investable: true","")&amp;"},")</x:f>
        <x:v>'01-yurina-o-n-7': {megami: 'yurina', name: '気炎万丈', nameEn: 'Spirit of Fire', nameZh: '气焰万丈', nameZhG7: '气焰万丈', nameKo: '기염만장', ruby: 'きえんばんじょう', rubyEn: '', baseType: 'normal', type: 'enhance', subType: 'fullpower', capacity: '4', text: '【展開中】決死―あなたのライフが3以下ならば、あなたの他のメガミによる《攻撃》は+1/+1となるとともに超克を得る。', textZh: '【展开中】决死～若自命中的樱花结晶数小于等于3，则你的另一柱女神的《攻击》得+1/+1和超克。', textZhG7: '【展开中】决死-若自命中的樱花结晶的数目小于3，则你的另一柱女武神的《攻击》得+1/+1和超克。', textZhG7Additional: '【전개중】결사-당신의 라이프가 3 이하라면, 당신의 다른 여신에 의한 《공격》은 +1/+1이 되며 초극을 얻는다.', textKo: 'Ongoing: Resolve - All your other Megami\'s attacks gain +1/+1 and Overwhelm if your Life is 3 or less.', textKoAdditional: 'Ongoing: Resolve - All your other Megami's attacks gain +1/+1 and Overwhelm if your Life is 3 or less.', textEn: 'Ongoing: Resolve - All your other Megami\'s attacks gain +1/+1 and Overwhelm if your Life is 3 or less.'},</x:v>
      </x:c>
      <x:c r="AU8" s="379" t="str">
        <x:f aca="0">IF($A8&lt;&gt;"", "    /** 《"&amp;$E8&amp;"》 */ export const "&amp;SUBSTITUTE(UPPER(IF(MID($A8, 3, 1)="-", RIGHT($A8,LEN($A8)-3), $A8)), "-", "_")&amp;": TCardId = '"&amp;$A8&amp;"';", "")</x:f>
        <x:v>    /** 《気炎万丈》 */ export const YURINA_O_N_7: TCardId = '01-yurina-o-n-7';</x:v>
      </x:c>
      <x:c r="AV8" s="380" t="str">
        <x:f aca="0">IF($A9&lt;&gt;"", "    | '"&amp;$A9&amp;"'", "")</x:f>
        <x:v>    | '01-yurina-o-s-1'</x:v>
      </x:c>
      <x:c r="AW8" s="381"/>
      <x:c r="AX8" s="381"/>
      <x:c r="AY8" s="381"/>
      <x:c r="AZ8" s="381"/>
      <x:c r="BA8" s="381"/>
      <x:c r="BB8" s="381"/>
      <x:c r="BC8" s="381"/>
      <x:c r="BD8" s="381"/>
      <x:c r="BE8" s="381"/>
      <x:c r="BF8" s="381"/>
      <x:c r="BG8" s="381"/>
      <x:c r="BH8" s="381"/>
      <x:c r="BI8" s="381"/>
      <x:c r="BJ8" s="381"/>
      <x:c r="BK8" s="381"/>
      <x:c r="BL8" s="381"/>
      <x:c r="BM8" s="381"/>
      <x:c r="BN8" s="381"/>
      <x:c r="BO8" s="381"/>
      <x:c r="BP8" s="381"/>
      <x:c r="BQ8" s="375"/>
      <x:c r="BR8" s="375"/>
      <x:c r="BS8" s="375"/>
      <x:c r="BT8" s="375"/>
      <x:c r="BU8" s="375"/>
      <x:c r="BV8" s="375"/>
      <x:c r="BW8" s="375"/>
      <x:c r="BX8" s="375"/>
      <x:c r="BY8" s="375"/>
      <x:c r="BZ8" s="375"/>
      <x:c r="CA8" s="375"/>
      <x:c r="CB8" s="375"/>
      <x:c r="CC8" s="375"/>
      <x:c r="CD8" s="375"/>
      <x:c r="CE8" s="375"/>
      <x:c r="CF8" s="375"/>
      <x:c r="CG8" s="375"/>
      <x:c r="CH8" s="375"/>
      <x:c r="CI8" s="375"/>
      <x:c r="CJ8" s="375"/>
      <x:c r="CK8" s="375"/>
      <x:c r="CL8" s="375"/>
      <x:c r="CM8" s="375"/>
      <x:c r="CN8" s="375"/>
      <x:c r="CO8" s="375"/>
      <x:c r="CP8" s="375"/>
      <x:c r="CQ8" s="375"/>
      <x:c r="CR8" s="375"/>
      <x:c r="CS8" s="375"/>
      <x:c r="CT8" s="375"/>
      <x:c r="CU8" s="375"/>
      <x:c r="CV8" s="375"/>
      <x:c r="CW8" s="375"/>
      <x:c r="CX8" s="375"/>
      <x:c r="CY8" s="375"/>
      <x:c r="CZ8" s="375"/>
      <x:c r="DA8" s="375"/>
      <x:c r="DB8" s="375"/>
      <x:c r="DC8" s="375"/>
      <x:c r="DD8" s="375"/>
      <x:c r="DE8" s="375"/>
      <x:c r="DF8" s="375"/>
      <x:c r="DG8" s="375"/>
      <x:c r="DH8" s="375"/>
      <x:c r="DI8" s="375"/>
      <x:c r="DJ8" s="375"/>
      <x:c r="DK8" s="375"/>
      <x:c r="DL8" s="375"/>
      <x:c r="DM8" s="375"/>
      <x:c r="DN8" s="375"/>
      <x:c r="DO8" s="375"/>
      <x:c r="DP8" s="375"/>
      <x:c r="DQ8" s="375"/>
      <x:c r="DR8" s="375"/>
      <x:c r="DS8" s="375"/>
      <x:c r="DT8" s="375"/>
      <x:c r="DU8" s="375"/>
      <x:c r="DV8" s="375"/>
      <x:c r="DW8" s="375"/>
      <x:c r="DX8" s="375"/>
      <x:c r="DY8" s="375"/>
      <x:c r="DZ8" s="375"/>
      <x:c r="EA8" s="375"/>
      <x:c r="EB8" s="375"/>
      <x:c r="EC8" s="375"/>
      <x:c r="ED8" s="375"/>
      <x:c r="EE8" s="375"/>
      <x:c r="EF8" s="375"/>
      <x:c r="EG8" s="375"/>
      <x:c r="EH8" s="375"/>
      <x:c r="EI8" s="375"/>
      <x:c r="EJ8" s="375"/>
      <x:c r="EK8" s="375"/>
      <x:c r="EL8" s="375"/>
      <x:c r="EM8" s="375"/>
      <x:c r="EN8" s="375"/>
      <x:c r="EO8" s="375"/>
      <x:c r="EP8" s="375"/>
      <x:c r="EQ8" s="375"/>
      <x:c r="ER8" s="375"/>
      <x:c r="ES8" s="375"/>
      <x:c r="ET8" s="375"/>
      <x:c r="EU8" s="375"/>
      <x:c r="EV8" s="375"/>
      <x:c r="EW8" s="375"/>
      <x:c r="EX8" s="375"/>
      <x:c r="EY8" s="375"/>
      <x:c r="EZ8" s="375"/>
      <x:c r="FA8" s="375"/>
      <x:c r="FB8" s="375"/>
      <x:c r="FC8" s="375"/>
      <x:c r="FD8" s="375"/>
      <x:c r="FE8" s="375"/>
      <x:c r="FF8" s="375"/>
      <x:c r="FG8" s="375"/>
      <x:c r="FH8" s="375"/>
      <x:c r="FI8" s="375"/>
      <x:c r="FJ8" s="375"/>
      <x:c r="FK8" s="375"/>
      <x:c r="FL8" s="375"/>
      <x:c r="FM8" s="375"/>
      <x:c r="FN8" s="375"/>
      <x:c r="FO8" s="375"/>
      <x:c r="FP8" s="375"/>
      <x:c r="FQ8" s="375"/>
      <x:c r="FR8" s="375"/>
      <x:c r="FS8" s="375"/>
      <x:c r="FT8" s="375"/>
      <x:c r="FU8" s="375"/>
      <x:c r="FV8" s="375"/>
      <x:c r="FW8" s="375"/>
      <x:c r="FX8" s="375"/>
      <x:c r="FY8" s="375"/>
      <x:c r="FZ8" s="375"/>
      <x:c r="GA8" s="375"/>
      <x:c r="GB8" s="375"/>
      <x:c r="GC8" s="375"/>
      <x:c r="GD8" s="375"/>
      <x:c r="GE8" s="375"/>
      <x:c r="GF8" s="375"/>
      <x:c r="GG8" s="375"/>
      <x:c r="GH8" s="375"/>
      <x:c r="GI8" s="375"/>
      <x:c r="GJ8" s="375"/>
      <x:c r="GK8" s="375"/>
      <x:c r="GL8" s="375"/>
      <x:c r="GM8" s="375"/>
      <x:c r="GN8" s="375"/>
      <x:c r="GO8" s="375"/>
      <x:c r="GP8" s="375"/>
      <x:c r="GQ8" s="375"/>
      <x:c r="GR8" s="375"/>
      <x:c r="GS8" s="375"/>
      <x:c r="GT8" s="375"/>
      <x:c r="GU8" s="375"/>
      <x:c r="GV8" s="375"/>
      <x:c r="GW8" s="375"/>
      <x:c r="GX8" s="375"/>
      <x:c r="GY8" s="375"/>
      <x:c r="GZ8" s="375"/>
      <x:c r="HA8" s="375"/>
      <x:c r="HB8" s="375"/>
      <x:c r="HC8" s="375"/>
      <x:c r="HD8" s="375"/>
      <x:c r="HE8" s="375"/>
      <x:c r="HF8" s="375"/>
      <x:c r="HG8" s="375"/>
      <x:c r="HH8" s="375"/>
      <x:c r="HI8" s="375"/>
      <x:c r="HJ8" s="375"/>
      <x:c r="HK8" s="375"/>
      <x:c r="HL8" s="375"/>
      <x:c r="HM8" s="375"/>
      <x:c r="HN8" s="375"/>
      <x:c r="HO8" s="375"/>
      <x:c r="HP8" s="375"/>
      <x:c r="HQ8" s="375"/>
      <x:c r="HR8" s="375"/>
      <x:c r="HS8" s="375"/>
      <x:c r="HT8" s="375"/>
      <x:c r="HU8" s="375"/>
      <x:c r="HV8" s="375"/>
      <x:c r="HW8" s="375"/>
      <x:c r="HX8" s="375"/>
      <x:c r="HY8" s="375"/>
      <x:c r="HZ8" s="375"/>
      <x:c r="IA8" s="375"/>
      <x:c r="IB8" s="375"/>
      <x:c r="IC8" s="375"/>
      <x:c r="ID8" s="375"/>
      <x:c r="IE8" s="375"/>
      <x:c r="IF8" s="375"/>
      <x:c r="IG8" s="375"/>
      <x:c r="IH8" s="375"/>
      <x:c r="II8" s="375"/>
      <x:c r="IJ8" s="375"/>
      <x:c r="IK8" s="375"/>
      <x:c r="IL8" s="375"/>
      <x:c r="IM8" s="375"/>
      <x:c r="IN8" s="375"/>
      <x:c r="IO8" s="375"/>
      <x:c r="IP8" s="375"/>
      <x:c r="IQ8" s="375"/>
      <x:c r="IR8" s="375"/>
      <x:c r="IS8" s="375"/>
      <x:c r="IT8" s="375"/>
      <x:c r="IU8" s="375"/>
      <x:c r="IV8" s="375"/>
      <x:c r="IW8" s="375"/>
      <x:c r="IX8" s="375"/>
      <x:c r="IY8" s="375"/>
      <x:c r="IZ8" s="375"/>
      <x:c r="JA8" s="375"/>
      <x:c r="JB8" s="375"/>
      <x:c r="JC8" s="375"/>
      <x:c r="JD8" s="375"/>
      <x:c r="JE8" s="375"/>
      <x:c r="JF8" s="375"/>
      <x:c r="JG8" s="375"/>
      <x:c r="JH8" s="375"/>
      <x:c r="JI8" s="375"/>
      <x:c r="JJ8" s="375"/>
      <x:c r="JK8" s="375"/>
      <x:c r="JL8" s="375"/>
      <x:c r="JM8" s="375"/>
      <x:c r="JN8" s="375"/>
      <x:c r="JO8" s="375"/>
      <x:c r="JP8" s="375"/>
      <x:c r="JQ8" s="375"/>
      <x:c r="JR8" s="375"/>
      <x:c r="JS8" s="375"/>
      <x:c r="JT8" s="375"/>
      <x:c r="JU8" s="375"/>
      <x:c r="JV8" s="375"/>
      <x:c r="JW8" s="375"/>
      <x:c r="JX8" s="375"/>
      <x:c r="JY8" s="375"/>
      <x:c r="JZ8" s="375"/>
      <x:c r="KA8" s="375"/>
      <x:c r="KB8" s="375"/>
      <x:c r="KC8" s="375"/>
      <x:c r="KD8" s="375"/>
      <x:c r="KE8" s="375"/>
      <x:c r="KF8" s="375"/>
      <x:c r="KG8" s="375"/>
      <x:c r="KH8" s="375"/>
      <x:c r="KI8" s="375"/>
      <x:c r="KJ8" s="375"/>
      <x:c r="KK8" s="375"/>
      <x:c r="KL8" s="375"/>
      <x:c r="KM8" s="375"/>
      <x:c r="KN8" s="375"/>
      <x:c r="KO8" s="375"/>
      <x:c r="KP8" s="375"/>
      <x:c r="KQ8" s="375"/>
      <x:c r="KR8" s="375"/>
      <x:c r="KS8" s="375"/>
      <x:c r="KT8" s="375"/>
      <x:c r="KU8" s="375"/>
      <x:c r="KV8" s="375"/>
      <x:c r="KW8" s="375"/>
      <x:c r="KX8" s="375"/>
      <x:c r="KY8" s="375"/>
      <x:c r="KZ8" s="375"/>
      <x:c r="LA8" s="375"/>
      <x:c r="LB8" s="375"/>
      <x:c r="LC8" s="375"/>
      <x:c r="LD8" s="375"/>
      <x:c r="LE8" s="375"/>
      <x:c r="LF8" s="375"/>
      <x:c r="LG8" s="375"/>
      <x:c r="LH8" s="375"/>
      <x:c r="LI8" s="375"/>
      <x:c r="LJ8" s="375"/>
      <x:c r="LK8" s="375"/>
      <x:c r="LL8" s="375"/>
      <x:c r="LM8" s="375"/>
      <x:c r="LN8" s="375"/>
      <x:c r="LO8" s="375"/>
      <x:c r="LP8" s="375"/>
      <x:c r="LQ8" s="375"/>
      <x:c r="LR8" s="375"/>
      <x:c r="LS8" s="375"/>
      <x:c r="LT8" s="375"/>
      <x:c r="LU8" s="375"/>
      <x:c r="LV8" s="375"/>
      <x:c r="LW8" s="375"/>
      <x:c r="LX8" s="375"/>
      <x:c r="LY8" s="375"/>
      <x:c r="LZ8" s="375"/>
      <x:c r="MA8" s="375"/>
      <x:c r="MB8" s="375"/>
      <x:c r="MC8" s="375"/>
      <x:c r="MD8" s="375"/>
      <x:c r="ME8" s="375"/>
      <x:c r="MF8" s="375"/>
      <x:c r="MG8" s="375"/>
      <x:c r="MH8" s="375"/>
      <x:c r="MI8" s="375"/>
      <x:c r="MJ8" s="375"/>
      <x:c r="MK8" s="375"/>
      <x:c r="ML8" s="375"/>
      <x:c r="MM8" s="375"/>
      <x:c r="MN8" s="375"/>
      <x:c r="MO8" s="375"/>
      <x:c r="MP8" s="375"/>
      <x:c r="MQ8" s="375"/>
      <x:c r="MR8" s="375"/>
      <x:c r="MS8" s="375"/>
      <x:c r="MT8" s="375"/>
      <x:c r="MU8" s="375"/>
      <x:c r="MV8" s="375"/>
      <x:c r="MW8" s="375"/>
      <x:c r="MX8" s="375"/>
      <x:c r="MY8" s="375"/>
      <x:c r="MZ8" s="375"/>
      <x:c r="NA8" s="375"/>
      <x:c r="NB8" s="375"/>
      <x:c r="NC8" s="375"/>
      <x:c r="ND8" s="375"/>
      <x:c r="NE8" s="375"/>
      <x:c r="NF8" s="375"/>
      <x:c r="NG8" s="375"/>
      <x:c r="NH8" s="375"/>
      <x:c r="NI8" s="375"/>
      <x:c r="NJ8" s="375"/>
      <x:c r="NK8" s="375"/>
      <x:c r="NL8" s="375"/>
      <x:c r="NM8" s="375"/>
      <x:c r="NN8" s="375"/>
      <x:c r="NO8" s="375"/>
      <x:c r="NP8" s="375"/>
      <x:c r="NQ8" s="375"/>
      <x:c r="NR8" s="375"/>
      <x:c r="NS8" s="375"/>
      <x:c r="NT8" s="375"/>
      <x:c r="NU8" s="375"/>
      <x:c r="NV8" s="375"/>
      <x:c r="NW8" s="375"/>
      <x:c r="NX8" s="375"/>
      <x:c r="NY8" s="375"/>
      <x:c r="NZ8" s="375"/>
      <x:c r="OA8" s="375"/>
      <x:c r="OB8" s="375"/>
      <x:c r="OC8" s="375"/>
      <x:c r="OD8" s="375"/>
      <x:c r="OE8" s="375"/>
      <x:c r="OF8" s="375"/>
      <x:c r="OG8" s="375"/>
      <x:c r="OH8" s="375"/>
      <x:c r="OI8" s="375"/>
      <x:c r="OJ8" s="375"/>
      <x:c r="OK8" s="375"/>
      <x:c r="OL8" s="375"/>
      <x:c r="OM8" s="375"/>
      <x:c r="ON8" s="375"/>
      <x:c r="OO8" s="375"/>
      <x:c r="OP8" s="375"/>
      <x:c r="OQ8" s="375"/>
      <x:c r="OR8" s="375"/>
      <x:c r="OS8" s="375"/>
      <x:c r="OT8" s="375"/>
      <x:c r="OU8" s="375"/>
      <x:c r="OV8" s="375"/>
      <x:c r="OW8" s="375"/>
      <x:c r="OX8" s="375"/>
      <x:c r="OY8" s="375"/>
      <x:c r="OZ8" s="375"/>
      <x:c r="PA8" s="375"/>
      <x:c r="PB8" s="375"/>
      <x:c r="PC8" s="375"/>
      <x:c r="PD8" s="375"/>
      <x:c r="PE8" s="375"/>
      <x:c r="PF8" s="375"/>
      <x:c r="PG8" s="375"/>
      <x:c r="PH8" s="375"/>
      <x:c r="PI8" s="375"/>
      <x:c r="PJ8" s="375"/>
      <x:c r="PK8" s="375"/>
      <x:c r="PL8" s="375"/>
      <x:c r="PM8" s="375"/>
      <x:c r="PN8" s="375"/>
      <x:c r="PO8" s="375"/>
      <x:c r="PP8" s="375"/>
      <x:c r="PQ8" s="375"/>
      <x:c r="PR8" s="375"/>
      <x:c r="PS8" s="375"/>
      <x:c r="PT8" s="375"/>
      <x:c r="PU8" s="375"/>
      <x:c r="PV8" s="375"/>
      <x:c r="PW8" s="375"/>
      <x:c r="PX8" s="375"/>
      <x:c r="PY8" s="375"/>
      <x:c r="PZ8" s="375"/>
      <x:c r="QA8" s="375"/>
      <x:c r="QB8" s="375"/>
      <x:c r="QC8" s="375"/>
      <x:c r="QD8" s="375"/>
      <x:c r="QE8" s="375"/>
      <x:c r="QF8" s="375"/>
      <x:c r="QG8" s="375"/>
      <x:c r="QH8" s="375"/>
      <x:c r="QI8" s="375"/>
      <x:c r="QJ8" s="375"/>
      <x:c r="QK8" s="375"/>
      <x:c r="QL8" s="375"/>
      <x:c r="QM8" s="375"/>
      <x:c r="QN8" s="375"/>
      <x:c r="QO8" s="375"/>
      <x:c r="QP8" s="375"/>
      <x:c r="QQ8" s="375"/>
      <x:c r="QR8" s="375"/>
      <x:c r="QS8" s="375"/>
      <x:c r="QT8" s="375"/>
      <x:c r="QU8" s="375"/>
      <x:c r="QV8" s="375"/>
      <x:c r="QW8" s="375"/>
      <x:c r="QX8" s="375"/>
      <x:c r="QY8" s="375"/>
      <x:c r="QZ8" s="375"/>
      <x:c r="RA8" s="375"/>
      <x:c r="RB8" s="375"/>
      <x:c r="RC8" s="375"/>
      <x:c r="RD8" s="375"/>
      <x:c r="RE8" s="375"/>
      <x:c r="RF8" s="375"/>
      <x:c r="RG8" s="375"/>
      <x:c r="RH8" s="375"/>
      <x:c r="RI8" s="375"/>
      <x:c r="RJ8" s="375"/>
      <x:c r="RK8" s="375"/>
      <x:c r="RL8" s="375"/>
      <x:c r="RM8" s="375"/>
      <x:c r="RN8" s="375"/>
      <x:c r="RO8" s="375"/>
      <x:c r="RP8" s="375"/>
      <x:c r="RQ8" s="375"/>
      <x:c r="RR8" s="375"/>
      <x:c r="RS8" s="375"/>
      <x:c r="RT8" s="375"/>
      <x:c r="RU8" s="375"/>
      <x:c r="RV8" s="375"/>
      <x:c r="RW8" s="375"/>
      <x:c r="RX8" s="375"/>
      <x:c r="RY8" s="375"/>
      <x:c r="RZ8" s="375"/>
      <x:c r="SA8" s="375"/>
      <x:c r="SB8" s="375"/>
      <x:c r="SC8" s="375"/>
      <x:c r="SD8" s="375"/>
      <x:c r="SE8" s="375"/>
      <x:c r="SF8" s="375"/>
      <x:c r="SG8" s="375"/>
      <x:c r="SH8" s="375"/>
      <x:c r="SI8" s="375"/>
      <x:c r="SJ8" s="375"/>
      <x:c r="SK8" s="375"/>
      <x:c r="SL8" s="375"/>
      <x:c r="SM8" s="375"/>
      <x:c r="SN8" s="375"/>
      <x:c r="SO8" s="375"/>
      <x:c r="SP8" s="375"/>
      <x:c r="SQ8" s="375"/>
      <x:c r="SR8" s="375"/>
      <x:c r="SS8" s="375"/>
      <x:c r="ST8" s="375"/>
      <x:c r="SU8" s="375"/>
      <x:c r="SV8" s="375"/>
      <x:c r="SW8" s="375"/>
      <x:c r="SX8" s="375"/>
      <x:c r="SY8" s="375"/>
      <x:c r="SZ8" s="375"/>
      <x:c r="TA8" s="375"/>
      <x:c r="TB8" s="375"/>
      <x:c r="TC8" s="375"/>
      <x:c r="TD8" s="375"/>
      <x:c r="TE8" s="375"/>
      <x:c r="TF8" s="375"/>
      <x:c r="TG8" s="375"/>
      <x:c r="TH8" s="375"/>
      <x:c r="TI8" s="375"/>
      <x:c r="TJ8" s="375"/>
      <x:c r="TK8" s="375"/>
      <x:c r="TL8" s="375"/>
      <x:c r="TM8" s="375"/>
      <x:c r="TN8" s="375"/>
      <x:c r="TO8" s="375"/>
      <x:c r="TP8" s="375"/>
      <x:c r="TQ8" s="375"/>
      <x:c r="TR8" s="375"/>
      <x:c r="TS8" s="375"/>
      <x:c r="TT8" s="375"/>
      <x:c r="TU8" s="375"/>
      <x:c r="TV8" s="375"/>
      <x:c r="TW8" s="375"/>
      <x:c r="TX8" s="375"/>
      <x:c r="TY8" s="375"/>
      <x:c r="TZ8" s="375"/>
      <x:c r="UA8" s="375"/>
      <x:c r="UB8" s="375"/>
      <x:c r="UC8" s="375"/>
      <x:c r="UD8" s="375"/>
      <x:c r="UE8" s="375"/>
      <x:c r="UF8" s="375"/>
      <x:c r="UG8" s="375"/>
      <x:c r="UH8" s="375"/>
      <x:c r="UI8" s="375"/>
      <x:c r="UJ8" s="375"/>
      <x:c r="UK8" s="375"/>
      <x:c r="UL8" s="375"/>
      <x:c r="UM8" s="375"/>
      <x:c r="UN8" s="375"/>
      <x:c r="UO8" s="375"/>
      <x:c r="UP8" s="375"/>
      <x:c r="UQ8" s="375"/>
      <x:c r="UR8" s="375"/>
      <x:c r="US8" s="375"/>
      <x:c r="UT8" s="375"/>
      <x:c r="UU8" s="375"/>
      <x:c r="UV8" s="375"/>
      <x:c r="UW8" s="375"/>
      <x:c r="UX8" s="375"/>
      <x:c r="UY8" s="375"/>
      <x:c r="UZ8" s="375"/>
      <x:c r="VA8" s="375"/>
      <x:c r="VB8" s="375"/>
      <x:c r="VC8" s="375"/>
      <x:c r="VD8" s="375"/>
      <x:c r="VE8" s="375"/>
      <x:c r="VF8" s="375"/>
      <x:c r="VG8" s="375"/>
      <x:c r="VH8" s="375"/>
      <x:c r="VI8" s="375"/>
      <x:c r="VJ8" s="375"/>
      <x:c r="VK8" s="375"/>
      <x:c r="VL8" s="375"/>
      <x:c r="VM8" s="375"/>
      <x:c r="VN8" s="375"/>
      <x:c r="VO8" s="375"/>
      <x:c r="VP8" s="375"/>
      <x:c r="VQ8" s="375"/>
      <x:c r="VR8" s="375"/>
      <x:c r="VS8" s="375"/>
      <x:c r="VT8" s="375"/>
      <x:c r="VU8" s="375"/>
      <x:c r="VV8" s="375"/>
      <x:c r="VW8" s="375"/>
      <x:c r="VX8" s="375"/>
      <x:c r="VY8" s="375"/>
      <x:c r="VZ8" s="375"/>
      <x:c r="WA8" s="375"/>
      <x:c r="WB8" s="375"/>
      <x:c r="WC8" s="375"/>
      <x:c r="WD8" s="375"/>
      <x:c r="WE8" s="375"/>
      <x:c r="WF8" s="375"/>
      <x:c r="WG8" s="375"/>
      <x:c r="WH8" s="375"/>
      <x:c r="WI8" s="375"/>
      <x:c r="WJ8" s="375"/>
      <x:c r="WK8" s="375"/>
      <x:c r="WL8" s="375"/>
      <x:c r="WM8" s="375"/>
      <x:c r="WN8" s="375"/>
      <x:c r="WO8" s="375"/>
      <x:c r="WP8" s="375"/>
      <x:c r="WQ8" s="375"/>
      <x:c r="WR8" s="375"/>
      <x:c r="WS8" s="375"/>
      <x:c r="WT8" s="375"/>
      <x:c r="WU8" s="375"/>
      <x:c r="WV8" s="375"/>
      <x:c r="WW8" s="375"/>
      <x:c r="WX8" s="375"/>
      <x:c r="WY8" s="375"/>
      <x:c r="WZ8" s="375"/>
      <x:c r="XA8" s="375"/>
      <x:c r="XB8" s="375"/>
      <x:c r="XC8" s="375"/>
      <x:c r="XD8" s="375"/>
      <x:c r="XE8" s="375"/>
      <x:c r="XF8" s="375"/>
      <x:c r="XG8" s="375"/>
      <x:c r="XH8" s="375"/>
      <x:c r="XI8" s="375"/>
      <x:c r="XJ8" s="375"/>
      <x:c r="XK8" s="375"/>
      <x:c r="XL8" s="375"/>
      <x:c r="XM8" s="375"/>
      <x:c r="XN8" s="375"/>
      <x:c r="XO8" s="375"/>
      <x:c r="XP8" s="375"/>
      <x:c r="XQ8" s="375"/>
      <x:c r="XR8" s="375"/>
      <x:c r="XS8" s="375"/>
      <x:c r="XT8" s="375"/>
      <x:c r="XU8" s="375"/>
      <x:c r="XV8" s="375"/>
      <x:c r="XW8" s="375"/>
      <x:c r="XX8" s="375"/>
      <x:c r="XY8" s="375"/>
      <x:c r="XZ8" s="375"/>
      <x:c r="YA8" s="375"/>
      <x:c r="YB8" s="375"/>
      <x:c r="YC8" s="375"/>
      <x:c r="YD8" s="375"/>
      <x:c r="YE8" s="375"/>
      <x:c r="YF8" s="375"/>
      <x:c r="YG8" s="375"/>
      <x:c r="YH8" s="375"/>
      <x:c r="YI8" s="375"/>
      <x:c r="YJ8" s="375"/>
      <x:c r="YK8" s="375"/>
      <x:c r="YL8" s="375"/>
      <x:c r="YM8" s="375"/>
      <x:c r="YN8" s="375"/>
      <x:c r="YO8" s="375"/>
      <x:c r="YP8" s="375"/>
      <x:c r="YQ8" s="375"/>
      <x:c r="YR8" s="375"/>
      <x:c r="YS8" s="375"/>
      <x:c r="YT8" s="375"/>
      <x:c r="YU8" s="375"/>
      <x:c r="YV8" s="375"/>
      <x:c r="YW8" s="375"/>
      <x:c r="YX8" s="375"/>
      <x:c r="YY8" s="375"/>
      <x:c r="YZ8" s="375"/>
      <x:c r="ZA8" s="375"/>
      <x:c r="ZB8" s="375"/>
      <x:c r="ZC8" s="375"/>
      <x:c r="ZD8" s="375"/>
      <x:c r="ZE8" s="375"/>
      <x:c r="ZF8" s="375"/>
      <x:c r="ZG8" s="375"/>
      <x:c r="ZH8" s="375"/>
      <x:c r="ZI8" s="375"/>
      <x:c r="ZJ8" s="375"/>
      <x:c r="ZK8" s="375"/>
      <x:c r="ZL8" s="375"/>
      <x:c r="ZM8" s="375"/>
      <x:c r="ZN8" s="375"/>
      <x:c r="ZO8" s="375"/>
      <x:c r="ZP8" s="375"/>
      <x:c r="ZQ8" s="375"/>
      <x:c r="ZR8" s="375"/>
      <x:c r="ZS8" s="375"/>
      <x:c r="ZT8" s="375"/>
      <x:c r="ZU8" s="375"/>
      <x:c r="ZV8" s="375"/>
      <x:c r="ZW8" s="375"/>
      <x:c r="ZX8" s="375"/>
      <x:c r="ZY8" s="375"/>
      <x:c r="ZZ8" s="375"/>
      <x:c r="AAA8" s="375"/>
      <x:c r="AAB8" s="375"/>
      <x:c r="AAC8" s="375"/>
      <x:c r="AAD8" s="375"/>
      <x:c r="AAE8" s="375"/>
      <x:c r="AAF8" s="375"/>
      <x:c r="AAG8" s="375"/>
      <x:c r="AAH8" s="375"/>
      <x:c r="AAI8" s="375"/>
      <x:c r="AAJ8" s="375"/>
      <x:c r="AAK8" s="375"/>
      <x:c r="AAL8" s="375"/>
      <x:c r="AAM8" s="375"/>
      <x:c r="AAN8" s="375"/>
      <x:c r="AAO8" s="375"/>
      <x:c r="AAP8" s="375"/>
      <x:c r="AAQ8" s="375"/>
      <x:c r="AAR8" s="375"/>
      <x:c r="AAS8" s="375"/>
      <x:c r="AAT8" s="375"/>
      <x:c r="AAU8" s="375"/>
      <x:c r="AAV8" s="375"/>
      <x:c r="AAW8" s="375"/>
      <x:c r="AAX8" s="375"/>
      <x:c r="AAY8" s="375"/>
      <x:c r="AAZ8" s="375"/>
      <x:c r="ABA8" s="375"/>
      <x:c r="ABB8" s="375"/>
      <x:c r="ABC8" s="375"/>
      <x:c r="ABD8" s="375"/>
      <x:c r="ABE8" s="375"/>
      <x:c r="ABF8" s="375"/>
      <x:c r="ABG8" s="375"/>
      <x:c r="ABH8" s="375"/>
      <x:c r="ABI8" s="375"/>
      <x:c r="ABJ8" s="375"/>
      <x:c r="ABK8" s="375"/>
      <x:c r="ABL8" s="375"/>
      <x:c r="ABM8" s="375"/>
      <x:c r="ABN8" s="375"/>
      <x:c r="ABO8" s="375"/>
      <x:c r="ABP8" s="375"/>
      <x:c r="ABQ8" s="375"/>
      <x:c r="ABR8" s="375"/>
      <x:c r="ABS8" s="375"/>
      <x:c r="ABT8" s="375"/>
      <x:c r="ABU8" s="375"/>
      <x:c r="ABV8" s="375"/>
      <x:c r="ABW8" s="375"/>
      <x:c r="ABX8" s="375"/>
      <x:c r="ABY8" s="375"/>
      <x:c r="ABZ8" s="375"/>
      <x:c r="ACA8" s="375"/>
      <x:c r="ACB8" s="375"/>
      <x:c r="ACC8" s="375"/>
      <x:c r="ACD8" s="375"/>
      <x:c r="ACE8" s="375"/>
      <x:c r="ACF8" s="375"/>
      <x:c r="ACG8" s="375"/>
      <x:c r="ACH8" s="375"/>
      <x:c r="ACI8" s="375"/>
      <x:c r="ACJ8" s="375"/>
      <x:c r="ACK8" s="375"/>
      <x:c r="ACL8" s="375"/>
      <x:c r="ACM8" s="375"/>
      <x:c r="ACN8" s="375"/>
      <x:c r="ACO8" s="375"/>
      <x:c r="ACP8" s="375"/>
      <x:c r="ACQ8" s="375"/>
      <x:c r="ACR8" s="375"/>
      <x:c r="ACS8" s="375"/>
      <x:c r="ACT8" s="375"/>
      <x:c r="ACU8" s="375"/>
      <x:c r="ACV8" s="375"/>
      <x:c r="ACW8" s="375"/>
      <x:c r="ACX8" s="375"/>
      <x:c r="ACY8" s="375"/>
      <x:c r="ACZ8" s="375"/>
      <x:c r="ADA8" s="375"/>
      <x:c r="ADB8" s="375"/>
      <x:c r="ADC8" s="375"/>
      <x:c r="ADD8" s="375"/>
      <x:c r="ADE8" s="375"/>
      <x:c r="ADF8" s="375"/>
      <x:c r="ADG8" s="375"/>
      <x:c r="ADH8" s="375"/>
      <x:c r="ADI8" s="375"/>
      <x:c r="ADJ8" s="375"/>
      <x:c r="ADK8" s="375"/>
      <x:c r="ADL8" s="375"/>
      <x:c r="ADM8" s="375"/>
      <x:c r="ADN8" s="375"/>
      <x:c r="ADO8" s="375"/>
      <x:c r="ADP8" s="375"/>
      <x:c r="ADQ8" s="375"/>
      <x:c r="ADR8" s="375"/>
      <x:c r="ADS8" s="375"/>
      <x:c r="ADT8" s="375"/>
      <x:c r="ADU8" s="375"/>
      <x:c r="ADV8" s="375"/>
      <x:c r="ADW8" s="375"/>
      <x:c r="ADX8" s="375"/>
      <x:c r="ADY8" s="375"/>
      <x:c r="ADZ8" s="375"/>
      <x:c r="AEA8" s="375"/>
      <x:c r="AEB8" s="375"/>
      <x:c r="AEC8" s="375"/>
      <x:c r="AED8" s="375"/>
      <x:c r="AEE8" s="375"/>
      <x:c r="AEF8" s="375"/>
      <x:c r="AEG8" s="375"/>
      <x:c r="AEH8" s="375"/>
      <x:c r="AEI8" s="375"/>
      <x:c r="AEJ8" s="375"/>
      <x:c r="AEK8" s="375"/>
      <x:c r="AEL8" s="375"/>
      <x:c r="AEM8" s="375"/>
      <x:c r="AEN8" s="375"/>
      <x:c r="AEO8" s="375"/>
      <x:c r="AEP8" s="375"/>
      <x:c r="AEQ8" s="375"/>
      <x:c r="AER8" s="375"/>
      <x:c r="AES8" s="375"/>
      <x:c r="AET8" s="375"/>
      <x:c r="AEU8" s="375"/>
      <x:c r="AEV8" s="375"/>
      <x:c r="AEW8" s="375"/>
      <x:c r="AEX8" s="375"/>
      <x:c r="AEY8" s="375"/>
      <x:c r="AEZ8" s="375"/>
      <x:c r="AFA8" s="375"/>
      <x:c r="AFB8" s="375"/>
      <x:c r="AFC8" s="375"/>
      <x:c r="AFD8" s="375"/>
      <x:c r="AFE8" s="375"/>
      <x:c r="AFF8" s="375"/>
      <x:c r="AFG8" s="375"/>
      <x:c r="AFH8" s="375"/>
      <x:c r="AFI8" s="375"/>
      <x:c r="AFJ8" s="375"/>
      <x:c r="AFK8" s="375"/>
      <x:c r="AFL8" s="375"/>
      <x:c r="AFM8" s="375"/>
      <x:c r="AFN8" s="375"/>
      <x:c r="AFO8" s="375"/>
      <x:c r="AFP8" s="375"/>
      <x:c r="AFQ8" s="375"/>
      <x:c r="AFR8" s="375"/>
      <x:c r="AFS8" s="375"/>
      <x:c r="AFT8" s="375"/>
      <x:c r="AFU8" s="375"/>
      <x:c r="AFV8" s="375"/>
      <x:c r="AFW8" s="375"/>
      <x:c r="AFX8" s="375"/>
      <x:c r="AFY8" s="375"/>
      <x:c r="AFZ8" s="375"/>
      <x:c r="AGA8" s="375"/>
      <x:c r="AGB8" s="375"/>
      <x:c r="AGC8" s="375"/>
      <x:c r="AGD8" s="375"/>
      <x:c r="AGE8" s="375"/>
      <x:c r="AGF8" s="375"/>
      <x:c r="AGG8" s="375"/>
      <x:c r="AGH8" s="375"/>
      <x:c r="AGI8" s="375"/>
      <x:c r="AGJ8" s="375"/>
      <x:c r="AGK8" s="375"/>
      <x:c r="AGL8" s="375"/>
      <x:c r="AGM8" s="375"/>
      <x:c r="AGN8" s="375"/>
      <x:c r="AGO8" s="375"/>
      <x:c r="AGP8" s="375"/>
      <x:c r="AGQ8" s="375"/>
      <x:c r="AGR8" s="375"/>
      <x:c r="AGS8" s="375"/>
      <x:c r="AGT8" s="375"/>
      <x:c r="AGU8" s="375"/>
      <x:c r="AGV8" s="375"/>
      <x:c r="AGW8" s="375"/>
      <x:c r="AGX8" s="375"/>
      <x:c r="AGY8" s="375"/>
      <x:c r="AGZ8" s="375"/>
      <x:c r="AHA8" s="375"/>
      <x:c r="AHB8" s="375"/>
      <x:c r="AHC8" s="375"/>
      <x:c r="AHD8" s="375"/>
      <x:c r="AHE8" s="375"/>
      <x:c r="AHF8" s="375"/>
      <x:c r="AHG8" s="375"/>
      <x:c r="AHH8" s="375"/>
      <x:c r="AHI8" s="375"/>
      <x:c r="AHJ8" s="375"/>
      <x:c r="AHK8" s="375"/>
      <x:c r="AHL8" s="375"/>
      <x:c r="AHM8" s="375"/>
      <x:c r="AHN8" s="375"/>
      <x:c r="AHO8" s="375"/>
      <x:c r="AHP8" s="375"/>
      <x:c r="AHQ8" s="375"/>
      <x:c r="AHR8" s="375"/>
      <x:c r="AHS8" s="375"/>
      <x:c r="AHT8" s="375"/>
      <x:c r="AHU8" s="375"/>
      <x:c r="AHV8" s="375"/>
      <x:c r="AHW8" s="375"/>
      <x:c r="AHX8" s="375"/>
      <x:c r="AHY8" s="375"/>
      <x:c r="AHZ8" s="375"/>
      <x:c r="AIA8" s="375"/>
      <x:c r="AIB8" s="375"/>
      <x:c r="AIC8" s="375"/>
      <x:c r="AID8" s="375"/>
      <x:c r="AIE8" s="375"/>
      <x:c r="AIF8" s="375"/>
      <x:c r="AIG8" s="375"/>
      <x:c r="AIH8" s="375"/>
      <x:c r="AII8" s="375"/>
      <x:c r="AIJ8" s="375"/>
      <x:c r="AIK8" s="375"/>
      <x:c r="AIL8" s="375"/>
      <x:c r="AIM8" s="375"/>
      <x:c r="AIN8" s="375"/>
      <x:c r="AIO8" s="375"/>
      <x:c r="AIP8" s="375"/>
      <x:c r="AIQ8" s="375"/>
      <x:c r="AIR8" s="375"/>
      <x:c r="AIS8" s="375"/>
      <x:c r="AIT8" s="375"/>
      <x:c r="AIU8" s="375"/>
      <x:c r="AIV8" s="375"/>
      <x:c r="AIW8" s="375"/>
      <x:c r="AIX8" s="375"/>
      <x:c r="AIY8" s="375"/>
      <x:c r="AIZ8" s="375"/>
      <x:c r="AJA8" s="375"/>
      <x:c r="AJB8" s="375"/>
      <x:c r="AJC8" s="375"/>
      <x:c r="AJD8" s="375"/>
      <x:c r="AJE8" s="375"/>
      <x:c r="AJF8" s="375"/>
      <x:c r="AJG8" s="375"/>
      <x:c r="AJH8" s="375"/>
      <x:c r="AJI8" s="375"/>
      <x:c r="AJJ8" s="375"/>
      <x:c r="AJK8" s="375"/>
      <x:c r="AJL8" s="375"/>
      <x:c r="AJM8" s="375"/>
      <x:c r="AJN8" s="375"/>
      <x:c r="AJO8" s="375"/>
      <x:c r="AJP8" s="375"/>
      <x:c r="AJQ8" s="375"/>
      <x:c r="AJR8" s="375"/>
      <x:c r="AJS8" s="375"/>
      <x:c r="AJT8" s="375"/>
      <x:c r="AJU8" s="375"/>
      <x:c r="AJV8" s="375"/>
      <x:c r="AJW8" s="375"/>
      <x:c r="AJX8" s="375"/>
      <x:c r="AJY8" s="375"/>
      <x:c r="AJZ8" s="375"/>
      <x:c r="AKA8" s="375"/>
      <x:c r="AKB8" s="375"/>
      <x:c r="AKC8" s="375"/>
      <x:c r="AKD8" s="375"/>
      <x:c r="AKE8" s="375"/>
      <x:c r="AKF8" s="375"/>
      <x:c r="AKG8" s="375"/>
      <x:c r="AKH8" s="375"/>
      <x:c r="AKI8" s="375"/>
      <x:c r="AKJ8" s="375"/>
      <x:c r="AKK8" s="375"/>
      <x:c r="AKL8" s="375"/>
      <x:c r="AKM8" s="375"/>
      <x:c r="AKN8" s="375"/>
      <x:c r="AKO8" s="375"/>
      <x:c r="AKP8" s="375"/>
      <x:c r="AKQ8" s="375"/>
      <x:c r="AKR8" s="375"/>
      <x:c r="AKS8" s="375"/>
      <x:c r="AKT8" s="375"/>
      <x:c r="AKU8" s="375"/>
      <x:c r="AKV8" s="375"/>
      <x:c r="AKW8" s="375"/>
      <x:c r="AKX8" s="375"/>
      <x:c r="AKY8" s="375"/>
      <x:c r="AKZ8" s="375"/>
      <x:c r="ALA8" s="375"/>
      <x:c r="ALB8" s="375"/>
      <x:c r="ALC8" s="375"/>
      <x:c r="ALD8" s="375"/>
      <x:c r="ALE8" s="375"/>
      <x:c r="ALF8" s="375"/>
      <x:c r="ALG8" s="375"/>
      <x:c r="ALH8" s="375"/>
      <x:c r="ALI8" s="375"/>
      <x:c r="ALJ8" s="375"/>
      <x:c r="ALK8" s="375"/>
      <x:c r="ALL8" s="375"/>
      <x:c r="ALM8" s="375"/>
      <x:c r="ALN8" s="375"/>
      <x:c r="ALO8" s="375"/>
      <x:c r="ALP8" s="375"/>
      <x:c r="ALQ8" s="375"/>
      <x:c r="ALR8" s="375"/>
      <x:c r="ALS8" s="375"/>
      <x:c r="ALT8" s="375"/>
      <x:c r="ALU8" s="375"/>
      <x:c r="ALV8" s="375"/>
      <x:c r="ALW8" s="375"/>
      <x:c r="ALX8" s="375"/>
      <x:c r="ALY8" s="375"/>
      <x:c r="ALZ8" s="375"/>
      <x:c r="AMA8" s="375"/>
      <x:c r="AMB8" s="375"/>
      <x:c r="AMC8" s="375"/>
      <x:c r="AMD8" s="375"/>
      <x:c r="AME8" s="375"/>
      <x:c r="AMF8" s="375"/>
      <x:c r="AMG8" s="375"/>
      <x:c r="AMH8" s="375"/>
      <x:c r="AMI8" s="375"/>
      <x:c r="AMJ8" s="375"/>
      <x:c r="AMK8" s="375"/>
    </x:row>
    <x:row r="9" ht="30" hidden="0" customHeight="1">
      <x:c r="A9" s="375" t="str">
        <x:v>01-yurina-o-s-1</x:v>
      </x:c>
      <x:c r="B9" s="375" t="str">
        <x:v>yurina</x:v>
      </x:c>
      <x:c r="C9" s="375"/>
      <x:c r="D9" s="375"/>
      <x:c r="E9" s="375" t="str">
        <x:v>月影落</x:v>
      </x:c>
      <x:c r="F9" s="375" t="str">
        <x:v>つきかげおとし</x:v>
      </x:c>
      <x:c r="G9" s="375" t="str">
        <x:v>月影落</x:v>
      </x:c>
      <x:c r="H9" s="375" t="str">
        <x:v>月影落</x:v>
      </x:c>
      <x:c r="I9" s="375"/>
      <x:c r="J9" s="375" t="str">
        <x:v>달그림자 떨어지니</x:v>
      </x:c>
      <x:c r="K9" s="375" t="str">
        <x:v>Tsukikage Crush</x:v>
      </x:c>
      <x:c r="L9" s="375"/>
      <x:c r="M9" s="375" t="str">
        <x:v>切札</x:v>
      </x:c>
      <x:c r="N9" s="375"/>
      <x:c r="O9" s="375"/>
      <x:c r="P9" s="375"/>
      <x:c r="Q9" s="375"/>
      <x:c r="R9" s="375" t="str">
        <x:v>攻撃</x:v>
      </x:c>
      <x:c r="S9" s="375"/>
      <x:c r="T9" s="375" t="str">
        <x:v>3-4</x:v>
      </x:c>
      <x:c r="U9" s="383"/>
      <x:c r="V9" s="382" t="str">
        <x:v>4/4</x:v>
      </x:c>
      <x:c r="W9" s="383"/>
      <x:c r="X9" s="382"/>
      <x:c r="Y9" s="382"/>
      <x:c r="Z9" s="382" t="n">
        <x:v>7</x:v>
      </x:c>
      <x:c r="AA9" s="382"/>
      <x:c r="AB9" s="385"/>
      <x:c r="AC9" s="385"/>
      <x:c r="AD9" s="386"/>
      <x:c r="AE9" s="440"/>
      <x:c r="AF9" s="441"/>
      <x:c r="AG9" s="444"/>
      <x:c r="AH9" s="442"/>
      <x:c r="AI9" s="440"/>
      <x:c r="AJ9" s="440"/>
      <x:c r="AK9" s="444"/>
      <x:c r="AL9" s="440"/>
      <x:c r="AM9" s="444"/>
      <x:c r="AN9" s="440"/>
      <x:c r="AO9" s="439"/>
      <x:c r="AP9" s="439"/>
      <x:c r="AQ9" s="439"/>
      <x:c r="AR9" s="439"/>
      <x:c r="AS9" s="439"/>
      <x:c r="AT9" s="378" t="str">
        <x:f aca="0">IF(A9="", "","'"&amp;A9&amp;"': {megami: '"&amp;B9&amp;"'"&amp;IF(C9&lt;&gt;"",", anotherID: '"&amp;C9&amp;"', replace: '"&amp;D9&amp;"'","")&amp;", name: '"&amp;SUBSTITUTE(E9,"'","\'")&amp;"', nameEn: '"&amp;SUBSTITUTE(K9,"'","\'")&amp;"', nameZh: '"&amp;SUBSTITUTE(G9,"'","\'")&amp;"', nameZhG8: '"&amp;SUBSTITUTE(H9,"'","\'")&amp;"', nameKo: '"&amp;SUBSTITUTE(J9,"'","\'")&amp;"', ruby: '"&amp;F9&amp;"', rubyEn: '"&amp;L9&amp;IF(I9&lt;&gt;"", "', rubyZh: '"&amp;I9, "")&amp;"', baseType: '"&amp;IF(M9="通常札","normal",IF(M9="切札","special",IF(M9="追加札","extra",IF(M9="transform","transform",IF(M9="嵐","storm",IF(M9="兵員","troop",IF(M9="構想","plan",IF(M9="メインパーツ","mainParts",IF(M9="カスタムパーツ","customParts",IF(M9="運命","fate",IF(M9="仮想樹","virtualTree","")))))))))))&amp;"'"&amp;IF(N9="○",", extra: true","")&amp;IF(O9&lt;&gt;"",", extraFrom: '"&amp;O9&amp;"'","")&amp;IF(P9&lt;&gt;"",", exchangableTo: '"&amp;P9&amp;"'","")&amp;IF(Q9="○",", poison: true","")&amp;IF(R9&lt;&gt;"", ", type: '"&amp;IF(R9="攻撃","attack",IF(R9="行動","action",IF(R9="不定","variable",IF(R9="対応","reaction",IF(R9="全力","fullpower",IF(R9="付与","enhance",IF(R9="transform","transform","")))))))&amp;"'", "")&amp;IF(S9&lt;&gt;"",", subType: '"&amp;IF(S9="攻撃","attack",IF(S9="行動","action",IF(S9="不定","variable",IF(S9="対応","reaction",IF(S9="全力","fullpower",IF(S9="付与","enhance",IF(S9="transform","transform","")))))))&amp;"'","")&amp;""&amp;IF(T9&lt;&gt;"",",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textZhG8: '"&amp;SUBSTITUTE(SUBSTITUTE(SUBSTITUTE(AI9, CHAR(13), ""),CHAR(10),"\n"),"'","\'")&amp;IF(AH9&lt;&gt;"", "', textZhAdditional: '"&amp;SUBSTITUTE(SUBSTITUTE(AH9, CHAR(13), ""),CHAR(10),"\n"), "")&amp;IF(AK9&lt;&gt;"", "', textZhG8Additional: '"&amp;SUBSTITUTE(SUBSTITUTE(AK9, CHAR(13), ""),CHAR(10),"\n"), "")&amp;"', textKo: '"&amp;SUBSTITUTE(SUBSTITUTE(SUBSTITUTE(AM9, CHAR(13), ""),CHAR(10),"\n"),"'","\'")&amp;IF(AM9&lt;&gt;"", "', textKoAdditional: '"&amp;SUBSTITUTE(SUBSTITUTE(AM9, CHAR(13), ""),CHAR(10),"\n"), "")&amp;"', textEn: '"&amp;SUBSTITUTE(SUBSTITUTE(SUBSTITUTE(AM9, CHAR(13), ""),CHAR(10),"\n"),"'","\'")&amp;IF(AN9&lt;&gt;"", "', textEnAdditional: '"&amp;SUBSTITUTE(SUBSTITUTE(AN9, CHAR(13), ""),CHAR(10),"\n"), "")&amp;"'"&amp;IF(AB9="○",", sealable: true","")&amp;IF(AC9="○",", removable: true","")&amp;IF(AA9="○",", lie: true","")&amp;IF(AD9="○",", investable: true","")&amp;"},")</x:f>
        <x:v>'01-yurina-o-s-1': {megami: 'yurina', name: '月影落', nameEn: 'Tsukikage Crush', nameZh: '月影落', nameZhG8: '月影落', nameKo: '달그림자 떨어지니', ruby: 'つきかげおとし', rubyEn: '', baseType: 'special', type: 'attack', range: '3-4', damage: '4/4', cost: '7', text: '', textZh: '', textZhG8: '', textKo: '', textEn: ''},</x:v>
      </x:c>
      <x:c r="AU9" s="379" t="str">
        <x:f aca="0">IF($A9&lt;&gt;"", "    /** 《"&amp;$E9&amp;"》 */ export const "&amp;SUBSTITUTE(UPPER(IF(MID($A9, 3, 1)="-", RIGHT($A9,LEN($A9)-3), $A9)), "-", "_")&amp;": TCardId = '"&amp;$A9&amp;"';", "")</x:f>
        <x:v>    /** 《月影落》 */ export const YURINA_O_S_1: TCardId = '01-yurina-o-s-1';</x:v>
      </x:c>
      <x:c r="AV9" s="380" t="str">
        <x:f aca="0">IF($A10&lt;&gt;"", "    | '"&amp;$A10&amp;"'", "")</x:f>
        <x:v>    | '01-yurina-o-s-2'</x:v>
      </x:c>
      <x:c r="AW9" s="381"/>
      <x:c r="AX9" s="381"/>
      <x:c r="AY9" s="381"/>
      <x:c r="AZ9" s="381"/>
      <x:c r="BA9" s="381"/>
      <x:c r="BB9" s="381"/>
      <x:c r="BC9" s="381"/>
      <x:c r="BD9" s="381"/>
      <x:c r="BE9" s="381"/>
      <x:c r="BF9" s="381"/>
      <x:c r="BG9" s="381"/>
      <x:c r="BH9" s="381"/>
      <x:c r="BI9" s="381"/>
      <x:c r="BJ9" s="381"/>
      <x:c r="BK9" s="381"/>
      <x:c r="BL9" s="381"/>
      <x:c r="BM9" s="381"/>
      <x:c r="BN9" s="381"/>
      <x:c r="BO9" s="381"/>
      <x:c r="BP9" s="381"/>
      <x:c r="BQ9" s="375"/>
      <x:c r="BR9" s="375"/>
      <x:c r="BS9" s="375"/>
      <x:c r="BT9" s="375"/>
      <x:c r="BU9" s="375"/>
      <x:c r="BV9" s="375"/>
      <x:c r="BW9" s="375"/>
      <x:c r="BX9" s="375"/>
      <x:c r="BY9" s="375"/>
      <x:c r="BZ9" s="375"/>
      <x:c r="CA9" s="375"/>
      <x:c r="CB9" s="375"/>
      <x:c r="CC9" s="375"/>
      <x:c r="CD9" s="375"/>
      <x:c r="CE9" s="375"/>
      <x:c r="CF9" s="375"/>
      <x:c r="CG9" s="375"/>
      <x:c r="CH9" s="375"/>
      <x:c r="CI9" s="375"/>
      <x:c r="CJ9" s="375"/>
      <x:c r="CK9" s="375"/>
      <x:c r="CL9" s="375"/>
      <x:c r="CM9" s="375"/>
      <x:c r="CN9" s="375"/>
      <x:c r="CO9" s="375"/>
      <x:c r="CP9" s="375"/>
      <x:c r="CQ9" s="375"/>
      <x:c r="CR9" s="375"/>
      <x:c r="CS9" s="375"/>
      <x:c r="CT9" s="375"/>
      <x:c r="CU9" s="375"/>
      <x:c r="CV9" s="375"/>
      <x:c r="CW9" s="375"/>
      <x:c r="CX9" s="375"/>
      <x:c r="CY9" s="375"/>
      <x:c r="CZ9" s="375"/>
      <x:c r="DA9" s="375"/>
      <x:c r="DB9" s="375"/>
      <x:c r="DC9" s="375"/>
      <x:c r="DD9" s="375"/>
      <x:c r="DE9" s="375"/>
      <x:c r="DF9" s="375"/>
      <x:c r="DG9" s="375"/>
      <x:c r="DH9" s="375"/>
      <x:c r="DI9" s="375"/>
      <x:c r="DJ9" s="375"/>
      <x:c r="DK9" s="375"/>
      <x:c r="DL9" s="375"/>
      <x:c r="DM9" s="375"/>
      <x:c r="DN9" s="375"/>
      <x:c r="DO9" s="375"/>
      <x:c r="DP9" s="375"/>
      <x:c r="DQ9" s="375"/>
      <x:c r="DR9" s="375"/>
      <x:c r="DS9" s="375"/>
      <x:c r="DT9" s="375"/>
      <x:c r="DU9" s="375"/>
      <x:c r="DV9" s="375"/>
      <x:c r="DW9" s="375"/>
      <x:c r="DX9" s="375"/>
      <x:c r="DY9" s="375"/>
      <x:c r="DZ9" s="375"/>
      <x:c r="EA9" s="375"/>
      <x:c r="EB9" s="375"/>
      <x:c r="EC9" s="375"/>
      <x:c r="ED9" s="375"/>
      <x:c r="EE9" s="375"/>
      <x:c r="EF9" s="375"/>
      <x:c r="EG9" s="375"/>
      <x:c r="EH9" s="375"/>
      <x:c r="EI9" s="375"/>
      <x:c r="EJ9" s="375"/>
      <x:c r="EK9" s="375"/>
      <x:c r="EL9" s="375"/>
      <x:c r="EM9" s="375"/>
      <x:c r="EN9" s="375"/>
      <x:c r="EO9" s="375"/>
      <x:c r="EP9" s="375"/>
      <x:c r="EQ9" s="375"/>
      <x:c r="ER9" s="375"/>
      <x:c r="ES9" s="375"/>
      <x:c r="ET9" s="375"/>
      <x:c r="EU9" s="375"/>
      <x:c r="EV9" s="375"/>
      <x:c r="EW9" s="375"/>
      <x:c r="EX9" s="375"/>
      <x:c r="EY9" s="375"/>
      <x:c r="EZ9" s="375"/>
      <x:c r="FA9" s="375"/>
      <x:c r="FB9" s="375"/>
      <x:c r="FC9" s="375"/>
      <x:c r="FD9" s="375"/>
      <x:c r="FE9" s="375"/>
      <x:c r="FF9" s="375"/>
      <x:c r="FG9" s="375"/>
      <x:c r="FH9" s="375"/>
      <x:c r="FI9" s="375"/>
      <x:c r="FJ9" s="375"/>
      <x:c r="FK9" s="375"/>
      <x:c r="FL9" s="375"/>
      <x:c r="FM9" s="375"/>
      <x:c r="FN9" s="375"/>
      <x:c r="FO9" s="375"/>
      <x:c r="FP9" s="375"/>
      <x:c r="FQ9" s="375"/>
      <x:c r="FR9" s="375"/>
      <x:c r="FS9" s="375"/>
      <x:c r="FT9" s="375"/>
      <x:c r="FU9" s="375"/>
      <x:c r="FV9" s="375"/>
      <x:c r="FW9" s="375"/>
      <x:c r="FX9" s="375"/>
      <x:c r="FY9" s="375"/>
      <x:c r="FZ9" s="375"/>
      <x:c r="GA9" s="375"/>
      <x:c r="GB9" s="375"/>
      <x:c r="GC9" s="375"/>
      <x:c r="GD9" s="375"/>
      <x:c r="GE9" s="375"/>
      <x:c r="GF9" s="375"/>
      <x:c r="GG9" s="375"/>
      <x:c r="GH9" s="375"/>
      <x:c r="GI9" s="375"/>
      <x:c r="GJ9" s="375"/>
      <x:c r="GK9" s="375"/>
      <x:c r="GL9" s="375"/>
      <x:c r="GM9" s="375"/>
      <x:c r="GN9" s="375"/>
      <x:c r="GO9" s="375"/>
      <x:c r="GP9" s="375"/>
      <x:c r="GQ9" s="375"/>
      <x:c r="GR9" s="375"/>
      <x:c r="GS9" s="375"/>
      <x:c r="GT9" s="375"/>
      <x:c r="GU9" s="375"/>
      <x:c r="GV9" s="375"/>
      <x:c r="GW9" s="375"/>
      <x:c r="GX9" s="375"/>
      <x:c r="GY9" s="375"/>
      <x:c r="GZ9" s="375"/>
      <x:c r="HA9" s="375"/>
      <x:c r="HB9" s="375"/>
      <x:c r="HC9" s="375"/>
      <x:c r="HD9" s="375"/>
      <x:c r="HE9" s="375"/>
      <x:c r="HF9" s="375"/>
      <x:c r="HG9" s="375"/>
      <x:c r="HH9" s="375"/>
      <x:c r="HI9" s="375"/>
      <x:c r="HJ9" s="375"/>
      <x:c r="HK9" s="375"/>
      <x:c r="HL9" s="375"/>
      <x:c r="HM9" s="375"/>
      <x:c r="HN9" s="375"/>
      <x:c r="HO9" s="375"/>
      <x:c r="HP9" s="375"/>
      <x:c r="HQ9" s="375"/>
      <x:c r="HR9" s="375"/>
      <x:c r="HS9" s="375"/>
      <x:c r="HT9" s="375"/>
      <x:c r="HU9" s="375"/>
      <x:c r="HV9" s="375"/>
      <x:c r="HW9" s="375"/>
      <x:c r="HX9" s="375"/>
      <x:c r="HY9" s="375"/>
      <x:c r="HZ9" s="375"/>
      <x:c r="IA9" s="375"/>
      <x:c r="IB9" s="375"/>
      <x:c r="IC9" s="375"/>
      <x:c r="ID9" s="375"/>
      <x:c r="IE9" s="375"/>
      <x:c r="IF9" s="375"/>
      <x:c r="IG9" s="375"/>
      <x:c r="IH9" s="375"/>
      <x:c r="II9" s="375"/>
      <x:c r="IJ9" s="375"/>
      <x:c r="IK9" s="375"/>
      <x:c r="IL9" s="375"/>
      <x:c r="IM9" s="375"/>
      <x:c r="IN9" s="375"/>
      <x:c r="IO9" s="375"/>
      <x:c r="IP9" s="375"/>
      <x:c r="IQ9" s="375"/>
      <x:c r="IR9" s="375"/>
      <x:c r="IS9" s="375"/>
      <x:c r="IT9" s="375"/>
      <x:c r="IU9" s="375"/>
      <x:c r="IV9" s="375"/>
      <x:c r="IW9" s="375"/>
      <x:c r="IX9" s="375"/>
      <x:c r="IY9" s="375"/>
      <x:c r="IZ9" s="375"/>
      <x:c r="JA9" s="375"/>
      <x:c r="JB9" s="375"/>
      <x:c r="JC9" s="375"/>
      <x:c r="JD9" s="375"/>
      <x:c r="JE9" s="375"/>
      <x:c r="JF9" s="375"/>
      <x:c r="JG9" s="375"/>
      <x:c r="JH9" s="375"/>
      <x:c r="JI9" s="375"/>
      <x:c r="JJ9" s="375"/>
      <x:c r="JK9" s="375"/>
      <x:c r="JL9" s="375"/>
      <x:c r="JM9" s="375"/>
      <x:c r="JN9" s="375"/>
      <x:c r="JO9" s="375"/>
      <x:c r="JP9" s="375"/>
      <x:c r="JQ9" s="375"/>
      <x:c r="JR9" s="375"/>
      <x:c r="JS9" s="375"/>
      <x:c r="JT9" s="375"/>
      <x:c r="JU9" s="375"/>
      <x:c r="JV9" s="375"/>
      <x:c r="JW9" s="375"/>
      <x:c r="JX9" s="375"/>
      <x:c r="JY9" s="375"/>
      <x:c r="JZ9" s="375"/>
      <x:c r="KA9" s="375"/>
      <x:c r="KB9" s="375"/>
      <x:c r="KC9" s="375"/>
      <x:c r="KD9" s="375"/>
      <x:c r="KE9" s="375"/>
      <x:c r="KF9" s="375"/>
      <x:c r="KG9" s="375"/>
      <x:c r="KH9" s="375"/>
      <x:c r="KI9" s="375"/>
      <x:c r="KJ9" s="375"/>
      <x:c r="KK9" s="375"/>
      <x:c r="KL9" s="375"/>
      <x:c r="KM9" s="375"/>
      <x:c r="KN9" s="375"/>
      <x:c r="KO9" s="375"/>
      <x:c r="KP9" s="375"/>
      <x:c r="KQ9" s="375"/>
      <x:c r="KR9" s="375"/>
      <x:c r="KS9" s="375"/>
      <x:c r="KT9" s="375"/>
      <x:c r="KU9" s="375"/>
      <x:c r="KV9" s="375"/>
      <x:c r="KW9" s="375"/>
      <x:c r="KX9" s="375"/>
      <x:c r="KY9" s="375"/>
      <x:c r="KZ9" s="375"/>
      <x:c r="LA9" s="375"/>
      <x:c r="LB9" s="375"/>
      <x:c r="LC9" s="375"/>
      <x:c r="LD9" s="375"/>
      <x:c r="LE9" s="375"/>
      <x:c r="LF9" s="375"/>
      <x:c r="LG9" s="375"/>
      <x:c r="LH9" s="375"/>
      <x:c r="LI9" s="375"/>
      <x:c r="LJ9" s="375"/>
      <x:c r="LK9" s="375"/>
      <x:c r="LL9" s="375"/>
      <x:c r="LM9" s="375"/>
      <x:c r="LN9" s="375"/>
      <x:c r="LO9" s="375"/>
      <x:c r="LP9" s="375"/>
      <x:c r="LQ9" s="375"/>
      <x:c r="LR9" s="375"/>
      <x:c r="LS9" s="375"/>
      <x:c r="LT9" s="375"/>
      <x:c r="LU9" s="375"/>
      <x:c r="LV9" s="375"/>
      <x:c r="LW9" s="375"/>
      <x:c r="LX9" s="375"/>
      <x:c r="LY9" s="375"/>
      <x:c r="LZ9" s="375"/>
      <x:c r="MA9" s="375"/>
      <x:c r="MB9" s="375"/>
      <x:c r="MC9" s="375"/>
      <x:c r="MD9" s="375"/>
      <x:c r="ME9" s="375"/>
      <x:c r="MF9" s="375"/>
      <x:c r="MG9" s="375"/>
      <x:c r="MH9" s="375"/>
      <x:c r="MI9" s="375"/>
      <x:c r="MJ9" s="375"/>
      <x:c r="MK9" s="375"/>
      <x:c r="ML9" s="375"/>
      <x:c r="MM9" s="375"/>
      <x:c r="MN9" s="375"/>
      <x:c r="MO9" s="375"/>
      <x:c r="MP9" s="375"/>
      <x:c r="MQ9" s="375"/>
      <x:c r="MR9" s="375"/>
      <x:c r="MS9" s="375"/>
      <x:c r="MT9" s="375"/>
      <x:c r="MU9" s="375"/>
      <x:c r="MV9" s="375"/>
      <x:c r="MW9" s="375"/>
      <x:c r="MX9" s="375"/>
      <x:c r="MY9" s="375"/>
      <x:c r="MZ9" s="375"/>
      <x:c r="NA9" s="375"/>
      <x:c r="NB9" s="375"/>
      <x:c r="NC9" s="375"/>
      <x:c r="ND9" s="375"/>
      <x:c r="NE9" s="375"/>
      <x:c r="NF9" s="375"/>
      <x:c r="NG9" s="375"/>
      <x:c r="NH9" s="375"/>
      <x:c r="NI9" s="375"/>
      <x:c r="NJ9" s="375"/>
      <x:c r="NK9" s="375"/>
      <x:c r="NL9" s="375"/>
      <x:c r="NM9" s="375"/>
      <x:c r="NN9" s="375"/>
      <x:c r="NO9" s="375"/>
      <x:c r="NP9" s="375"/>
      <x:c r="NQ9" s="375"/>
      <x:c r="NR9" s="375"/>
      <x:c r="NS9" s="375"/>
      <x:c r="NT9" s="375"/>
      <x:c r="NU9" s="375"/>
      <x:c r="NV9" s="375"/>
      <x:c r="NW9" s="375"/>
      <x:c r="NX9" s="375"/>
      <x:c r="NY9" s="375"/>
      <x:c r="NZ9" s="375"/>
      <x:c r="OA9" s="375"/>
      <x:c r="OB9" s="375"/>
      <x:c r="OC9" s="375"/>
      <x:c r="OD9" s="375"/>
      <x:c r="OE9" s="375"/>
      <x:c r="OF9" s="375"/>
      <x:c r="OG9" s="375"/>
      <x:c r="OH9" s="375"/>
      <x:c r="OI9" s="375"/>
      <x:c r="OJ9" s="375"/>
      <x:c r="OK9" s="375"/>
      <x:c r="OL9" s="375"/>
      <x:c r="OM9" s="375"/>
      <x:c r="ON9" s="375"/>
      <x:c r="OO9" s="375"/>
      <x:c r="OP9" s="375"/>
      <x:c r="OQ9" s="375"/>
      <x:c r="OR9" s="375"/>
      <x:c r="OS9" s="375"/>
      <x:c r="OT9" s="375"/>
      <x:c r="OU9" s="375"/>
      <x:c r="OV9" s="375"/>
      <x:c r="OW9" s="375"/>
      <x:c r="OX9" s="375"/>
      <x:c r="OY9" s="375"/>
      <x:c r="OZ9" s="375"/>
      <x:c r="PA9" s="375"/>
      <x:c r="PB9" s="375"/>
      <x:c r="PC9" s="375"/>
      <x:c r="PD9" s="375"/>
      <x:c r="PE9" s="375"/>
      <x:c r="PF9" s="375"/>
      <x:c r="PG9" s="375"/>
      <x:c r="PH9" s="375"/>
      <x:c r="PI9" s="375"/>
      <x:c r="PJ9" s="375"/>
      <x:c r="PK9" s="375"/>
      <x:c r="PL9" s="375"/>
      <x:c r="PM9" s="375"/>
      <x:c r="PN9" s="375"/>
      <x:c r="PO9" s="375"/>
      <x:c r="PP9" s="375"/>
      <x:c r="PQ9" s="375"/>
      <x:c r="PR9" s="375"/>
      <x:c r="PS9" s="375"/>
      <x:c r="PT9" s="375"/>
      <x:c r="PU9" s="375"/>
      <x:c r="PV9" s="375"/>
      <x:c r="PW9" s="375"/>
      <x:c r="PX9" s="375"/>
      <x:c r="PY9" s="375"/>
      <x:c r="PZ9" s="375"/>
      <x:c r="QA9" s="375"/>
      <x:c r="QB9" s="375"/>
      <x:c r="QC9" s="375"/>
      <x:c r="QD9" s="375"/>
      <x:c r="QE9" s="375"/>
      <x:c r="QF9" s="375"/>
      <x:c r="QG9" s="375"/>
      <x:c r="QH9" s="375"/>
      <x:c r="QI9" s="375"/>
      <x:c r="QJ9" s="375"/>
      <x:c r="QK9" s="375"/>
      <x:c r="QL9" s="375"/>
      <x:c r="QM9" s="375"/>
      <x:c r="QN9" s="375"/>
      <x:c r="QO9" s="375"/>
      <x:c r="QP9" s="375"/>
      <x:c r="QQ9" s="375"/>
      <x:c r="QR9" s="375"/>
      <x:c r="QS9" s="375"/>
      <x:c r="QT9" s="375"/>
      <x:c r="QU9" s="375"/>
      <x:c r="QV9" s="375"/>
      <x:c r="QW9" s="375"/>
      <x:c r="QX9" s="375"/>
      <x:c r="QY9" s="375"/>
      <x:c r="QZ9" s="375"/>
      <x:c r="RA9" s="375"/>
      <x:c r="RB9" s="375"/>
      <x:c r="RC9" s="375"/>
      <x:c r="RD9" s="375"/>
      <x:c r="RE9" s="375"/>
      <x:c r="RF9" s="375"/>
      <x:c r="RG9" s="375"/>
      <x:c r="RH9" s="375"/>
      <x:c r="RI9" s="375"/>
      <x:c r="RJ9" s="375"/>
      <x:c r="RK9" s="375"/>
      <x:c r="RL9" s="375"/>
      <x:c r="RM9" s="375"/>
      <x:c r="RN9" s="375"/>
      <x:c r="RO9" s="375"/>
      <x:c r="RP9" s="375"/>
      <x:c r="RQ9" s="375"/>
      <x:c r="RR9" s="375"/>
      <x:c r="RS9" s="375"/>
      <x:c r="RT9" s="375"/>
      <x:c r="RU9" s="375"/>
      <x:c r="RV9" s="375"/>
      <x:c r="RW9" s="375"/>
      <x:c r="RX9" s="375"/>
      <x:c r="RY9" s="375"/>
      <x:c r="RZ9" s="375"/>
      <x:c r="SA9" s="375"/>
      <x:c r="SB9" s="375"/>
      <x:c r="SC9" s="375"/>
      <x:c r="SD9" s="375"/>
      <x:c r="SE9" s="375"/>
      <x:c r="SF9" s="375"/>
      <x:c r="SG9" s="375"/>
      <x:c r="SH9" s="375"/>
      <x:c r="SI9" s="375"/>
      <x:c r="SJ9" s="375"/>
      <x:c r="SK9" s="375"/>
      <x:c r="SL9" s="375"/>
      <x:c r="SM9" s="375"/>
      <x:c r="SN9" s="375"/>
      <x:c r="SO9" s="375"/>
      <x:c r="SP9" s="375"/>
      <x:c r="SQ9" s="375"/>
      <x:c r="SR9" s="375"/>
      <x:c r="SS9" s="375"/>
      <x:c r="ST9" s="375"/>
      <x:c r="SU9" s="375"/>
      <x:c r="SV9" s="375"/>
      <x:c r="SW9" s="375"/>
      <x:c r="SX9" s="375"/>
      <x:c r="SY9" s="375"/>
      <x:c r="SZ9" s="375"/>
      <x:c r="TA9" s="375"/>
      <x:c r="TB9" s="375"/>
      <x:c r="TC9" s="375"/>
      <x:c r="TD9" s="375"/>
      <x:c r="TE9" s="375"/>
      <x:c r="TF9" s="375"/>
      <x:c r="TG9" s="375"/>
      <x:c r="TH9" s="375"/>
      <x:c r="TI9" s="375"/>
      <x:c r="TJ9" s="375"/>
      <x:c r="TK9" s="375"/>
      <x:c r="TL9" s="375"/>
      <x:c r="TM9" s="375"/>
      <x:c r="TN9" s="375"/>
      <x:c r="TO9" s="375"/>
      <x:c r="TP9" s="375"/>
      <x:c r="TQ9" s="375"/>
      <x:c r="TR9" s="375"/>
      <x:c r="TS9" s="375"/>
      <x:c r="TT9" s="375"/>
      <x:c r="TU9" s="375"/>
      <x:c r="TV9" s="375"/>
      <x:c r="TW9" s="375"/>
      <x:c r="TX9" s="375"/>
      <x:c r="TY9" s="375"/>
      <x:c r="TZ9" s="375"/>
      <x:c r="UA9" s="375"/>
      <x:c r="UB9" s="375"/>
      <x:c r="UC9" s="375"/>
      <x:c r="UD9" s="375"/>
      <x:c r="UE9" s="375"/>
      <x:c r="UF9" s="375"/>
      <x:c r="UG9" s="375"/>
      <x:c r="UH9" s="375"/>
      <x:c r="UI9" s="375"/>
      <x:c r="UJ9" s="375"/>
      <x:c r="UK9" s="375"/>
      <x:c r="UL9" s="375"/>
      <x:c r="UM9" s="375"/>
      <x:c r="UN9" s="375"/>
      <x:c r="UO9" s="375"/>
      <x:c r="UP9" s="375"/>
      <x:c r="UQ9" s="375"/>
      <x:c r="UR9" s="375"/>
      <x:c r="US9" s="375"/>
      <x:c r="UT9" s="375"/>
      <x:c r="UU9" s="375"/>
      <x:c r="UV9" s="375"/>
      <x:c r="UW9" s="375"/>
      <x:c r="UX9" s="375"/>
      <x:c r="UY9" s="375"/>
      <x:c r="UZ9" s="375"/>
      <x:c r="VA9" s="375"/>
      <x:c r="VB9" s="375"/>
      <x:c r="VC9" s="375"/>
      <x:c r="VD9" s="375"/>
      <x:c r="VE9" s="375"/>
      <x:c r="VF9" s="375"/>
      <x:c r="VG9" s="375"/>
      <x:c r="VH9" s="375"/>
      <x:c r="VI9" s="375"/>
      <x:c r="VJ9" s="375"/>
      <x:c r="VK9" s="375"/>
      <x:c r="VL9" s="375"/>
      <x:c r="VM9" s="375"/>
      <x:c r="VN9" s="375"/>
      <x:c r="VO9" s="375"/>
      <x:c r="VP9" s="375"/>
      <x:c r="VQ9" s="375"/>
      <x:c r="VR9" s="375"/>
      <x:c r="VS9" s="375"/>
      <x:c r="VT9" s="375"/>
      <x:c r="VU9" s="375"/>
      <x:c r="VV9" s="375"/>
      <x:c r="VW9" s="375"/>
      <x:c r="VX9" s="375"/>
      <x:c r="VY9" s="375"/>
      <x:c r="VZ9" s="375"/>
      <x:c r="WA9" s="375"/>
      <x:c r="WB9" s="375"/>
      <x:c r="WC9" s="375"/>
      <x:c r="WD9" s="375"/>
      <x:c r="WE9" s="375"/>
      <x:c r="WF9" s="375"/>
      <x:c r="WG9" s="375"/>
      <x:c r="WH9" s="375"/>
      <x:c r="WI9" s="375"/>
      <x:c r="WJ9" s="375"/>
      <x:c r="WK9" s="375"/>
      <x:c r="WL9" s="375"/>
      <x:c r="WM9" s="375"/>
      <x:c r="WN9" s="375"/>
      <x:c r="WO9" s="375"/>
      <x:c r="WP9" s="375"/>
      <x:c r="WQ9" s="375"/>
      <x:c r="WR9" s="375"/>
      <x:c r="WS9" s="375"/>
      <x:c r="WT9" s="375"/>
      <x:c r="WU9" s="375"/>
      <x:c r="WV9" s="375"/>
      <x:c r="WW9" s="375"/>
      <x:c r="WX9" s="375"/>
      <x:c r="WY9" s="375"/>
      <x:c r="WZ9" s="375"/>
      <x:c r="XA9" s="375"/>
      <x:c r="XB9" s="375"/>
      <x:c r="XC9" s="375"/>
      <x:c r="XD9" s="375"/>
      <x:c r="XE9" s="375"/>
      <x:c r="XF9" s="375"/>
      <x:c r="XG9" s="375"/>
      <x:c r="XH9" s="375"/>
      <x:c r="XI9" s="375"/>
      <x:c r="XJ9" s="375"/>
      <x:c r="XK9" s="375"/>
      <x:c r="XL9" s="375"/>
      <x:c r="XM9" s="375"/>
      <x:c r="XN9" s="375"/>
      <x:c r="XO9" s="375"/>
      <x:c r="XP9" s="375"/>
      <x:c r="XQ9" s="375"/>
      <x:c r="XR9" s="375"/>
      <x:c r="XS9" s="375"/>
      <x:c r="XT9" s="375"/>
      <x:c r="XU9" s="375"/>
      <x:c r="XV9" s="375"/>
      <x:c r="XW9" s="375"/>
      <x:c r="XX9" s="375"/>
      <x:c r="XY9" s="375"/>
      <x:c r="XZ9" s="375"/>
      <x:c r="YA9" s="375"/>
      <x:c r="YB9" s="375"/>
      <x:c r="YC9" s="375"/>
      <x:c r="YD9" s="375"/>
      <x:c r="YE9" s="375"/>
      <x:c r="YF9" s="375"/>
      <x:c r="YG9" s="375"/>
      <x:c r="YH9" s="375"/>
      <x:c r="YI9" s="375"/>
      <x:c r="YJ9" s="375"/>
      <x:c r="YK9" s="375"/>
      <x:c r="YL9" s="375"/>
      <x:c r="YM9" s="375"/>
      <x:c r="YN9" s="375"/>
      <x:c r="YO9" s="375"/>
      <x:c r="YP9" s="375"/>
      <x:c r="YQ9" s="375"/>
      <x:c r="YR9" s="375"/>
      <x:c r="YS9" s="375"/>
      <x:c r="YT9" s="375"/>
      <x:c r="YU9" s="375"/>
      <x:c r="YV9" s="375"/>
      <x:c r="YW9" s="375"/>
      <x:c r="YX9" s="375"/>
      <x:c r="YY9" s="375"/>
      <x:c r="YZ9" s="375"/>
      <x:c r="ZA9" s="375"/>
      <x:c r="ZB9" s="375"/>
      <x:c r="ZC9" s="375"/>
      <x:c r="ZD9" s="375"/>
      <x:c r="ZE9" s="375"/>
      <x:c r="ZF9" s="375"/>
      <x:c r="ZG9" s="375"/>
      <x:c r="ZH9" s="375"/>
      <x:c r="ZI9" s="375"/>
      <x:c r="ZJ9" s="375"/>
      <x:c r="ZK9" s="375"/>
      <x:c r="ZL9" s="375"/>
      <x:c r="ZM9" s="375"/>
      <x:c r="ZN9" s="375"/>
      <x:c r="ZO9" s="375"/>
      <x:c r="ZP9" s="375"/>
      <x:c r="ZQ9" s="375"/>
      <x:c r="ZR9" s="375"/>
      <x:c r="ZS9" s="375"/>
      <x:c r="ZT9" s="375"/>
      <x:c r="ZU9" s="375"/>
      <x:c r="ZV9" s="375"/>
      <x:c r="ZW9" s="375"/>
      <x:c r="ZX9" s="375"/>
      <x:c r="ZY9" s="375"/>
      <x:c r="ZZ9" s="375"/>
      <x:c r="AAA9" s="375"/>
      <x:c r="AAB9" s="375"/>
      <x:c r="AAC9" s="375"/>
      <x:c r="AAD9" s="375"/>
      <x:c r="AAE9" s="375"/>
      <x:c r="AAF9" s="375"/>
      <x:c r="AAG9" s="375"/>
      <x:c r="AAH9" s="375"/>
      <x:c r="AAI9" s="375"/>
      <x:c r="AAJ9" s="375"/>
      <x:c r="AAK9" s="375"/>
      <x:c r="AAL9" s="375"/>
      <x:c r="AAM9" s="375"/>
      <x:c r="AAN9" s="375"/>
      <x:c r="AAO9" s="375"/>
      <x:c r="AAP9" s="375"/>
      <x:c r="AAQ9" s="375"/>
      <x:c r="AAR9" s="375"/>
      <x:c r="AAS9" s="375"/>
      <x:c r="AAT9" s="375"/>
      <x:c r="AAU9" s="375"/>
      <x:c r="AAV9" s="375"/>
      <x:c r="AAW9" s="375"/>
      <x:c r="AAX9" s="375"/>
      <x:c r="AAY9" s="375"/>
      <x:c r="AAZ9" s="375"/>
      <x:c r="ABA9" s="375"/>
      <x:c r="ABB9" s="375"/>
      <x:c r="ABC9" s="375"/>
      <x:c r="ABD9" s="375"/>
      <x:c r="ABE9" s="375"/>
      <x:c r="ABF9" s="375"/>
      <x:c r="ABG9" s="375"/>
      <x:c r="ABH9" s="375"/>
      <x:c r="ABI9" s="375"/>
      <x:c r="ABJ9" s="375"/>
      <x:c r="ABK9" s="375"/>
      <x:c r="ABL9" s="375"/>
      <x:c r="ABM9" s="375"/>
      <x:c r="ABN9" s="375"/>
      <x:c r="ABO9" s="375"/>
      <x:c r="ABP9" s="375"/>
      <x:c r="ABQ9" s="375"/>
      <x:c r="ABR9" s="375"/>
      <x:c r="ABS9" s="375"/>
      <x:c r="ABT9" s="375"/>
      <x:c r="ABU9" s="375"/>
      <x:c r="ABV9" s="375"/>
      <x:c r="ABW9" s="375"/>
      <x:c r="ABX9" s="375"/>
      <x:c r="ABY9" s="375"/>
      <x:c r="ABZ9" s="375"/>
      <x:c r="ACA9" s="375"/>
      <x:c r="ACB9" s="375"/>
      <x:c r="ACC9" s="375"/>
      <x:c r="ACD9" s="375"/>
      <x:c r="ACE9" s="375"/>
      <x:c r="ACF9" s="375"/>
      <x:c r="ACG9" s="375"/>
      <x:c r="ACH9" s="375"/>
      <x:c r="ACI9" s="375"/>
      <x:c r="ACJ9" s="375"/>
      <x:c r="ACK9" s="375"/>
      <x:c r="ACL9" s="375"/>
      <x:c r="ACM9" s="375"/>
      <x:c r="ACN9" s="375"/>
      <x:c r="ACO9" s="375"/>
      <x:c r="ACP9" s="375"/>
      <x:c r="ACQ9" s="375"/>
      <x:c r="ACR9" s="375"/>
      <x:c r="ACS9" s="375"/>
      <x:c r="ACT9" s="375"/>
      <x:c r="ACU9" s="375"/>
      <x:c r="ACV9" s="375"/>
      <x:c r="ACW9" s="375"/>
      <x:c r="ACX9" s="375"/>
      <x:c r="ACY9" s="375"/>
      <x:c r="ACZ9" s="375"/>
      <x:c r="ADA9" s="375"/>
      <x:c r="ADB9" s="375"/>
      <x:c r="ADC9" s="375"/>
      <x:c r="ADD9" s="375"/>
      <x:c r="ADE9" s="375"/>
      <x:c r="ADF9" s="375"/>
      <x:c r="ADG9" s="375"/>
      <x:c r="ADH9" s="375"/>
      <x:c r="ADI9" s="375"/>
      <x:c r="ADJ9" s="375"/>
      <x:c r="ADK9" s="375"/>
      <x:c r="ADL9" s="375"/>
      <x:c r="ADM9" s="375"/>
      <x:c r="ADN9" s="375"/>
      <x:c r="ADO9" s="375"/>
      <x:c r="ADP9" s="375"/>
      <x:c r="ADQ9" s="375"/>
      <x:c r="ADR9" s="375"/>
      <x:c r="ADS9" s="375"/>
      <x:c r="ADT9" s="375"/>
      <x:c r="ADU9" s="375"/>
      <x:c r="ADV9" s="375"/>
      <x:c r="ADW9" s="375"/>
      <x:c r="ADX9" s="375"/>
      <x:c r="ADY9" s="375"/>
      <x:c r="ADZ9" s="375"/>
      <x:c r="AEA9" s="375"/>
      <x:c r="AEB9" s="375"/>
      <x:c r="AEC9" s="375"/>
      <x:c r="AED9" s="375"/>
      <x:c r="AEE9" s="375"/>
      <x:c r="AEF9" s="375"/>
      <x:c r="AEG9" s="375"/>
      <x:c r="AEH9" s="375"/>
      <x:c r="AEI9" s="375"/>
      <x:c r="AEJ9" s="375"/>
      <x:c r="AEK9" s="375"/>
      <x:c r="AEL9" s="375"/>
      <x:c r="AEM9" s="375"/>
      <x:c r="AEN9" s="375"/>
      <x:c r="AEO9" s="375"/>
      <x:c r="AEP9" s="375"/>
      <x:c r="AEQ9" s="375"/>
      <x:c r="AER9" s="375"/>
      <x:c r="AES9" s="375"/>
      <x:c r="AET9" s="375"/>
      <x:c r="AEU9" s="375"/>
      <x:c r="AEV9" s="375"/>
      <x:c r="AEW9" s="375"/>
      <x:c r="AEX9" s="375"/>
      <x:c r="AEY9" s="375"/>
      <x:c r="AEZ9" s="375"/>
      <x:c r="AFA9" s="375"/>
      <x:c r="AFB9" s="375"/>
      <x:c r="AFC9" s="375"/>
      <x:c r="AFD9" s="375"/>
      <x:c r="AFE9" s="375"/>
      <x:c r="AFF9" s="375"/>
      <x:c r="AFG9" s="375"/>
      <x:c r="AFH9" s="375"/>
      <x:c r="AFI9" s="375"/>
      <x:c r="AFJ9" s="375"/>
      <x:c r="AFK9" s="375"/>
      <x:c r="AFL9" s="375"/>
      <x:c r="AFM9" s="375"/>
      <x:c r="AFN9" s="375"/>
      <x:c r="AFO9" s="375"/>
      <x:c r="AFP9" s="375"/>
      <x:c r="AFQ9" s="375"/>
      <x:c r="AFR9" s="375"/>
      <x:c r="AFS9" s="375"/>
      <x:c r="AFT9" s="375"/>
      <x:c r="AFU9" s="375"/>
      <x:c r="AFV9" s="375"/>
      <x:c r="AFW9" s="375"/>
      <x:c r="AFX9" s="375"/>
      <x:c r="AFY9" s="375"/>
      <x:c r="AFZ9" s="375"/>
      <x:c r="AGA9" s="375"/>
      <x:c r="AGB9" s="375"/>
      <x:c r="AGC9" s="375"/>
      <x:c r="AGD9" s="375"/>
      <x:c r="AGE9" s="375"/>
      <x:c r="AGF9" s="375"/>
      <x:c r="AGG9" s="375"/>
      <x:c r="AGH9" s="375"/>
      <x:c r="AGI9" s="375"/>
      <x:c r="AGJ9" s="375"/>
      <x:c r="AGK9" s="375"/>
      <x:c r="AGL9" s="375"/>
      <x:c r="AGM9" s="375"/>
      <x:c r="AGN9" s="375"/>
      <x:c r="AGO9" s="375"/>
      <x:c r="AGP9" s="375"/>
      <x:c r="AGQ9" s="375"/>
      <x:c r="AGR9" s="375"/>
      <x:c r="AGS9" s="375"/>
      <x:c r="AGT9" s="375"/>
      <x:c r="AGU9" s="375"/>
      <x:c r="AGV9" s="375"/>
      <x:c r="AGW9" s="375"/>
      <x:c r="AGX9" s="375"/>
      <x:c r="AGY9" s="375"/>
      <x:c r="AGZ9" s="375"/>
      <x:c r="AHA9" s="375"/>
      <x:c r="AHB9" s="375"/>
      <x:c r="AHC9" s="375"/>
      <x:c r="AHD9" s="375"/>
      <x:c r="AHE9" s="375"/>
      <x:c r="AHF9" s="375"/>
      <x:c r="AHG9" s="375"/>
      <x:c r="AHH9" s="375"/>
      <x:c r="AHI9" s="375"/>
      <x:c r="AHJ9" s="375"/>
      <x:c r="AHK9" s="375"/>
      <x:c r="AHL9" s="375"/>
      <x:c r="AHM9" s="375"/>
      <x:c r="AHN9" s="375"/>
      <x:c r="AHO9" s="375"/>
      <x:c r="AHP9" s="375"/>
      <x:c r="AHQ9" s="375"/>
      <x:c r="AHR9" s="375"/>
      <x:c r="AHS9" s="375"/>
      <x:c r="AHT9" s="375"/>
      <x:c r="AHU9" s="375"/>
      <x:c r="AHV9" s="375"/>
      <x:c r="AHW9" s="375"/>
      <x:c r="AHX9" s="375"/>
      <x:c r="AHY9" s="375"/>
      <x:c r="AHZ9" s="375"/>
      <x:c r="AIA9" s="375"/>
      <x:c r="AIB9" s="375"/>
      <x:c r="AIC9" s="375"/>
      <x:c r="AID9" s="375"/>
      <x:c r="AIE9" s="375"/>
      <x:c r="AIF9" s="375"/>
      <x:c r="AIG9" s="375"/>
      <x:c r="AIH9" s="375"/>
      <x:c r="AII9" s="375"/>
      <x:c r="AIJ9" s="375"/>
      <x:c r="AIK9" s="375"/>
      <x:c r="AIL9" s="375"/>
      <x:c r="AIM9" s="375"/>
      <x:c r="AIN9" s="375"/>
      <x:c r="AIO9" s="375"/>
      <x:c r="AIP9" s="375"/>
      <x:c r="AIQ9" s="375"/>
      <x:c r="AIR9" s="375"/>
      <x:c r="AIS9" s="375"/>
      <x:c r="AIT9" s="375"/>
      <x:c r="AIU9" s="375"/>
      <x:c r="AIV9" s="375"/>
      <x:c r="AIW9" s="375"/>
      <x:c r="AIX9" s="375"/>
      <x:c r="AIY9" s="375"/>
      <x:c r="AIZ9" s="375"/>
      <x:c r="AJA9" s="375"/>
      <x:c r="AJB9" s="375"/>
      <x:c r="AJC9" s="375"/>
      <x:c r="AJD9" s="375"/>
      <x:c r="AJE9" s="375"/>
      <x:c r="AJF9" s="375"/>
      <x:c r="AJG9" s="375"/>
      <x:c r="AJH9" s="375"/>
      <x:c r="AJI9" s="375"/>
      <x:c r="AJJ9" s="375"/>
      <x:c r="AJK9" s="375"/>
      <x:c r="AJL9" s="375"/>
      <x:c r="AJM9" s="375"/>
      <x:c r="AJN9" s="375"/>
      <x:c r="AJO9" s="375"/>
      <x:c r="AJP9" s="375"/>
      <x:c r="AJQ9" s="375"/>
      <x:c r="AJR9" s="375"/>
      <x:c r="AJS9" s="375"/>
      <x:c r="AJT9" s="375"/>
      <x:c r="AJU9" s="375"/>
      <x:c r="AJV9" s="375"/>
      <x:c r="AJW9" s="375"/>
      <x:c r="AJX9" s="375"/>
      <x:c r="AJY9" s="375"/>
      <x:c r="AJZ9" s="375"/>
      <x:c r="AKA9" s="375"/>
      <x:c r="AKB9" s="375"/>
      <x:c r="AKC9" s="375"/>
      <x:c r="AKD9" s="375"/>
      <x:c r="AKE9" s="375"/>
      <x:c r="AKF9" s="375"/>
      <x:c r="AKG9" s="375"/>
      <x:c r="AKH9" s="375"/>
      <x:c r="AKI9" s="375"/>
      <x:c r="AKJ9" s="375"/>
      <x:c r="AKK9" s="375"/>
      <x:c r="AKL9" s="375"/>
      <x:c r="AKM9" s="375"/>
      <x:c r="AKN9" s="375"/>
      <x:c r="AKO9" s="375"/>
      <x:c r="AKP9" s="375"/>
      <x:c r="AKQ9" s="375"/>
      <x:c r="AKR9" s="375"/>
      <x:c r="AKS9" s="375"/>
      <x:c r="AKT9" s="375"/>
      <x:c r="AKU9" s="375"/>
      <x:c r="AKV9" s="375"/>
      <x:c r="AKW9" s="375"/>
      <x:c r="AKX9" s="375"/>
      <x:c r="AKY9" s="375"/>
      <x:c r="AKZ9" s="375"/>
      <x:c r="ALA9" s="375"/>
      <x:c r="ALB9" s="375"/>
      <x:c r="ALC9" s="375"/>
      <x:c r="ALD9" s="375"/>
      <x:c r="ALE9" s="375"/>
      <x:c r="ALF9" s="375"/>
      <x:c r="ALG9" s="375"/>
      <x:c r="ALH9" s="375"/>
      <x:c r="ALI9" s="375"/>
      <x:c r="ALJ9" s="375"/>
      <x:c r="ALK9" s="375"/>
      <x:c r="ALL9" s="375"/>
      <x:c r="ALM9" s="375"/>
      <x:c r="ALN9" s="375"/>
      <x:c r="ALO9" s="375"/>
      <x:c r="ALP9" s="375"/>
      <x:c r="ALQ9" s="375"/>
      <x:c r="ALR9" s="375"/>
      <x:c r="ALS9" s="375"/>
      <x:c r="ALT9" s="375"/>
      <x:c r="ALU9" s="375"/>
      <x:c r="ALV9" s="375"/>
      <x:c r="ALW9" s="375"/>
      <x:c r="ALX9" s="375"/>
      <x:c r="ALY9" s="375"/>
      <x:c r="ALZ9" s="375"/>
      <x:c r="AMA9" s="375"/>
      <x:c r="AMB9" s="375"/>
      <x:c r="AMC9" s="375"/>
      <x:c r="AMD9" s="375"/>
      <x:c r="AME9" s="375"/>
      <x:c r="AMF9" s="375"/>
      <x:c r="AMG9" s="375"/>
      <x:c r="AMH9" s="375"/>
      <x:c r="AMI9" s="375"/>
      <x:c r="AMJ9" s="375"/>
      <x:c r="AMK9" s="375"/>
    </x:row>
    <x:row r="10" ht="68" hidden="0" customHeight="1">
      <x:c r="A10" s="316" t="str">
        <x:v>01-yurina-o-s-2</x:v>
      </x:c>
      <x:c r="B10" s="316" t="str">
        <x:v>yurina</x:v>
      </x:c>
      <x:c r="C10" s="316"/>
      <x:c r="D10" s="316"/>
      <x:c r="E10" s="316" t="str">
        <x:v>浦波嵐</x:v>
      </x:c>
      <x:c r="F10" s="316" t="str">
        <x:v>うらなみあらし</x:v>
      </x:c>
      <x:c r="G10" s="316" t="str">
        <x:v>浦波岚</x:v>
      </x:c>
      <x:c r="H10" s="316" t="str">
        <x:v>浦波岚</x:v>
      </x:c>
      <x:c r="I10" s="317"/>
      <x:c r="J10" s="316" t="str">
        <x:v>해안에 파랑 일며</x:v>
      </x:c>
      <x:c r="K10" s="114" t="str">
        <x:v>Uranami Storm</x:v>
      </x:c>
      <x:c r="L10" s="316"/>
      <x:c r="M10" s="316" t="str">
        <x:v>切札</x:v>
      </x:c>
      <x:c r="N10" s="316"/>
      <x:c r="O10" s="316"/>
      <x:c r="P10" s="316"/>
      <x:c r="Q10" s="316"/>
      <x:c r="R10" s="316" t="str">
        <x:v>攻撃</x:v>
      </x:c>
      <x:c r="S10" s="316" t="str">
        <x:v>対応</x:v>
      </x:c>
      <x:c r="T10" s="316" t="str">
        <x:v>0-10</x:v>
      </x:c>
      <x:c r="U10" s="318"/>
      <x:c r="V10" s="316" t="str">
        <x:v>2/-</x:v>
      </x:c>
      <x:c r="W10" s="318"/>
      <x:c r="X10" s="316"/>
      <x:c r="Y10" s="316"/>
      <x:c r="Z10" s="316" t="n">
        <x:v>3</x:v>
      </x:c>
      <x:c r="AA10" s="110"/>
      <x:c r="AB10" s="410"/>
      <x:c r="AC10" s="410"/>
      <x:c r="AD10" s="411"/>
      <x:c r="AE10" s="454" t="str">
        <x:v>終端
【攻撃後】対応した《攻撃》は-2/+0となる。</x:v>
      </x:c>
      <x:c r="AF10" s="455"/>
      <x:c r="AG10" s="497" t="str">
        <x:v>终端
【攻击后】被对应的《攻击》得-2/+0。</x:v>
      </x:c>
      <x:c r="AH10" s="440"/>
      <x:c r="AI10" s="495" t="str">
        <x:v>终端
【攻击后】被对应的《攻击》获得-2/+0。</x:v>
      </x:c>
      <x:c r="AJ10" s="444"/>
      <x:c r="AK10" s="488" t="str">
        <x:v>종단
【공격후】대응한 《공격》은 -2/+0이 된다.</x:v>
      </x:c>
      <x:c r="AL10" s="458"/>
      <x:c r="AM10" s="498" t="str">
        <x:v>Terminal
After Attack: The attack this card was played as a Reaction to gets -2/+0.</x:v>
      </x:c>
      <x:c r="AN10" s="444"/>
      <x:c r="AO10" s="439"/>
      <x:c r="AP10" s="439"/>
      <x:c r="AQ10" s="439"/>
      <x:c r="AR10" s="439"/>
      <x:c r="AS10" s="439"/>
      <x:c r="AT10" s="378" t="str">
        <x:f aca="0">IF(A10="", "","'"&amp;A10&amp;"': {megami: '"&amp;B10&amp;"'"&amp;IF(C10&lt;&gt;"",", anotherID: '"&amp;C10&amp;"', replace: '"&amp;D10&amp;"'","")&amp;", name: '"&amp;SUBSTITUTE(E10,"'","\'")&amp;"', nameEn: '"&amp;SUBSTITUTE(K10,"'","\'")&amp;"', nameZh: '"&amp;SUBSTITUTE(G10,"'","\'")&amp;"', nameZhG9: '"&amp;SUBSTITUTE(H10,"'","\'")&amp;"', nameKo: '"&amp;SUBSTITUTE(J10,"'","\'")&amp;"', ruby: '"&amp;F10&amp;"', rubyEn: '"&amp;L10&amp;IF(I10&lt;&gt;"", "', rubyZh: '"&amp;I10, "")&amp;"', baseType: '"&amp;IF(M10="通常札","normal",IF(M10="切札","special",IF(M10="追加札","extra",IF(M10="transform","transform",IF(M10="嵐","storm",IF(M10="兵員","troop",IF(M10="構想","plan",IF(M10="メインパーツ","mainParts",IF(M10="カスタムパーツ","customParts",IF(M10="運命","fate",IF(M10="仮想樹","virtualTree","")))))))))))&amp;"'"&amp;IF(N10="○",", extra: true","")&amp;IF(O10&lt;&gt;"",", extraFrom: '"&amp;O10&amp;"'","")&amp;IF(P10&lt;&gt;"",", exchangableTo: '"&amp;P10&amp;"'","")&amp;IF(Q10="○",", poison: true","")&amp;IF(R10&lt;&gt;"", ", type: '"&amp;IF(R10="攻撃","attack",IF(R10="行動","action",IF(R10="不定","variable",IF(R10="対応","reaction",IF(R10="全力","fullpower",IF(R10="付与","enhance",IF(R10="transform","transform","")))))))&amp;"'", "")&amp;IF(S10&lt;&gt;"",", subType: '"&amp;IF(S10="攻撃","attack",IF(S10="行動","action",IF(S10="不定","variable",IF(S10="対応","reaction",IF(S10="全力","fullpower",IF(S10="付与","enhance",IF(S10="transform","transform","")))))))&amp;"'","")&amp;""&amp;IF(T10&lt;&gt;"",",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textZhG9: '"&amp;SUBSTITUTE(SUBSTITUTE(SUBSTITUTE(AI10, CHAR(13), ""),CHAR(10),"\n"),"'","\'")&amp;IF(AH10&lt;&gt;"", "', textZhAdditional: '"&amp;SUBSTITUTE(SUBSTITUTE(AH10, CHAR(13), ""),CHAR(10),"\n"), "")&amp;IF(AK10&lt;&gt;"", "', textZhG9Additional: '"&amp;SUBSTITUTE(SUBSTITUTE(AK10, CHAR(13), ""),CHAR(10),"\n"), "")&amp;"', textKo: '"&amp;SUBSTITUTE(SUBSTITUTE(SUBSTITUTE(AM10, CHAR(13), ""),CHAR(10),"\n"),"'","\'")&amp;IF(AM10&lt;&gt;"", "', textKoAdditional: '"&amp;SUBSTITUTE(SUBSTITUTE(AM10, CHAR(13), ""),CHAR(10),"\n"), "")&amp;"', textEn: '"&amp;SUBSTITUTE(SUBSTITUTE(SUBSTITUTE(AM10, CHAR(13), ""),CHAR(10),"\n"),"'","\'")&amp;IF(AN10&lt;&gt;"", "', textEnAdditional: '"&amp;SUBSTITUTE(SUBSTITUTE(AN10, CHAR(13), ""),CHAR(10),"\n"), "")&amp;"'"&amp;IF(AB10="○",", sealable: true","")&amp;IF(AC10="○",", removable: true","")&amp;IF(AA10="○",", lie: true","")&amp;IF(AD10="○",", investable: true","")&amp;"},")</x:f>
        <x:v>'01-yurina-o-s-2': {megami: 'yurina', name: '浦波嵐', nameEn: 'Uranami Storm', nameZh: '浦波岚', nameZhG9: '浦波岚', nameKo: '해안에 파랑 일며', ruby: 'うらなみあらし', rubyEn: '', baseType: 'special', type: 'attack', subType: 'reaction', range: '0-10', damage: '2/-', cost: '3', text: '終端\n【攻撃後】対応した《攻撃》は-2/+0となる。', textZh: '终端\n【攻击后】被对应的《攻击》得-2/+0。', textZhG9: '终端\n【攻击后】被对应的《攻击》获得-2/+0。', textZhG9Additional: '종단\n【공격후】대응한 《공격》은 -2/+0이 된다.', textKo: 'Terminal\n\nAfter Attack: The attack this card was played as a Reaction to gets -2/+0.', textKoAdditional: 'Terminal\n\nAfter Attack: The attack this card was played as a Reaction to gets -2/+0.', textEn: 'Terminal\n\nAfter Attack: The attack this card was played as a Reaction to gets -2/+0.'},</x:v>
      </x:c>
      <x:c r="AU10" s="379" t="str">
        <x:f aca="0">IF($A10&lt;&gt;"", "    /** 《"&amp;$E10&amp;"》 */ export const "&amp;SUBSTITUTE(UPPER(IF(MID($A10, 3, 1)="-", RIGHT($A10,LEN($A10)-3), $A10)), "-", "_")&amp;": TCardId = '"&amp;$A10&amp;"';", "")</x:f>
        <x:v>    /** 《浦波嵐》 */ export const YURINA_O_S_2: TCardId = '01-yurina-o-s-2';</x:v>
      </x:c>
      <x:c r="AV10" s="380" t="str">
        <x:f aca="0">IF($A11&lt;&gt;"", "    | '"&amp;$A11&amp;"'", "")</x:f>
        <x:v>    | '01-yurina-o-s-3'</x:v>
      </x:c>
      <x:c r="AW10" s="381"/>
      <x:c r="AX10" s="381"/>
      <x:c r="AY10" s="381"/>
      <x:c r="AZ10" s="381"/>
      <x:c r="BA10" s="381"/>
      <x:c r="BB10" s="381"/>
      <x:c r="BC10" s="381"/>
      <x:c r="BD10" s="381"/>
      <x:c r="BE10" s="381"/>
      <x:c r="BF10" s="381"/>
      <x:c r="BG10" s="381"/>
      <x:c r="BH10" s="381"/>
      <x:c r="BI10" s="381"/>
      <x:c r="BJ10" s="381"/>
      <x:c r="BK10" s="381"/>
      <x:c r="BL10" s="381"/>
      <x:c r="BM10" s="381"/>
      <x:c r="BN10" s="381"/>
      <x:c r="BO10" s="381"/>
      <x:c r="BP10" s="381"/>
      <x:c r="BQ10" s="375"/>
      <x:c r="BR10" s="375"/>
      <x:c r="BS10" s="375"/>
      <x:c r="BT10" s="375"/>
      <x:c r="BU10" s="375"/>
      <x:c r="BV10" s="375"/>
      <x:c r="BW10" s="375"/>
      <x:c r="BX10" s="375"/>
      <x:c r="BY10" s="375"/>
      <x:c r="BZ10" s="375"/>
      <x:c r="CA10" s="375"/>
      <x:c r="CB10" s="375"/>
      <x:c r="CC10" s="375"/>
      <x:c r="CD10" s="375"/>
      <x:c r="CE10" s="375"/>
      <x:c r="CF10" s="375"/>
      <x:c r="CG10" s="375"/>
      <x:c r="CH10" s="375"/>
      <x:c r="CI10" s="375"/>
      <x:c r="CJ10" s="375"/>
      <x:c r="CK10" s="375"/>
      <x:c r="CL10" s="375"/>
      <x:c r="CM10" s="375"/>
      <x:c r="CN10" s="375"/>
      <x:c r="CO10" s="375"/>
      <x:c r="CP10" s="375"/>
      <x:c r="CQ10" s="375"/>
      <x:c r="CR10" s="375"/>
      <x:c r="CS10" s="375"/>
      <x:c r="CT10" s="375"/>
      <x:c r="CU10" s="375"/>
      <x:c r="CV10" s="375"/>
      <x:c r="CW10" s="375"/>
      <x:c r="CX10" s="375"/>
      <x:c r="CY10" s="375"/>
      <x:c r="CZ10" s="375"/>
      <x:c r="DA10" s="375"/>
      <x:c r="DB10" s="375"/>
      <x:c r="DC10" s="375"/>
      <x:c r="DD10" s="375"/>
      <x:c r="DE10" s="375"/>
      <x:c r="DF10" s="375"/>
      <x:c r="DG10" s="375"/>
      <x:c r="DH10" s="375"/>
      <x:c r="DI10" s="375"/>
      <x:c r="DJ10" s="375"/>
      <x:c r="DK10" s="375"/>
      <x:c r="DL10" s="375"/>
      <x:c r="DM10" s="375"/>
      <x:c r="DN10" s="375"/>
      <x:c r="DO10" s="375"/>
      <x:c r="DP10" s="375"/>
      <x:c r="DQ10" s="375"/>
      <x:c r="DR10" s="375"/>
      <x:c r="DS10" s="375"/>
      <x:c r="DT10" s="375"/>
      <x:c r="DU10" s="375"/>
      <x:c r="DV10" s="375"/>
      <x:c r="DW10" s="375"/>
      <x:c r="DX10" s="375"/>
      <x:c r="DY10" s="375"/>
      <x:c r="DZ10" s="375"/>
      <x:c r="EA10" s="375"/>
      <x:c r="EB10" s="375"/>
      <x:c r="EC10" s="375"/>
      <x:c r="ED10" s="375"/>
      <x:c r="EE10" s="375"/>
      <x:c r="EF10" s="375"/>
      <x:c r="EG10" s="375"/>
      <x:c r="EH10" s="375"/>
      <x:c r="EI10" s="375"/>
      <x:c r="EJ10" s="375"/>
      <x:c r="EK10" s="375"/>
      <x:c r="EL10" s="375"/>
      <x:c r="EM10" s="375"/>
      <x:c r="EN10" s="375"/>
      <x:c r="EO10" s="375"/>
      <x:c r="EP10" s="375"/>
      <x:c r="EQ10" s="375"/>
      <x:c r="ER10" s="375"/>
      <x:c r="ES10" s="375"/>
      <x:c r="ET10" s="375"/>
      <x:c r="EU10" s="375"/>
      <x:c r="EV10" s="375"/>
      <x:c r="EW10" s="375"/>
      <x:c r="EX10" s="375"/>
      <x:c r="EY10" s="375"/>
      <x:c r="EZ10" s="375"/>
      <x:c r="FA10" s="375"/>
      <x:c r="FB10" s="375"/>
      <x:c r="FC10" s="375"/>
      <x:c r="FD10" s="375"/>
      <x:c r="FE10" s="375"/>
      <x:c r="FF10" s="375"/>
      <x:c r="FG10" s="375"/>
      <x:c r="FH10" s="375"/>
      <x:c r="FI10" s="375"/>
      <x:c r="FJ10" s="375"/>
      <x:c r="FK10" s="375"/>
      <x:c r="FL10" s="375"/>
      <x:c r="FM10" s="375"/>
      <x:c r="FN10" s="375"/>
      <x:c r="FO10" s="375"/>
      <x:c r="FP10" s="375"/>
      <x:c r="FQ10" s="375"/>
      <x:c r="FR10" s="375"/>
      <x:c r="FS10" s="375"/>
      <x:c r="FT10" s="375"/>
      <x:c r="FU10" s="375"/>
      <x:c r="FV10" s="375"/>
      <x:c r="FW10" s="375"/>
      <x:c r="FX10" s="375"/>
      <x:c r="FY10" s="375"/>
      <x:c r="FZ10" s="375"/>
      <x:c r="GA10" s="375"/>
      <x:c r="GB10" s="375"/>
      <x:c r="GC10" s="375"/>
      <x:c r="GD10" s="375"/>
      <x:c r="GE10" s="375"/>
      <x:c r="GF10" s="375"/>
      <x:c r="GG10" s="375"/>
      <x:c r="GH10" s="375"/>
      <x:c r="GI10" s="375"/>
      <x:c r="GJ10" s="375"/>
      <x:c r="GK10" s="375"/>
      <x:c r="GL10" s="375"/>
      <x:c r="GM10" s="375"/>
      <x:c r="GN10" s="375"/>
      <x:c r="GO10" s="375"/>
      <x:c r="GP10" s="375"/>
      <x:c r="GQ10" s="375"/>
      <x:c r="GR10" s="375"/>
      <x:c r="GS10" s="375"/>
      <x:c r="GT10" s="375"/>
      <x:c r="GU10" s="375"/>
      <x:c r="GV10" s="375"/>
      <x:c r="GW10" s="375"/>
      <x:c r="GX10" s="375"/>
      <x:c r="GY10" s="375"/>
      <x:c r="GZ10" s="375"/>
      <x:c r="HA10" s="375"/>
      <x:c r="HB10" s="375"/>
      <x:c r="HC10" s="375"/>
      <x:c r="HD10" s="375"/>
      <x:c r="HE10" s="375"/>
      <x:c r="HF10" s="375"/>
      <x:c r="HG10" s="375"/>
      <x:c r="HH10" s="375"/>
      <x:c r="HI10" s="375"/>
      <x:c r="HJ10" s="375"/>
      <x:c r="HK10" s="375"/>
      <x:c r="HL10" s="375"/>
      <x:c r="HM10" s="375"/>
      <x:c r="HN10" s="375"/>
      <x:c r="HO10" s="375"/>
      <x:c r="HP10" s="375"/>
      <x:c r="HQ10" s="375"/>
      <x:c r="HR10" s="375"/>
      <x:c r="HS10" s="375"/>
      <x:c r="HT10" s="375"/>
      <x:c r="HU10" s="375"/>
      <x:c r="HV10" s="375"/>
      <x:c r="HW10" s="375"/>
      <x:c r="HX10" s="375"/>
      <x:c r="HY10" s="375"/>
      <x:c r="HZ10" s="375"/>
      <x:c r="IA10" s="375"/>
      <x:c r="IB10" s="375"/>
      <x:c r="IC10" s="375"/>
      <x:c r="ID10" s="375"/>
      <x:c r="IE10" s="375"/>
      <x:c r="IF10" s="375"/>
      <x:c r="IG10" s="375"/>
      <x:c r="IH10" s="375"/>
      <x:c r="II10" s="375"/>
      <x:c r="IJ10" s="375"/>
      <x:c r="IK10" s="375"/>
      <x:c r="IL10" s="375"/>
      <x:c r="IM10" s="375"/>
      <x:c r="IN10" s="375"/>
      <x:c r="IO10" s="375"/>
      <x:c r="IP10" s="375"/>
      <x:c r="IQ10" s="375"/>
      <x:c r="IR10" s="375"/>
      <x:c r="IS10" s="375"/>
      <x:c r="IT10" s="375"/>
      <x:c r="IU10" s="375"/>
      <x:c r="IV10" s="375"/>
      <x:c r="IW10" s="375"/>
      <x:c r="IX10" s="375"/>
      <x:c r="IY10" s="375"/>
      <x:c r="IZ10" s="375"/>
      <x:c r="JA10" s="375"/>
      <x:c r="JB10" s="375"/>
      <x:c r="JC10" s="375"/>
      <x:c r="JD10" s="375"/>
      <x:c r="JE10" s="375"/>
      <x:c r="JF10" s="375"/>
      <x:c r="JG10" s="375"/>
      <x:c r="JH10" s="375"/>
      <x:c r="JI10" s="375"/>
      <x:c r="JJ10" s="375"/>
      <x:c r="JK10" s="375"/>
      <x:c r="JL10" s="375"/>
      <x:c r="JM10" s="375"/>
      <x:c r="JN10" s="375"/>
      <x:c r="JO10" s="375"/>
      <x:c r="JP10" s="375"/>
      <x:c r="JQ10" s="375"/>
      <x:c r="JR10" s="375"/>
      <x:c r="JS10" s="375"/>
      <x:c r="JT10" s="375"/>
      <x:c r="JU10" s="375"/>
      <x:c r="JV10" s="375"/>
      <x:c r="JW10" s="375"/>
      <x:c r="JX10" s="375"/>
      <x:c r="JY10" s="375"/>
      <x:c r="JZ10" s="375"/>
      <x:c r="KA10" s="375"/>
      <x:c r="KB10" s="375"/>
      <x:c r="KC10" s="375"/>
      <x:c r="KD10" s="375"/>
      <x:c r="KE10" s="375"/>
      <x:c r="KF10" s="375"/>
      <x:c r="KG10" s="375"/>
      <x:c r="KH10" s="375"/>
      <x:c r="KI10" s="375"/>
      <x:c r="KJ10" s="375"/>
      <x:c r="KK10" s="375"/>
      <x:c r="KL10" s="375"/>
      <x:c r="KM10" s="375"/>
      <x:c r="KN10" s="375"/>
      <x:c r="KO10" s="375"/>
      <x:c r="KP10" s="375"/>
      <x:c r="KQ10" s="375"/>
      <x:c r="KR10" s="375"/>
      <x:c r="KS10" s="375"/>
      <x:c r="KT10" s="375"/>
      <x:c r="KU10" s="375"/>
      <x:c r="KV10" s="375"/>
      <x:c r="KW10" s="375"/>
      <x:c r="KX10" s="375"/>
      <x:c r="KY10" s="375"/>
      <x:c r="KZ10" s="375"/>
      <x:c r="LA10" s="375"/>
      <x:c r="LB10" s="375"/>
      <x:c r="LC10" s="375"/>
      <x:c r="LD10" s="375"/>
      <x:c r="LE10" s="375"/>
      <x:c r="LF10" s="375"/>
      <x:c r="LG10" s="375"/>
      <x:c r="LH10" s="375"/>
      <x:c r="LI10" s="375"/>
      <x:c r="LJ10" s="375"/>
      <x:c r="LK10" s="375"/>
      <x:c r="LL10" s="375"/>
      <x:c r="LM10" s="375"/>
      <x:c r="LN10" s="375"/>
      <x:c r="LO10" s="375"/>
      <x:c r="LP10" s="375"/>
      <x:c r="LQ10" s="375"/>
      <x:c r="LR10" s="375"/>
      <x:c r="LS10" s="375"/>
      <x:c r="LT10" s="375"/>
      <x:c r="LU10" s="375"/>
      <x:c r="LV10" s="375"/>
      <x:c r="LW10" s="375"/>
      <x:c r="LX10" s="375"/>
      <x:c r="LY10" s="375"/>
      <x:c r="LZ10" s="375"/>
      <x:c r="MA10" s="375"/>
      <x:c r="MB10" s="375"/>
      <x:c r="MC10" s="375"/>
      <x:c r="MD10" s="375"/>
      <x:c r="ME10" s="375"/>
      <x:c r="MF10" s="375"/>
      <x:c r="MG10" s="375"/>
      <x:c r="MH10" s="375"/>
      <x:c r="MI10" s="375"/>
      <x:c r="MJ10" s="375"/>
      <x:c r="MK10" s="375"/>
      <x:c r="ML10" s="375"/>
      <x:c r="MM10" s="375"/>
      <x:c r="MN10" s="375"/>
      <x:c r="MO10" s="375"/>
      <x:c r="MP10" s="375"/>
      <x:c r="MQ10" s="375"/>
      <x:c r="MR10" s="375"/>
      <x:c r="MS10" s="375"/>
      <x:c r="MT10" s="375"/>
      <x:c r="MU10" s="375"/>
      <x:c r="MV10" s="375"/>
      <x:c r="MW10" s="375"/>
      <x:c r="MX10" s="375"/>
      <x:c r="MY10" s="375"/>
      <x:c r="MZ10" s="375"/>
      <x:c r="NA10" s="375"/>
      <x:c r="NB10" s="375"/>
      <x:c r="NC10" s="375"/>
      <x:c r="ND10" s="375"/>
      <x:c r="NE10" s="375"/>
      <x:c r="NF10" s="375"/>
      <x:c r="NG10" s="375"/>
      <x:c r="NH10" s="375"/>
      <x:c r="NI10" s="375"/>
      <x:c r="NJ10" s="375"/>
      <x:c r="NK10" s="375"/>
      <x:c r="NL10" s="375"/>
      <x:c r="NM10" s="375"/>
      <x:c r="NN10" s="375"/>
      <x:c r="NO10" s="375"/>
      <x:c r="NP10" s="375"/>
      <x:c r="NQ10" s="375"/>
      <x:c r="NR10" s="375"/>
      <x:c r="NS10" s="375"/>
      <x:c r="NT10" s="375"/>
      <x:c r="NU10" s="375"/>
      <x:c r="NV10" s="375"/>
      <x:c r="NW10" s="375"/>
      <x:c r="NX10" s="375"/>
      <x:c r="NY10" s="375"/>
      <x:c r="NZ10" s="375"/>
      <x:c r="OA10" s="375"/>
      <x:c r="OB10" s="375"/>
      <x:c r="OC10" s="375"/>
      <x:c r="OD10" s="375"/>
      <x:c r="OE10" s="375"/>
      <x:c r="OF10" s="375"/>
      <x:c r="OG10" s="375"/>
      <x:c r="OH10" s="375"/>
      <x:c r="OI10" s="375"/>
      <x:c r="OJ10" s="375"/>
      <x:c r="OK10" s="375"/>
      <x:c r="OL10" s="375"/>
      <x:c r="OM10" s="375"/>
      <x:c r="ON10" s="375"/>
      <x:c r="OO10" s="375"/>
      <x:c r="OP10" s="375"/>
      <x:c r="OQ10" s="375"/>
      <x:c r="OR10" s="375"/>
      <x:c r="OS10" s="375"/>
      <x:c r="OT10" s="375"/>
      <x:c r="OU10" s="375"/>
      <x:c r="OV10" s="375"/>
      <x:c r="OW10" s="375"/>
      <x:c r="OX10" s="375"/>
      <x:c r="OY10" s="375"/>
      <x:c r="OZ10" s="375"/>
      <x:c r="PA10" s="375"/>
      <x:c r="PB10" s="375"/>
      <x:c r="PC10" s="375"/>
      <x:c r="PD10" s="375"/>
      <x:c r="PE10" s="375"/>
      <x:c r="PF10" s="375"/>
      <x:c r="PG10" s="375"/>
      <x:c r="PH10" s="375"/>
      <x:c r="PI10" s="375"/>
      <x:c r="PJ10" s="375"/>
      <x:c r="PK10" s="375"/>
      <x:c r="PL10" s="375"/>
      <x:c r="PM10" s="375"/>
      <x:c r="PN10" s="375"/>
      <x:c r="PO10" s="375"/>
      <x:c r="PP10" s="375"/>
      <x:c r="PQ10" s="375"/>
      <x:c r="PR10" s="375"/>
      <x:c r="PS10" s="375"/>
      <x:c r="PT10" s="375"/>
      <x:c r="PU10" s="375"/>
      <x:c r="PV10" s="375"/>
      <x:c r="PW10" s="375"/>
      <x:c r="PX10" s="375"/>
      <x:c r="PY10" s="375"/>
      <x:c r="PZ10" s="375"/>
      <x:c r="QA10" s="375"/>
      <x:c r="QB10" s="375"/>
      <x:c r="QC10" s="375"/>
      <x:c r="QD10" s="375"/>
      <x:c r="QE10" s="375"/>
      <x:c r="QF10" s="375"/>
      <x:c r="QG10" s="375"/>
      <x:c r="QH10" s="375"/>
      <x:c r="QI10" s="375"/>
      <x:c r="QJ10" s="375"/>
      <x:c r="QK10" s="375"/>
      <x:c r="QL10" s="375"/>
      <x:c r="QM10" s="375"/>
      <x:c r="QN10" s="375"/>
      <x:c r="QO10" s="375"/>
      <x:c r="QP10" s="375"/>
      <x:c r="QQ10" s="375"/>
      <x:c r="QR10" s="375"/>
      <x:c r="QS10" s="375"/>
      <x:c r="QT10" s="375"/>
      <x:c r="QU10" s="375"/>
      <x:c r="QV10" s="375"/>
      <x:c r="QW10" s="375"/>
      <x:c r="QX10" s="375"/>
      <x:c r="QY10" s="375"/>
      <x:c r="QZ10" s="375"/>
      <x:c r="RA10" s="375"/>
      <x:c r="RB10" s="375"/>
      <x:c r="RC10" s="375"/>
      <x:c r="RD10" s="375"/>
      <x:c r="RE10" s="375"/>
      <x:c r="RF10" s="375"/>
      <x:c r="RG10" s="375"/>
      <x:c r="RH10" s="375"/>
      <x:c r="RI10" s="375"/>
      <x:c r="RJ10" s="375"/>
      <x:c r="RK10" s="375"/>
      <x:c r="RL10" s="375"/>
      <x:c r="RM10" s="375"/>
      <x:c r="RN10" s="375"/>
      <x:c r="RO10" s="375"/>
      <x:c r="RP10" s="375"/>
      <x:c r="RQ10" s="375"/>
      <x:c r="RR10" s="375"/>
      <x:c r="RS10" s="375"/>
      <x:c r="RT10" s="375"/>
      <x:c r="RU10" s="375"/>
      <x:c r="RV10" s="375"/>
      <x:c r="RW10" s="375"/>
      <x:c r="RX10" s="375"/>
      <x:c r="RY10" s="375"/>
      <x:c r="RZ10" s="375"/>
      <x:c r="SA10" s="375"/>
      <x:c r="SB10" s="375"/>
      <x:c r="SC10" s="375"/>
      <x:c r="SD10" s="375"/>
      <x:c r="SE10" s="375"/>
      <x:c r="SF10" s="375"/>
      <x:c r="SG10" s="375"/>
      <x:c r="SH10" s="375"/>
      <x:c r="SI10" s="375"/>
      <x:c r="SJ10" s="375"/>
      <x:c r="SK10" s="375"/>
      <x:c r="SL10" s="375"/>
      <x:c r="SM10" s="375"/>
      <x:c r="SN10" s="375"/>
      <x:c r="SO10" s="375"/>
      <x:c r="SP10" s="375"/>
      <x:c r="SQ10" s="375"/>
      <x:c r="SR10" s="375"/>
      <x:c r="SS10" s="375"/>
      <x:c r="ST10" s="375"/>
      <x:c r="SU10" s="375"/>
      <x:c r="SV10" s="375"/>
      <x:c r="SW10" s="375"/>
      <x:c r="SX10" s="375"/>
      <x:c r="SY10" s="375"/>
      <x:c r="SZ10" s="375"/>
      <x:c r="TA10" s="375"/>
      <x:c r="TB10" s="375"/>
      <x:c r="TC10" s="375"/>
      <x:c r="TD10" s="375"/>
      <x:c r="TE10" s="375"/>
      <x:c r="TF10" s="375"/>
      <x:c r="TG10" s="375"/>
      <x:c r="TH10" s="375"/>
      <x:c r="TI10" s="375"/>
      <x:c r="TJ10" s="375"/>
      <x:c r="TK10" s="375"/>
      <x:c r="TL10" s="375"/>
      <x:c r="TM10" s="375"/>
      <x:c r="TN10" s="375"/>
      <x:c r="TO10" s="375"/>
      <x:c r="TP10" s="375"/>
      <x:c r="TQ10" s="375"/>
      <x:c r="TR10" s="375"/>
      <x:c r="TS10" s="375"/>
      <x:c r="TT10" s="375"/>
      <x:c r="TU10" s="375"/>
      <x:c r="TV10" s="375"/>
      <x:c r="TW10" s="375"/>
      <x:c r="TX10" s="375"/>
      <x:c r="TY10" s="375"/>
      <x:c r="TZ10" s="375"/>
      <x:c r="UA10" s="375"/>
      <x:c r="UB10" s="375"/>
      <x:c r="UC10" s="375"/>
      <x:c r="UD10" s="375"/>
      <x:c r="UE10" s="375"/>
      <x:c r="UF10" s="375"/>
      <x:c r="UG10" s="375"/>
      <x:c r="UH10" s="375"/>
      <x:c r="UI10" s="375"/>
      <x:c r="UJ10" s="375"/>
      <x:c r="UK10" s="375"/>
      <x:c r="UL10" s="375"/>
      <x:c r="UM10" s="375"/>
      <x:c r="UN10" s="375"/>
      <x:c r="UO10" s="375"/>
      <x:c r="UP10" s="375"/>
      <x:c r="UQ10" s="375"/>
      <x:c r="UR10" s="375"/>
      <x:c r="US10" s="375"/>
      <x:c r="UT10" s="375"/>
      <x:c r="UU10" s="375"/>
      <x:c r="UV10" s="375"/>
      <x:c r="UW10" s="375"/>
      <x:c r="UX10" s="375"/>
      <x:c r="UY10" s="375"/>
      <x:c r="UZ10" s="375"/>
      <x:c r="VA10" s="375"/>
      <x:c r="VB10" s="375"/>
      <x:c r="VC10" s="375"/>
      <x:c r="VD10" s="375"/>
      <x:c r="VE10" s="375"/>
      <x:c r="VF10" s="375"/>
      <x:c r="VG10" s="375"/>
      <x:c r="VH10" s="375"/>
      <x:c r="VI10" s="375"/>
      <x:c r="VJ10" s="375"/>
      <x:c r="VK10" s="375"/>
      <x:c r="VL10" s="375"/>
      <x:c r="VM10" s="375"/>
      <x:c r="VN10" s="375"/>
      <x:c r="VO10" s="375"/>
      <x:c r="VP10" s="375"/>
      <x:c r="VQ10" s="375"/>
      <x:c r="VR10" s="375"/>
      <x:c r="VS10" s="375"/>
      <x:c r="VT10" s="375"/>
      <x:c r="VU10" s="375"/>
      <x:c r="VV10" s="375"/>
      <x:c r="VW10" s="375"/>
      <x:c r="VX10" s="375"/>
      <x:c r="VY10" s="375"/>
      <x:c r="VZ10" s="375"/>
      <x:c r="WA10" s="375"/>
      <x:c r="WB10" s="375"/>
      <x:c r="WC10" s="375"/>
      <x:c r="WD10" s="375"/>
      <x:c r="WE10" s="375"/>
      <x:c r="WF10" s="375"/>
      <x:c r="WG10" s="375"/>
      <x:c r="WH10" s="375"/>
      <x:c r="WI10" s="375"/>
      <x:c r="WJ10" s="375"/>
      <x:c r="WK10" s="375"/>
      <x:c r="WL10" s="375"/>
      <x:c r="WM10" s="375"/>
      <x:c r="WN10" s="375"/>
      <x:c r="WO10" s="375"/>
      <x:c r="WP10" s="375"/>
      <x:c r="WQ10" s="375"/>
      <x:c r="WR10" s="375"/>
      <x:c r="WS10" s="375"/>
      <x:c r="WT10" s="375"/>
      <x:c r="WU10" s="375"/>
      <x:c r="WV10" s="375"/>
      <x:c r="WW10" s="375"/>
      <x:c r="WX10" s="375"/>
      <x:c r="WY10" s="375"/>
      <x:c r="WZ10" s="375"/>
      <x:c r="XA10" s="375"/>
      <x:c r="XB10" s="375"/>
      <x:c r="XC10" s="375"/>
      <x:c r="XD10" s="375"/>
      <x:c r="XE10" s="375"/>
      <x:c r="XF10" s="375"/>
      <x:c r="XG10" s="375"/>
      <x:c r="XH10" s="375"/>
      <x:c r="XI10" s="375"/>
      <x:c r="XJ10" s="375"/>
      <x:c r="XK10" s="375"/>
      <x:c r="XL10" s="375"/>
      <x:c r="XM10" s="375"/>
      <x:c r="XN10" s="375"/>
      <x:c r="XO10" s="375"/>
      <x:c r="XP10" s="375"/>
      <x:c r="XQ10" s="375"/>
      <x:c r="XR10" s="375"/>
      <x:c r="XS10" s="375"/>
      <x:c r="XT10" s="375"/>
      <x:c r="XU10" s="375"/>
      <x:c r="XV10" s="375"/>
      <x:c r="XW10" s="375"/>
      <x:c r="XX10" s="375"/>
      <x:c r="XY10" s="375"/>
      <x:c r="XZ10" s="375"/>
      <x:c r="YA10" s="375"/>
      <x:c r="YB10" s="375"/>
      <x:c r="YC10" s="375"/>
      <x:c r="YD10" s="375"/>
      <x:c r="YE10" s="375"/>
      <x:c r="YF10" s="375"/>
      <x:c r="YG10" s="375"/>
      <x:c r="YH10" s="375"/>
      <x:c r="YI10" s="375"/>
      <x:c r="YJ10" s="375"/>
      <x:c r="YK10" s="375"/>
      <x:c r="YL10" s="375"/>
      <x:c r="YM10" s="375"/>
      <x:c r="YN10" s="375"/>
      <x:c r="YO10" s="375"/>
      <x:c r="YP10" s="375"/>
      <x:c r="YQ10" s="375"/>
      <x:c r="YR10" s="375"/>
      <x:c r="YS10" s="375"/>
      <x:c r="YT10" s="375"/>
      <x:c r="YU10" s="375"/>
      <x:c r="YV10" s="375"/>
      <x:c r="YW10" s="375"/>
      <x:c r="YX10" s="375"/>
      <x:c r="YY10" s="375"/>
      <x:c r="YZ10" s="375"/>
      <x:c r="ZA10" s="375"/>
      <x:c r="ZB10" s="375"/>
      <x:c r="ZC10" s="375"/>
      <x:c r="ZD10" s="375"/>
      <x:c r="ZE10" s="375"/>
      <x:c r="ZF10" s="375"/>
      <x:c r="ZG10" s="375"/>
      <x:c r="ZH10" s="375"/>
      <x:c r="ZI10" s="375"/>
      <x:c r="ZJ10" s="375"/>
      <x:c r="ZK10" s="375"/>
      <x:c r="ZL10" s="375"/>
      <x:c r="ZM10" s="375"/>
      <x:c r="ZN10" s="375"/>
      <x:c r="ZO10" s="375"/>
      <x:c r="ZP10" s="375"/>
      <x:c r="ZQ10" s="375"/>
      <x:c r="ZR10" s="375"/>
      <x:c r="ZS10" s="375"/>
      <x:c r="ZT10" s="375"/>
      <x:c r="ZU10" s="375"/>
      <x:c r="ZV10" s="375"/>
      <x:c r="ZW10" s="375"/>
      <x:c r="ZX10" s="375"/>
      <x:c r="ZY10" s="375"/>
      <x:c r="ZZ10" s="375"/>
      <x:c r="AAA10" s="375"/>
      <x:c r="AAB10" s="375"/>
      <x:c r="AAC10" s="375"/>
      <x:c r="AAD10" s="375"/>
      <x:c r="AAE10" s="375"/>
      <x:c r="AAF10" s="375"/>
      <x:c r="AAG10" s="375"/>
      <x:c r="AAH10" s="375"/>
      <x:c r="AAI10" s="375"/>
      <x:c r="AAJ10" s="375"/>
      <x:c r="AAK10" s="375"/>
      <x:c r="AAL10" s="375"/>
      <x:c r="AAM10" s="375"/>
      <x:c r="AAN10" s="375"/>
      <x:c r="AAO10" s="375"/>
      <x:c r="AAP10" s="375"/>
      <x:c r="AAQ10" s="375"/>
      <x:c r="AAR10" s="375"/>
      <x:c r="AAS10" s="375"/>
      <x:c r="AAT10" s="375"/>
      <x:c r="AAU10" s="375"/>
      <x:c r="AAV10" s="375"/>
      <x:c r="AAW10" s="375"/>
      <x:c r="AAX10" s="375"/>
      <x:c r="AAY10" s="375"/>
      <x:c r="AAZ10" s="375"/>
      <x:c r="ABA10" s="375"/>
      <x:c r="ABB10" s="375"/>
      <x:c r="ABC10" s="375"/>
      <x:c r="ABD10" s="375"/>
      <x:c r="ABE10" s="375"/>
      <x:c r="ABF10" s="375"/>
      <x:c r="ABG10" s="375"/>
      <x:c r="ABH10" s="375"/>
      <x:c r="ABI10" s="375"/>
      <x:c r="ABJ10" s="375"/>
      <x:c r="ABK10" s="375"/>
      <x:c r="ABL10" s="375"/>
      <x:c r="ABM10" s="375"/>
      <x:c r="ABN10" s="375"/>
      <x:c r="ABO10" s="375"/>
      <x:c r="ABP10" s="375"/>
      <x:c r="ABQ10" s="375"/>
      <x:c r="ABR10" s="375"/>
      <x:c r="ABS10" s="375"/>
      <x:c r="ABT10" s="375"/>
      <x:c r="ABU10" s="375"/>
      <x:c r="ABV10" s="375"/>
      <x:c r="ABW10" s="375"/>
      <x:c r="ABX10" s="375"/>
      <x:c r="ABY10" s="375"/>
      <x:c r="ABZ10" s="375"/>
      <x:c r="ACA10" s="375"/>
      <x:c r="ACB10" s="375"/>
      <x:c r="ACC10" s="375"/>
      <x:c r="ACD10" s="375"/>
      <x:c r="ACE10" s="375"/>
      <x:c r="ACF10" s="375"/>
      <x:c r="ACG10" s="375"/>
      <x:c r="ACH10" s="375"/>
      <x:c r="ACI10" s="375"/>
      <x:c r="ACJ10" s="375"/>
      <x:c r="ACK10" s="375"/>
      <x:c r="ACL10" s="375"/>
      <x:c r="ACM10" s="375"/>
      <x:c r="ACN10" s="375"/>
      <x:c r="ACO10" s="375"/>
      <x:c r="ACP10" s="375"/>
      <x:c r="ACQ10" s="375"/>
      <x:c r="ACR10" s="375"/>
      <x:c r="ACS10" s="375"/>
      <x:c r="ACT10" s="375"/>
      <x:c r="ACU10" s="375"/>
      <x:c r="ACV10" s="375"/>
      <x:c r="ACW10" s="375"/>
      <x:c r="ACX10" s="375"/>
      <x:c r="ACY10" s="375"/>
      <x:c r="ACZ10" s="375"/>
      <x:c r="ADA10" s="375"/>
      <x:c r="ADB10" s="375"/>
      <x:c r="ADC10" s="375"/>
      <x:c r="ADD10" s="375"/>
      <x:c r="ADE10" s="375"/>
      <x:c r="ADF10" s="375"/>
      <x:c r="ADG10" s="375"/>
      <x:c r="ADH10" s="375"/>
      <x:c r="ADI10" s="375"/>
      <x:c r="ADJ10" s="375"/>
      <x:c r="ADK10" s="375"/>
      <x:c r="ADL10" s="375"/>
      <x:c r="ADM10" s="375"/>
      <x:c r="ADN10" s="375"/>
      <x:c r="ADO10" s="375"/>
      <x:c r="ADP10" s="375"/>
      <x:c r="ADQ10" s="375"/>
      <x:c r="ADR10" s="375"/>
      <x:c r="ADS10" s="375"/>
      <x:c r="ADT10" s="375"/>
      <x:c r="ADU10" s="375"/>
      <x:c r="ADV10" s="375"/>
      <x:c r="ADW10" s="375"/>
      <x:c r="ADX10" s="375"/>
      <x:c r="ADY10" s="375"/>
      <x:c r="ADZ10" s="375"/>
      <x:c r="AEA10" s="375"/>
      <x:c r="AEB10" s="375"/>
      <x:c r="AEC10" s="375"/>
      <x:c r="AED10" s="375"/>
      <x:c r="AEE10" s="375"/>
      <x:c r="AEF10" s="375"/>
      <x:c r="AEG10" s="375"/>
      <x:c r="AEH10" s="375"/>
      <x:c r="AEI10" s="375"/>
      <x:c r="AEJ10" s="375"/>
      <x:c r="AEK10" s="375"/>
      <x:c r="AEL10" s="375"/>
      <x:c r="AEM10" s="375"/>
      <x:c r="AEN10" s="375"/>
      <x:c r="AEO10" s="375"/>
      <x:c r="AEP10" s="375"/>
      <x:c r="AEQ10" s="375"/>
      <x:c r="AER10" s="375"/>
      <x:c r="AES10" s="375"/>
      <x:c r="AET10" s="375"/>
      <x:c r="AEU10" s="375"/>
      <x:c r="AEV10" s="375"/>
      <x:c r="AEW10" s="375"/>
      <x:c r="AEX10" s="375"/>
      <x:c r="AEY10" s="375"/>
      <x:c r="AEZ10" s="375"/>
      <x:c r="AFA10" s="375"/>
      <x:c r="AFB10" s="375"/>
      <x:c r="AFC10" s="375"/>
      <x:c r="AFD10" s="375"/>
      <x:c r="AFE10" s="375"/>
      <x:c r="AFF10" s="375"/>
      <x:c r="AFG10" s="375"/>
      <x:c r="AFH10" s="375"/>
      <x:c r="AFI10" s="375"/>
      <x:c r="AFJ10" s="375"/>
      <x:c r="AFK10" s="375"/>
      <x:c r="AFL10" s="375"/>
      <x:c r="AFM10" s="375"/>
      <x:c r="AFN10" s="375"/>
      <x:c r="AFO10" s="375"/>
      <x:c r="AFP10" s="375"/>
      <x:c r="AFQ10" s="375"/>
      <x:c r="AFR10" s="375"/>
      <x:c r="AFS10" s="375"/>
      <x:c r="AFT10" s="375"/>
      <x:c r="AFU10" s="375"/>
      <x:c r="AFV10" s="375"/>
      <x:c r="AFW10" s="375"/>
      <x:c r="AFX10" s="375"/>
      <x:c r="AFY10" s="375"/>
      <x:c r="AFZ10" s="375"/>
      <x:c r="AGA10" s="375"/>
      <x:c r="AGB10" s="375"/>
      <x:c r="AGC10" s="375"/>
      <x:c r="AGD10" s="375"/>
      <x:c r="AGE10" s="375"/>
      <x:c r="AGF10" s="375"/>
      <x:c r="AGG10" s="375"/>
      <x:c r="AGH10" s="375"/>
      <x:c r="AGI10" s="375"/>
      <x:c r="AGJ10" s="375"/>
      <x:c r="AGK10" s="375"/>
      <x:c r="AGL10" s="375"/>
      <x:c r="AGM10" s="375"/>
      <x:c r="AGN10" s="375"/>
      <x:c r="AGO10" s="375"/>
      <x:c r="AGP10" s="375"/>
      <x:c r="AGQ10" s="375"/>
      <x:c r="AGR10" s="375"/>
      <x:c r="AGS10" s="375"/>
      <x:c r="AGT10" s="375"/>
      <x:c r="AGU10" s="375"/>
      <x:c r="AGV10" s="375"/>
      <x:c r="AGW10" s="375"/>
      <x:c r="AGX10" s="375"/>
      <x:c r="AGY10" s="375"/>
      <x:c r="AGZ10" s="375"/>
      <x:c r="AHA10" s="375"/>
      <x:c r="AHB10" s="375"/>
      <x:c r="AHC10" s="375"/>
      <x:c r="AHD10" s="375"/>
      <x:c r="AHE10" s="375"/>
      <x:c r="AHF10" s="375"/>
      <x:c r="AHG10" s="375"/>
      <x:c r="AHH10" s="375"/>
      <x:c r="AHI10" s="375"/>
      <x:c r="AHJ10" s="375"/>
      <x:c r="AHK10" s="375"/>
      <x:c r="AHL10" s="375"/>
      <x:c r="AHM10" s="375"/>
      <x:c r="AHN10" s="375"/>
      <x:c r="AHO10" s="375"/>
      <x:c r="AHP10" s="375"/>
      <x:c r="AHQ10" s="375"/>
      <x:c r="AHR10" s="375"/>
      <x:c r="AHS10" s="375"/>
      <x:c r="AHT10" s="375"/>
      <x:c r="AHU10" s="375"/>
      <x:c r="AHV10" s="375"/>
      <x:c r="AHW10" s="375"/>
      <x:c r="AHX10" s="375"/>
      <x:c r="AHY10" s="375"/>
      <x:c r="AHZ10" s="375"/>
      <x:c r="AIA10" s="375"/>
      <x:c r="AIB10" s="375"/>
      <x:c r="AIC10" s="375"/>
      <x:c r="AID10" s="375"/>
      <x:c r="AIE10" s="375"/>
      <x:c r="AIF10" s="375"/>
      <x:c r="AIG10" s="375"/>
      <x:c r="AIH10" s="375"/>
      <x:c r="AII10" s="375"/>
      <x:c r="AIJ10" s="375"/>
      <x:c r="AIK10" s="375"/>
      <x:c r="AIL10" s="375"/>
      <x:c r="AIM10" s="375"/>
      <x:c r="AIN10" s="375"/>
      <x:c r="AIO10" s="375"/>
      <x:c r="AIP10" s="375"/>
      <x:c r="AIQ10" s="375"/>
      <x:c r="AIR10" s="375"/>
      <x:c r="AIS10" s="375"/>
      <x:c r="AIT10" s="375"/>
      <x:c r="AIU10" s="375"/>
      <x:c r="AIV10" s="375"/>
      <x:c r="AIW10" s="375"/>
      <x:c r="AIX10" s="375"/>
      <x:c r="AIY10" s="375"/>
      <x:c r="AIZ10" s="375"/>
      <x:c r="AJA10" s="375"/>
      <x:c r="AJB10" s="375"/>
      <x:c r="AJC10" s="375"/>
      <x:c r="AJD10" s="375"/>
      <x:c r="AJE10" s="375"/>
      <x:c r="AJF10" s="375"/>
      <x:c r="AJG10" s="375"/>
      <x:c r="AJH10" s="375"/>
      <x:c r="AJI10" s="375"/>
      <x:c r="AJJ10" s="375"/>
      <x:c r="AJK10" s="375"/>
      <x:c r="AJL10" s="375"/>
      <x:c r="AJM10" s="375"/>
      <x:c r="AJN10" s="375"/>
      <x:c r="AJO10" s="375"/>
      <x:c r="AJP10" s="375"/>
      <x:c r="AJQ10" s="375"/>
      <x:c r="AJR10" s="375"/>
      <x:c r="AJS10" s="375"/>
      <x:c r="AJT10" s="375"/>
      <x:c r="AJU10" s="375"/>
      <x:c r="AJV10" s="375"/>
      <x:c r="AJW10" s="375"/>
      <x:c r="AJX10" s="375"/>
      <x:c r="AJY10" s="375"/>
      <x:c r="AJZ10" s="375"/>
      <x:c r="AKA10" s="375"/>
      <x:c r="AKB10" s="375"/>
      <x:c r="AKC10" s="375"/>
      <x:c r="AKD10" s="375"/>
      <x:c r="AKE10" s="375"/>
      <x:c r="AKF10" s="375"/>
      <x:c r="AKG10" s="375"/>
      <x:c r="AKH10" s="375"/>
      <x:c r="AKI10" s="375"/>
      <x:c r="AKJ10" s="375"/>
      <x:c r="AKK10" s="375"/>
      <x:c r="AKL10" s="375"/>
      <x:c r="AKM10" s="375"/>
      <x:c r="AKN10" s="375"/>
      <x:c r="AKO10" s="375"/>
      <x:c r="AKP10" s="375"/>
      <x:c r="AKQ10" s="375"/>
      <x:c r="AKR10" s="375"/>
      <x:c r="AKS10" s="375"/>
      <x:c r="AKT10" s="375"/>
      <x:c r="AKU10" s="375"/>
      <x:c r="AKV10" s="375"/>
      <x:c r="AKW10" s="375"/>
      <x:c r="AKX10" s="375"/>
      <x:c r="AKY10" s="375"/>
      <x:c r="AKZ10" s="375"/>
      <x:c r="ALA10" s="375"/>
      <x:c r="ALB10" s="375"/>
      <x:c r="ALC10" s="375"/>
      <x:c r="ALD10" s="375"/>
      <x:c r="ALE10" s="375"/>
      <x:c r="ALF10" s="375"/>
      <x:c r="ALG10" s="375"/>
      <x:c r="ALH10" s="375"/>
      <x:c r="ALI10" s="375"/>
      <x:c r="ALJ10" s="375"/>
      <x:c r="ALK10" s="375"/>
      <x:c r="ALL10" s="375"/>
      <x:c r="ALM10" s="375"/>
      <x:c r="ALN10" s="375"/>
      <x:c r="ALO10" s="375"/>
      <x:c r="ALP10" s="375"/>
      <x:c r="ALQ10" s="375"/>
      <x:c r="ALR10" s="375"/>
      <x:c r="ALS10" s="375"/>
      <x:c r="ALT10" s="375"/>
      <x:c r="ALU10" s="375"/>
      <x:c r="ALV10" s="375"/>
      <x:c r="ALW10" s="375"/>
      <x:c r="ALX10" s="375"/>
      <x:c r="ALY10" s="375"/>
      <x:c r="ALZ10" s="375"/>
      <x:c r="AMA10" s="375"/>
      <x:c r="AMB10" s="375"/>
      <x:c r="AMC10" s="375"/>
      <x:c r="AMD10" s="375"/>
      <x:c r="AME10" s="375"/>
      <x:c r="AMF10" s="375"/>
      <x:c r="AMG10" s="375"/>
      <x:c r="AMH10" s="375"/>
      <x:c r="AMI10" s="375"/>
      <x:c r="AMJ10" s="375"/>
      <x:c r="AMK10" s="375"/>
    </x:row>
    <x:row r="11" ht="68" hidden="0" customHeight="1">
      <x:c r="A11" s="266" t="str">
        <x:v>01-yurina-o-s-3</x:v>
      </x:c>
      <x:c r="B11" s="354" t="str">
        <x:v>yurina</x:v>
      </x:c>
      <x:c r="C11" s="266"/>
      <x:c r="D11" s="266"/>
      <x:c r="E11" s="266" t="str">
        <x:v>浮舟宿</x:v>
      </x:c>
      <x:c r="F11" s="266" t="str">
        <x:v>うきふねやどし</x:v>
      </x:c>
      <x:c r="G11" s="399" t="str">
        <x:v>浮舟宿</x:v>
      </x:c>
      <x:c r="H11" s="399" t="str">
        <x:v>浮舟宿</x:v>
      </x:c>
      <x:c r="I11" s="399"/>
      <x:c r="J11" s="399" t="str">
        <x:v>쪽배에서 쉬노니</x:v>
      </x:c>
      <x:c r="K11" s="399" t="str">
        <x:v>Ukifune Serene</x:v>
      </x:c>
      <x:c r="L11" s="266"/>
      <x:c r="M11" s="266" t="str">
        <x:v>切札</x:v>
      </x:c>
      <x:c r="N11" s="266"/>
      <x:c r="O11" s="266"/>
      <x:c r="P11" s="266"/>
      <x:c r="Q11" s="266"/>
      <x:c r="R11" s="266" t="str">
        <x:v>行動</x:v>
      </x:c>
      <x:c r="S11" s="266"/>
      <x:c r="T11" s="84"/>
      <x:c r="U11" s="341"/>
      <x:c r="V11" s="342"/>
      <x:c r="W11" s="341"/>
      <x:c r="X11" s="342"/>
      <x:c r="Y11" s="342"/>
      <x:c r="Z11" s="342" t="n">
        <x:v>2</x:v>
      </x:c>
      <x:c r="AA11" s="342"/>
      <x:c r="AB11" s="343"/>
      <x:c r="AC11" s="343"/>
      <x:c r="AD11" s="344"/>
      <x:c r="AE11" s="447" t="str">
        <x:v>ダスト→自オーラ：5
即再起:決死―あなたのライフが3以下になる。</x:v>
      </x:c>
      <x:c r="AF11" s="449"/>
      <x:c r="AG11" s="494" t="str">
        <x:v>虚→5→自装 
----
【即再起】决死～自命中的樱花结晶数小于等于3。</x:v>
      </x:c>
      <x:c r="AH11" s="451"/>
      <x:c r="AI11" s="494" t="str">
        <x:v>虚（5）→自装 
----
【即再起】：决死-自命中的樱花结晶的数目小于3。</x:v>
      </x:c>
      <x:c r="AJ11" s="447"/>
      <x:c r="AK11" s="494" t="str">
        <x:v>더스트→자신 오라：5   
----  
【즉재기】결사-당신의 라이프가 3 이하가 된다.</x:v>
      </x:c>
      <x:c r="AL11" s="447"/>
      <x:c r="AM11" s="494" t="str">
        <x:v>Shadow (5)→ Your Aura
----
Immediate Resurgence: Resolve - Your Life becomes 3 or less (from 4 or more).</x:v>
      </x:c>
      <x:c r="AN11" s="447"/>
      <x:c r="AO11" s="439"/>
      <x:c r="AP11" s="439"/>
      <x:c r="AQ11" s="439"/>
      <x:c r="AR11" s="439"/>
      <x:c r="AS11" s="439"/>
      <x:c r="AT11" s="378" t="str">
        <x:f>IF(A11="", "","'"&amp;A11&amp;"': {megami: '"&amp;B11&amp;"'"&amp;IF(C11&lt;&gt;"",", anotherID: '"&amp;C11&amp;"', replace: '"&amp;D11&amp;"'","")&amp;", name: '"&amp;SUBSTITUTE(E11,"'","\'")&amp;"', nameEn: '"&amp;SUBSTITUTE(K11,"'","\'")&amp;"', nameZh: '"&amp;SUBSTITUTE(G11,"'","\'")&amp;"', nameZhG10: '"&amp;SUBSTITUTE(H11,"'","\'")&amp;"', nameKo: '"&amp;SUBSTITUTE(J11,"'","\'")&amp;"', ruby: '"&amp;F11&amp;"', rubyEn: '"&amp;L11&amp;IF(I11&lt;&gt;"", "', rubyZh: '"&amp;I11, "")&amp;"', baseType: '"&amp;IF(M11="通常札","normal",IF(M11="切札","special",IF(M11="追加札","extra",IF(M11="transform","transform",IF(M11="嵐","storm",IF(M11="兵員","troop",IF(M11="構想","plan",IF(M11="メインパーツ","mainParts",IF(M11="カスタムパーツ","customParts",IF(M11="運命","fate",IF(M11="仮想樹","virtualTree","")))))))))))&amp;"'"&amp;IF(N11="○",", extra: true","")&amp;IF(O11&lt;&gt;"",", extraFrom: '"&amp;O11&amp;"'","")&amp;IF(P11&lt;&gt;"",", exchangableTo: '"&amp;P11&amp;"'","")&amp;IF(Q11="○",", poison: true","")&amp;IF(R11&lt;&gt;"", ", type: '"&amp;IF(R11="攻撃","attack",IF(R11="行動","action",IF(R11="不定","variable",IF(R11="対応","reaction",IF(R11="全力","fullpower",IF(R11="付与","enhance",IF(R11="transform","transform","")))))))&amp;"'", "")&amp;IF(S11&lt;&gt;"",", subType: '"&amp;IF(S11="攻撃","attack",IF(S11="行動","action",IF(S11="不定","variable",IF(S11="対応","reaction",IF(S11="全力","fullpower",IF(S11="付与","enhance",IF(S11="transform","transform","")))))))&amp;"'","")&amp;""&amp;IF(T11&lt;&gt;"",", range: '"&amp;T11&amp;"'","")&amp;IF(V11&lt;&gt;"",", damage: '"&amp;V11&amp;"'","")&amp;IF(X11&lt;&gt;"",", capacity: '"&amp;X11&amp;"'","")&amp;IF(Y11&lt;&gt;"",", growth: "&amp;Y11&amp;"","")&amp;IF(Z11&lt;&gt;"",", cost: '"&amp;Z11&amp;"'","")&amp;", text: '"&amp;SUBSTITUTE(SUBSTITUTE(AE11, CHAR(13), ""),CHAR(10),"\n")&amp;IF(AF11&lt;&gt;"", "', textAdditional: '"&amp;SUBSTITUTE(SUBSTITUTE(AF11, CHAR(13), ""),CHAR(10),"\n"), "")&amp;"', textZh: '"&amp;SUBSTITUTE(SUBSTITUTE(SUBSTITUTE(AG11, CHAR(13), ""),CHAR(10),"\n"),"'","\'")&amp;"', textZhG10: '"&amp;SUBSTITUTE(SUBSTITUTE(SUBSTITUTE(AI11, CHAR(13), ""),CHAR(10),"\n"),"'","\'")&amp;IF(AH11&lt;&gt;"", "', textZhAdditional: '"&amp;SUBSTITUTE(SUBSTITUTE(AH11, CHAR(13), ""),CHAR(10),"\n"), "")&amp;IF(AK11&lt;&gt;"", "', textZhG10Additional: '"&amp;SUBSTITUTE(SUBSTITUTE(AK11, CHAR(13), ""),CHAR(10),"\n"), "")&amp;"', textKo: '"&amp;SUBSTITUTE(SUBSTITUTE(SUBSTITUTE(AM11, CHAR(13), ""),CHAR(10),"\n"),"'","\'")&amp;IF(AM11&lt;&gt;"", "', textKoAdditional: '"&amp;SUBSTITUTE(SUBSTITUTE(AM11, CHAR(13), ""),CHAR(10),"\n"), "")&amp;"', textEn: '"&amp;SUBSTITUTE(SUBSTITUTE(SUBSTITUTE(AM11, CHAR(13), ""),CHAR(10),"\n"),"'","\'")&amp;IF(AN11&lt;&gt;"", "', textEnAdditional: '"&amp;SUBSTITUTE(SUBSTITUTE(AN11, CHAR(13), ""),CHAR(10),"\n"), "")&amp;"'"&amp;IF(AB11="○",", sealable: true","")&amp;IF(AC11="○",", removable: true","")&amp;IF(AA11="○",", lie: true","")&amp;IF(AD11="○",", investable: true","")&amp;"},")</x:f>
        <x:v>'01-yurina-o-s-3': {megami: 'yurina', name: '浮舟宿', nameEn: 'Ukifune Serene', nameZh: '浮舟宿', nameZhG10: '浮舟宿', nameKo: '쪽배에서 쉬노니', ruby: 'うきふねやどし', rubyEn: '', baseType: 'special', type: 'action', cost: '2', text: 'ダスト→自オーラ：5\n即再起:決死―あなたのライフが3以下になる。', textZh: '虚→5→自装 \n----\n【即再起】决死～自命中的樱花结晶数小于等于3。', textZhG10: '虚（5）→自装 \n----\n【即再起】：决死-自命中的樱花结晶的数目小于3。', textZhG10Additional: '더스트→자신 오라：5   \n----  \n【즉재기】결사-당신의 라이프가 3 이하가 된다.', textKo: 'Shadow (5)→ Your Aura\n----\nImmediate Resurgence: Resolve - Your Life becomes 3 or less (from 4 or more).', textKoAdditional: 'Shadow (5)→ Your Aura\n----\nImmediate Resurgence: Resolve - Your Life becomes 3 or less (from 4 or more).', textEn: 'Shadow (5)→ Your Aura\n----\nImmediate Resurgence: Resolve - Your Life becomes 3 or less (from 4 or more).'},</x:v>
      </x:c>
      <x:c r="AU11" s="379" t="str">
        <x:f>IF($A11&lt;&gt;"", "    /** 《"&amp;$E11&amp;"》 */ export const "&amp;SUBSTITUTE(UPPER(IF(MID($A11, 3, 1)="-", RIGHT($A11,LEN($A11)-3), $A11)), "-", "_")&amp;": TCardId = '"&amp;$A11&amp;"';", "")</x:f>
        <x:v>    /** 《浮舟宿》 */ export const YURINA_O_S_3: TCardId = '01-yurina-o-s-3';</x:v>
      </x:c>
      <x:c r="AV11" s="380" t="str">
        <x:f>IF($A12&lt;&gt;"", "    | '"&amp;$A12&amp;"'", "")</x:f>
        <x:v>    | '01-yurina-o-s-4'</x:v>
      </x:c>
      <x:c r="AW11" s="381"/>
      <x:c r="AX11" s="381"/>
      <x:c r="AY11" s="381"/>
      <x:c r="AZ11" s="381"/>
      <x:c r="BA11" s="381"/>
      <x:c r="BB11" s="381"/>
      <x:c r="BC11" s="381"/>
      <x:c r="BD11" s="381"/>
      <x:c r="BE11" s="381"/>
      <x:c r="BF11" s="381"/>
      <x:c r="BG11" s="381"/>
      <x:c r="BH11" s="381"/>
      <x:c r="BI11" s="381"/>
      <x:c r="BJ11" s="381"/>
      <x:c r="BK11" s="381"/>
      <x:c r="BL11" s="381"/>
      <x:c r="BM11" s="381"/>
      <x:c r="BN11" s="381"/>
      <x:c r="BO11" s="381"/>
      <x:c r="BP11" s="381"/>
      <x:c r="BQ11" s="375"/>
      <x:c r="BR11" s="375"/>
      <x:c r="BS11" s="375"/>
      <x:c r="BT11" s="375"/>
      <x:c r="BU11" s="375"/>
      <x:c r="BV11" s="375"/>
      <x:c r="BW11" s="375"/>
      <x:c r="BX11" s="375"/>
      <x:c r="BY11" s="375"/>
      <x:c r="BZ11" s="375"/>
      <x:c r="CA11" s="375"/>
      <x:c r="CB11" s="375"/>
      <x:c r="CC11" s="375"/>
      <x:c r="CD11" s="375"/>
      <x:c r="CE11" s="375"/>
      <x:c r="CF11" s="375"/>
      <x:c r="CG11" s="375"/>
      <x:c r="CH11" s="375"/>
      <x:c r="CI11" s="375"/>
      <x:c r="CJ11" s="375"/>
      <x:c r="CK11" s="375"/>
      <x:c r="CL11" s="375"/>
      <x:c r="CM11" s="375"/>
      <x:c r="CN11" s="375"/>
      <x:c r="CO11" s="375"/>
      <x:c r="CP11" s="375"/>
      <x:c r="CQ11" s="375"/>
      <x:c r="CR11" s="375"/>
      <x:c r="CS11" s="375"/>
      <x:c r="CT11" s="375"/>
      <x:c r="CU11" s="375"/>
      <x:c r="CV11" s="375"/>
      <x:c r="CW11" s="375"/>
      <x:c r="CX11" s="375"/>
      <x:c r="CY11" s="375"/>
      <x:c r="CZ11" s="375"/>
      <x:c r="DA11" s="375"/>
      <x:c r="DB11" s="375"/>
      <x:c r="DC11" s="375"/>
      <x:c r="DD11" s="375"/>
      <x:c r="DE11" s="375"/>
      <x:c r="DF11" s="375"/>
      <x:c r="DG11" s="375"/>
      <x:c r="DH11" s="375"/>
      <x:c r="DI11" s="375"/>
      <x:c r="DJ11" s="375"/>
      <x:c r="DK11" s="375"/>
      <x:c r="DL11" s="375"/>
      <x:c r="DM11" s="375"/>
      <x:c r="DN11" s="375"/>
      <x:c r="DO11" s="375"/>
      <x:c r="DP11" s="375"/>
      <x:c r="DQ11" s="375"/>
      <x:c r="DR11" s="375"/>
      <x:c r="DS11" s="375"/>
      <x:c r="DT11" s="375"/>
      <x:c r="DU11" s="375"/>
      <x:c r="DV11" s="375"/>
      <x:c r="DW11" s="375"/>
      <x:c r="DX11" s="375"/>
      <x:c r="DY11" s="375"/>
      <x:c r="DZ11" s="375"/>
      <x:c r="EA11" s="375"/>
      <x:c r="EB11" s="375"/>
      <x:c r="EC11" s="375"/>
      <x:c r="ED11" s="375"/>
      <x:c r="EE11" s="375"/>
      <x:c r="EF11" s="375"/>
      <x:c r="EG11" s="375"/>
      <x:c r="EH11" s="375"/>
      <x:c r="EI11" s="375"/>
      <x:c r="EJ11" s="375"/>
      <x:c r="EK11" s="375"/>
      <x:c r="EL11" s="375"/>
      <x:c r="EM11" s="375"/>
      <x:c r="EN11" s="375"/>
      <x:c r="EO11" s="375"/>
      <x:c r="EP11" s="375"/>
      <x:c r="EQ11" s="375"/>
      <x:c r="ER11" s="375"/>
      <x:c r="ES11" s="375"/>
      <x:c r="ET11" s="375"/>
      <x:c r="EU11" s="375"/>
      <x:c r="EV11" s="375"/>
      <x:c r="EW11" s="375"/>
      <x:c r="EX11" s="375"/>
      <x:c r="EY11" s="375"/>
      <x:c r="EZ11" s="375"/>
      <x:c r="FA11" s="375"/>
      <x:c r="FB11" s="375"/>
      <x:c r="FC11" s="375"/>
      <x:c r="FD11" s="375"/>
      <x:c r="FE11" s="375"/>
      <x:c r="FF11" s="375"/>
      <x:c r="FG11" s="375"/>
      <x:c r="FH11" s="375"/>
      <x:c r="FI11" s="375"/>
      <x:c r="FJ11" s="375"/>
      <x:c r="FK11" s="375"/>
      <x:c r="FL11" s="375"/>
      <x:c r="FM11" s="375"/>
      <x:c r="FN11" s="375"/>
      <x:c r="FO11" s="375"/>
      <x:c r="FP11" s="375"/>
      <x:c r="FQ11" s="375"/>
      <x:c r="FR11" s="375"/>
      <x:c r="FS11" s="375"/>
      <x:c r="FT11" s="375"/>
      <x:c r="FU11" s="375"/>
      <x:c r="FV11" s="375"/>
      <x:c r="FW11" s="375"/>
      <x:c r="FX11" s="375"/>
      <x:c r="FY11" s="375"/>
      <x:c r="FZ11" s="375"/>
      <x:c r="GA11" s="375"/>
      <x:c r="GB11" s="375"/>
      <x:c r="GC11" s="375"/>
      <x:c r="GD11" s="375"/>
      <x:c r="GE11" s="375"/>
      <x:c r="GF11" s="375"/>
      <x:c r="GG11" s="375"/>
      <x:c r="GH11" s="375"/>
      <x:c r="GI11" s="375"/>
      <x:c r="GJ11" s="375"/>
      <x:c r="GK11" s="375"/>
      <x:c r="GL11" s="375"/>
      <x:c r="GM11" s="375"/>
      <x:c r="GN11" s="375"/>
      <x:c r="GO11" s="375"/>
      <x:c r="GP11" s="375"/>
      <x:c r="GQ11" s="375"/>
      <x:c r="GR11" s="375"/>
      <x:c r="GS11" s="375"/>
      <x:c r="GT11" s="375"/>
      <x:c r="GU11" s="375"/>
      <x:c r="GV11" s="375"/>
      <x:c r="GW11" s="375"/>
      <x:c r="GX11" s="375"/>
      <x:c r="GY11" s="375"/>
      <x:c r="GZ11" s="375"/>
      <x:c r="HA11" s="375"/>
      <x:c r="HB11" s="375"/>
      <x:c r="HC11" s="375"/>
      <x:c r="HD11" s="375"/>
      <x:c r="HE11" s="375"/>
      <x:c r="HF11" s="375"/>
      <x:c r="HG11" s="375"/>
      <x:c r="HH11" s="375"/>
      <x:c r="HI11" s="375"/>
      <x:c r="HJ11" s="375"/>
      <x:c r="HK11" s="375"/>
      <x:c r="HL11" s="375"/>
      <x:c r="HM11" s="375"/>
      <x:c r="HN11" s="375"/>
      <x:c r="HO11" s="375"/>
      <x:c r="HP11" s="375"/>
      <x:c r="HQ11" s="375"/>
      <x:c r="HR11" s="375"/>
      <x:c r="HS11" s="375"/>
      <x:c r="HT11" s="375"/>
      <x:c r="HU11" s="375"/>
      <x:c r="HV11" s="375"/>
      <x:c r="HW11" s="375"/>
      <x:c r="HX11" s="375"/>
      <x:c r="HY11" s="375"/>
      <x:c r="HZ11" s="375"/>
      <x:c r="IA11" s="375"/>
      <x:c r="IB11" s="375"/>
      <x:c r="IC11" s="375"/>
      <x:c r="ID11" s="375"/>
      <x:c r="IE11" s="375"/>
      <x:c r="IF11" s="375"/>
      <x:c r="IG11" s="375"/>
      <x:c r="IH11" s="375"/>
      <x:c r="II11" s="375"/>
      <x:c r="IJ11" s="375"/>
      <x:c r="IK11" s="375"/>
      <x:c r="IL11" s="375"/>
      <x:c r="IM11" s="375"/>
      <x:c r="IN11" s="375"/>
      <x:c r="IO11" s="375"/>
      <x:c r="IP11" s="375"/>
      <x:c r="IQ11" s="375"/>
      <x:c r="IR11" s="375"/>
      <x:c r="IS11" s="375"/>
      <x:c r="IT11" s="375"/>
      <x:c r="IU11" s="375"/>
      <x:c r="IV11" s="375"/>
      <x:c r="IW11" s="375"/>
      <x:c r="IX11" s="375"/>
      <x:c r="IY11" s="375"/>
      <x:c r="IZ11" s="375"/>
      <x:c r="JA11" s="375"/>
      <x:c r="JB11" s="375"/>
      <x:c r="JC11" s="375"/>
      <x:c r="JD11" s="375"/>
      <x:c r="JE11" s="375"/>
      <x:c r="JF11" s="375"/>
      <x:c r="JG11" s="375"/>
      <x:c r="JH11" s="375"/>
      <x:c r="JI11" s="375"/>
      <x:c r="JJ11" s="375"/>
      <x:c r="JK11" s="375"/>
      <x:c r="JL11" s="375"/>
      <x:c r="JM11" s="375"/>
      <x:c r="JN11" s="375"/>
      <x:c r="JO11" s="375"/>
      <x:c r="JP11" s="375"/>
      <x:c r="JQ11" s="375"/>
      <x:c r="JR11" s="375"/>
      <x:c r="JS11" s="375"/>
      <x:c r="JT11" s="375"/>
      <x:c r="JU11" s="375"/>
      <x:c r="JV11" s="375"/>
      <x:c r="JW11" s="375"/>
      <x:c r="JX11" s="375"/>
      <x:c r="JY11" s="375"/>
      <x:c r="JZ11" s="375"/>
      <x:c r="KA11" s="375"/>
      <x:c r="KB11" s="375"/>
      <x:c r="KC11" s="375"/>
      <x:c r="KD11" s="375"/>
      <x:c r="KE11" s="375"/>
      <x:c r="KF11" s="375"/>
      <x:c r="KG11" s="375"/>
      <x:c r="KH11" s="375"/>
      <x:c r="KI11" s="375"/>
      <x:c r="KJ11" s="375"/>
      <x:c r="KK11" s="375"/>
      <x:c r="KL11" s="375"/>
      <x:c r="KM11" s="375"/>
      <x:c r="KN11" s="375"/>
      <x:c r="KO11" s="375"/>
      <x:c r="KP11" s="375"/>
      <x:c r="KQ11" s="375"/>
      <x:c r="KR11" s="375"/>
      <x:c r="KS11" s="375"/>
      <x:c r="KT11" s="375"/>
      <x:c r="KU11" s="375"/>
      <x:c r="KV11" s="375"/>
      <x:c r="KW11" s="375"/>
      <x:c r="KX11" s="375"/>
      <x:c r="KY11" s="375"/>
      <x:c r="KZ11" s="375"/>
      <x:c r="LA11" s="375"/>
      <x:c r="LB11" s="375"/>
      <x:c r="LC11" s="375"/>
      <x:c r="LD11" s="375"/>
      <x:c r="LE11" s="375"/>
      <x:c r="LF11" s="375"/>
      <x:c r="LG11" s="375"/>
      <x:c r="LH11" s="375"/>
      <x:c r="LI11" s="375"/>
      <x:c r="LJ11" s="375"/>
      <x:c r="LK11" s="375"/>
      <x:c r="LL11" s="375"/>
      <x:c r="LM11" s="375"/>
      <x:c r="LN11" s="375"/>
      <x:c r="LO11" s="375"/>
      <x:c r="LP11" s="375"/>
      <x:c r="LQ11" s="375"/>
      <x:c r="LR11" s="375"/>
      <x:c r="LS11" s="375"/>
      <x:c r="LT11" s="375"/>
      <x:c r="LU11" s="375"/>
      <x:c r="LV11" s="375"/>
      <x:c r="LW11" s="375"/>
      <x:c r="LX11" s="375"/>
      <x:c r="LY11" s="375"/>
      <x:c r="LZ11" s="375"/>
      <x:c r="MA11" s="375"/>
      <x:c r="MB11" s="375"/>
      <x:c r="MC11" s="375"/>
      <x:c r="MD11" s="375"/>
      <x:c r="ME11" s="375"/>
      <x:c r="MF11" s="375"/>
      <x:c r="MG11" s="375"/>
      <x:c r="MH11" s="375"/>
      <x:c r="MI11" s="375"/>
      <x:c r="MJ11" s="375"/>
      <x:c r="MK11" s="375"/>
      <x:c r="ML11" s="375"/>
      <x:c r="MM11" s="375"/>
      <x:c r="MN11" s="375"/>
      <x:c r="MO11" s="375"/>
      <x:c r="MP11" s="375"/>
      <x:c r="MQ11" s="375"/>
      <x:c r="MR11" s="375"/>
      <x:c r="MS11" s="375"/>
      <x:c r="MT11" s="375"/>
      <x:c r="MU11" s="375"/>
      <x:c r="MV11" s="375"/>
      <x:c r="MW11" s="375"/>
      <x:c r="MX11" s="375"/>
      <x:c r="MY11" s="375"/>
      <x:c r="MZ11" s="375"/>
      <x:c r="NA11" s="375"/>
      <x:c r="NB11" s="375"/>
      <x:c r="NC11" s="375"/>
      <x:c r="ND11" s="375"/>
      <x:c r="NE11" s="375"/>
      <x:c r="NF11" s="375"/>
      <x:c r="NG11" s="375"/>
      <x:c r="NH11" s="375"/>
      <x:c r="NI11" s="375"/>
      <x:c r="NJ11" s="375"/>
      <x:c r="NK11" s="375"/>
      <x:c r="NL11" s="375"/>
      <x:c r="NM11" s="375"/>
      <x:c r="NN11" s="375"/>
      <x:c r="NO11" s="375"/>
      <x:c r="NP11" s="375"/>
      <x:c r="NQ11" s="375"/>
      <x:c r="NR11" s="375"/>
      <x:c r="NS11" s="375"/>
      <x:c r="NT11" s="375"/>
      <x:c r="NU11" s="375"/>
      <x:c r="NV11" s="375"/>
      <x:c r="NW11" s="375"/>
      <x:c r="NX11" s="375"/>
      <x:c r="NY11" s="375"/>
      <x:c r="NZ11" s="375"/>
      <x:c r="OA11" s="375"/>
      <x:c r="OB11" s="375"/>
      <x:c r="OC11" s="375"/>
      <x:c r="OD11" s="375"/>
      <x:c r="OE11" s="375"/>
      <x:c r="OF11" s="375"/>
      <x:c r="OG11" s="375"/>
      <x:c r="OH11" s="375"/>
      <x:c r="OI11" s="375"/>
      <x:c r="OJ11" s="375"/>
      <x:c r="OK11" s="375"/>
      <x:c r="OL11" s="375"/>
      <x:c r="OM11" s="375"/>
      <x:c r="ON11" s="375"/>
      <x:c r="OO11" s="375"/>
      <x:c r="OP11" s="375"/>
      <x:c r="OQ11" s="375"/>
      <x:c r="OR11" s="375"/>
      <x:c r="OS11" s="375"/>
      <x:c r="OT11" s="375"/>
      <x:c r="OU11" s="375"/>
      <x:c r="OV11" s="375"/>
      <x:c r="OW11" s="375"/>
      <x:c r="OX11" s="375"/>
      <x:c r="OY11" s="375"/>
      <x:c r="OZ11" s="375"/>
      <x:c r="PA11" s="375"/>
      <x:c r="PB11" s="375"/>
      <x:c r="PC11" s="375"/>
      <x:c r="PD11" s="375"/>
      <x:c r="PE11" s="375"/>
      <x:c r="PF11" s="375"/>
      <x:c r="PG11" s="375"/>
      <x:c r="PH11" s="375"/>
      <x:c r="PI11" s="375"/>
      <x:c r="PJ11" s="375"/>
      <x:c r="PK11" s="375"/>
      <x:c r="PL11" s="375"/>
      <x:c r="PM11" s="375"/>
      <x:c r="PN11" s="375"/>
      <x:c r="PO11" s="375"/>
      <x:c r="PP11" s="375"/>
      <x:c r="PQ11" s="375"/>
      <x:c r="PR11" s="375"/>
      <x:c r="PS11" s="375"/>
      <x:c r="PT11" s="375"/>
      <x:c r="PU11" s="375"/>
      <x:c r="PV11" s="375"/>
      <x:c r="PW11" s="375"/>
      <x:c r="PX11" s="375"/>
      <x:c r="PY11" s="375"/>
      <x:c r="PZ11" s="375"/>
      <x:c r="QA11" s="375"/>
      <x:c r="QB11" s="375"/>
      <x:c r="QC11" s="375"/>
      <x:c r="QD11" s="375"/>
      <x:c r="QE11" s="375"/>
      <x:c r="QF11" s="375"/>
      <x:c r="QG11" s="375"/>
      <x:c r="QH11" s="375"/>
      <x:c r="QI11" s="375"/>
      <x:c r="QJ11" s="375"/>
      <x:c r="QK11" s="375"/>
      <x:c r="QL11" s="375"/>
      <x:c r="QM11" s="375"/>
      <x:c r="QN11" s="375"/>
      <x:c r="QO11" s="375"/>
      <x:c r="QP11" s="375"/>
      <x:c r="QQ11" s="375"/>
      <x:c r="QR11" s="375"/>
      <x:c r="QS11" s="375"/>
      <x:c r="QT11" s="375"/>
      <x:c r="QU11" s="375"/>
      <x:c r="QV11" s="375"/>
      <x:c r="QW11" s="375"/>
      <x:c r="QX11" s="375"/>
      <x:c r="QY11" s="375"/>
      <x:c r="QZ11" s="375"/>
      <x:c r="RA11" s="375"/>
      <x:c r="RB11" s="375"/>
      <x:c r="RC11" s="375"/>
      <x:c r="RD11" s="375"/>
      <x:c r="RE11" s="375"/>
      <x:c r="RF11" s="375"/>
      <x:c r="RG11" s="375"/>
      <x:c r="RH11" s="375"/>
      <x:c r="RI11" s="375"/>
      <x:c r="RJ11" s="375"/>
      <x:c r="RK11" s="375"/>
      <x:c r="RL11" s="375"/>
      <x:c r="RM11" s="375"/>
      <x:c r="RN11" s="375"/>
      <x:c r="RO11" s="375"/>
      <x:c r="RP11" s="375"/>
      <x:c r="RQ11" s="375"/>
      <x:c r="RR11" s="375"/>
      <x:c r="RS11" s="375"/>
      <x:c r="RT11" s="375"/>
      <x:c r="RU11" s="375"/>
      <x:c r="RV11" s="375"/>
      <x:c r="RW11" s="375"/>
      <x:c r="RX11" s="375"/>
      <x:c r="RY11" s="375"/>
      <x:c r="RZ11" s="375"/>
      <x:c r="SA11" s="375"/>
      <x:c r="SB11" s="375"/>
      <x:c r="SC11" s="375"/>
      <x:c r="SD11" s="375"/>
      <x:c r="SE11" s="375"/>
      <x:c r="SF11" s="375"/>
      <x:c r="SG11" s="375"/>
      <x:c r="SH11" s="375"/>
      <x:c r="SI11" s="375"/>
      <x:c r="SJ11" s="375"/>
      <x:c r="SK11" s="375"/>
      <x:c r="SL11" s="375"/>
      <x:c r="SM11" s="375"/>
      <x:c r="SN11" s="375"/>
      <x:c r="SO11" s="375"/>
      <x:c r="SP11" s="375"/>
      <x:c r="SQ11" s="375"/>
      <x:c r="SR11" s="375"/>
      <x:c r="SS11" s="375"/>
      <x:c r="ST11" s="375"/>
      <x:c r="SU11" s="375"/>
      <x:c r="SV11" s="375"/>
      <x:c r="SW11" s="375"/>
      <x:c r="SX11" s="375"/>
      <x:c r="SY11" s="375"/>
      <x:c r="SZ11" s="375"/>
      <x:c r="TA11" s="375"/>
      <x:c r="TB11" s="375"/>
      <x:c r="TC11" s="375"/>
      <x:c r="TD11" s="375"/>
      <x:c r="TE11" s="375"/>
      <x:c r="TF11" s="375"/>
      <x:c r="TG11" s="375"/>
      <x:c r="TH11" s="375"/>
      <x:c r="TI11" s="375"/>
      <x:c r="TJ11" s="375"/>
      <x:c r="TK11" s="375"/>
      <x:c r="TL11" s="375"/>
      <x:c r="TM11" s="375"/>
      <x:c r="TN11" s="375"/>
      <x:c r="TO11" s="375"/>
      <x:c r="TP11" s="375"/>
      <x:c r="TQ11" s="375"/>
      <x:c r="TR11" s="375"/>
      <x:c r="TS11" s="375"/>
      <x:c r="TT11" s="375"/>
      <x:c r="TU11" s="375"/>
      <x:c r="TV11" s="375"/>
      <x:c r="TW11" s="375"/>
      <x:c r="TX11" s="375"/>
      <x:c r="TY11" s="375"/>
      <x:c r="TZ11" s="375"/>
      <x:c r="UA11" s="375"/>
      <x:c r="UB11" s="375"/>
      <x:c r="UC11" s="375"/>
      <x:c r="UD11" s="375"/>
      <x:c r="UE11" s="375"/>
      <x:c r="UF11" s="375"/>
      <x:c r="UG11" s="375"/>
      <x:c r="UH11" s="375"/>
      <x:c r="UI11" s="375"/>
      <x:c r="UJ11" s="375"/>
      <x:c r="UK11" s="375"/>
      <x:c r="UL11" s="375"/>
      <x:c r="UM11" s="375"/>
      <x:c r="UN11" s="375"/>
      <x:c r="UO11" s="375"/>
      <x:c r="UP11" s="375"/>
      <x:c r="UQ11" s="375"/>
      <x:c r="UR11" s="375"/>
      <x:c r="US11" s="375"/>
      <x:c r="UT11" s="375"/>
      <x:c r="UU11" s="375"/>
      <x:c r="UV11" s="375"/>
      <x:c r="UW11" s="375"/>
      <x:c r="UX11" s="375"/>
      <x:c r="UY11" s="375"/>
      <x:c r="UZ11" s="375"/>
      <x:c r="VA11" s="375"/>
      <x:c r="VB11" s="375"/>
      <x:c r="VC11" s="375"/>
      <x:c r="VD11" s="375"/>
      <x:c r="VE11" s="375"/>
      <x:c r="VF11" s="375"/>
      <x:c r="VG11" s="375"/>
      <x:c r="VH11" s="375"/>
      <x:c r="VI11" s="375"/>
      <x:c r="VJ11" s="375"/>
      <x:c r="VK11" s="375"/>
      <x:c r="VL11" s="375"/>
      <x:c r="VM11" s="375"/>
      <x:c r="VN11" s="375"/>
      <x:c r="VO11" s="375"/>
      <x:c r="VP11" s="375"/>
      <x:c r="VQ11" s="375"/>
      <x:c r="VR11" s="375"/>
      <x:c r="VS11" s="375"/>
      <x:c r="VT11" s="375"/>
      <x:c r="VU11" s="375"/>
      <x:c r="VV11" s="375"/>
      <x:c r="VW11" s="375"/>
      <x:c r="VX11" s="375"/>
      <x:c r="VY11" s="375"/>
      <x:c r="VZ11" s="375"/>
      <x:c r="WA11" s="375"/>
      <x:c r="WB11" s="375"/>
      <x:c r="WC11" s="375"/>
      <x:c r="WD11" s="375"/>
      <x:c r="WE11" s="375"/>
      <x:c r="WF11" s="375"/>
      <x:c r="WG11" s="375"/>
      <x:c r="WH11" s="375"/>
      <x:c r="WI11" s="375"/>
      <x:c r="WJ11" s="375"/>
      <x:c r="WK11" s="375"/>
      <x:c r="WL11" s="375"/>
      <x:c r="WM11" s="375"/>
      <x:c r="WN11" s="375"/>
      <x:c r="WO11" s="375"/>
      <x:c r="WP11" s="375"/>
      <x:c r="WQ11" s="375"/>
      <x:c r="WR11" s="375"/>
      <x:c r="WS11" s="375"/>
      <x:c r="WT11" s="375"/>
      <x:c r="WU11" s="375"/>
      <x:c r="WV11" s="375"/>
      <x:c r="WW11" s="375"/>
      <x:c r="WX11" s="375"/>
      <x:c r="WY11" s="375"/>
      <x:c r="WZ11" s="375"/>
      <x:c r="XA11" s="375"/>
      <x:c r="XB11" s="375"/>
      <x:c r="XC11" s="375"/>
      <x:c r="XD11" s="375"/>
      <x:c r="XE11" s="375"/>
      <x:c r="XF11" s="375"/>
      <x:c r="XG11" s="375"/>
      <x:c r="XH11" s="375"/>
      <x:c r="XI11" s="375"/>
      <x:c r="XJ11" s="375"/>
      <x:c r="XK11" s="375"/>
      <x:c r="XL11" s="375"/>
      <x:c r="XM11" s="375"/>
      <x:c r="XN11" s="375"/>
      <x:c r="XO11" s="375"/>
      <x:c r="XP11" s="375"/>
      <x:c r="XQ11" s="375"/>
      <x:c r="XR11" s="375"/>
      <x:c r="XS11" s="375"/>
      <x:c r="XT11" s="375"/>
      <x:c r="XU11" s="375"/>
      <x:c r="XV11" s="375"/>
      <x:c r="XW11" s="375"/>
      <x:c r="XX11" s="375"/>
      <x:c r="XY11" s="375"/>
      <x:c r="XZ11" s="375"/>
      <x:c r="YA11" s="375"/>
      <x:c r="YB11" s="375"/>
      <x:c r="YC11" s="375"/>
      <x:c r="YD11" s="375"/>
      <x:c r="YE11" s="375"/>
      <x:c r="YF11" s="375"/>
      <x:c r="YG11" s="375"/>
      <x:c r="YH11" s="375"/>
      <x:c r="YI11" s="375"/>
      <x:c r="YJ11" s="375"/>
      <x:c r="YK11" s="375"/>
      <x:c r="YL11" s="375"/>
      <x:c r="YM11" s="375"/>
      <x:c r="YN11" s="375"/>
      <x:c r="YO11" s="375"/>
      <x:c r="YP11" s="375"/>
      <x:c r="YQ11" s="375"/>
      <x:c r="YR11" s="375"/>
      <x:c r="YS11" s="375"/>
      <x:c r="YT11" s="375"/>
      <x:c r="YU11" s="375"/>
      <x:c r="YV11" s="375"/>
      <x:c r="YW11" s="375"/>
      <x:c r="YX11" s="375"/>
      <x:c r="YY11" s="375"/>
      <x:c r="YZ11" s="375"/>
      <x:c r="ZA11" s="375"/>
      <x:c r="ZB11" s="375"/>
      <x:c r="ZC11" s="375"/>
      <x:c r="ZD11" s="375"/>
      <x:c r="ZE11" s="375"/>
      <x:c r="ZF11" s="375"/>
      <x:c r="ZG11" s="375"/>
      <x:c r="ZH11" s="375"/>
      <x:c r="ZI11" s="375"/>
      <x:c r="ZJ11" s="375"/>
      <x:c r="ZK11" s="375"/>
      <x:c r="ZL11" s="375"/>
      <x:c r="ZM11" s="375"/>
      <x:c r="ZN11" s="375"/>
      <x:c r="ZO11" s="375"/>
      <x:c r="ZP11" s="375"/>
      <x:c r="ZQ11" s="375"/>
      <x:c r="ZR11" s="375"/>
      <x:c r="ZS11" s="375"/>
      <x:c r="ZT11" s="375"/>
      <x:c r="ZU11" s="375"/>
      <x:c r="ZV11" s="375"/>
      <x:c r="ZW11" s="375"/>
      <x:c r="ZX11" s="375"/>
      <x:c r="ZY11" s="375"/>
      <x:c r="ZZ11" s="375"/>
      <x:c r="AAA11" s="375"/>
      <x:c r="AAB11" s="375"/>
      <x:c r="AAC11" s="375"/>
      <x:c r="AAD11" s="375"/>
      <x:c r="AAE11" s="375"/>
      <x:c r="AAF11" s="375"/>
      <x:c r="AAG11" s="375"/>
      <x:c r="AAH11" s="375"/>
      <x:c r="AAI11" s="375"/>
      <x:c r="AAJ11" s="375"/>
      <x:c r="AAK11" s="375"/>
      <x:c r="AAL11" s="375"/>
      <x:c r="AAM11" s="375"/>
      <x:c r="AAN11" s="375"/>
      <x:c r="AAO11" s="375"/>
      <x:c r="AAP11" s="375"/>
      <x:c r="AAQ11" s="375"/>
      <x:c r="AAR11" s="375"/>
      <x:c r="AAS11" s="375"/>
      <x:c r="AAT11" s="375"/>
      <x:c r="AAU11" s="375"/>
      <x:c r="AAV11" s="375"/>
      <x:c r="AAW11" s="375"/>
      <x:c r="AAX11" s="375"/>
      <x:c r="AAY11" s="375"/>
      <x:c r="AAZ11" s="375"/>
      <x:c r="ABA11" s="375"/>
      <x:c r="ABB11" s="375"/>
      <x:c r="ABC11" s="375"/>
      <x:c r="ABD11" s="375"/>
      <x:c r="ABE11" s="375"/>
      <x:c r="ABF11" s="375"/>
      <x:c r="ABG11" s="375"/>
      <x:c r="ABH11" s="375"/>
      <x:c r="ABI11" s="375"/>
      <x:c r="ABJ11" s="375"/>
      <x:c r="ABK11" s="375"/>
      <x:c r="ABL11" s="375"/>
      <x:c r="ABM11" s="375"/>
      <x:c r="ABN11" s="375"/>
      <x:c r="ABO11" s="375"/>
      <x:c r="ABP11" s="375"/>
      <x:c r="ABQ11" s="375"/>
      <x:c r="ABR11" s="375"/>
      <x:c r="ABS11" s="375"/>
      <x:c r="ABT11" s="375"/>
      <x:c r="ABU11" s="375"/>
      <x:c r="ABV11" s="375"/>
      <x:c r="ABW11" s="375"/>
      <x:c r="ABX11" s="375"/>
      <x:c r="ABY11" s="375"/>
      <x:c r="ABZ11" s="375"/>
      <x:c r="ACA11" s="375"/>
      <x:c r="ACB11" s="375"/>
      <x:c r="ACC11" s="375"/>
      <x:c r="ACD11" s="375"/>
      <x:c r="ACE11" s="375"/>
      <x:c r="ACF11" s="375"/>
      <x:c r="ACG11" s="375"/>
      <x:c r="ACH11" s="375"/>
      <x:c r="ACI11" s="375"/>
      <x:c r="ACJ11" s="375"/>
      <x:c r="ACK11" s="375"/>
      <x:c r="ACL11" s="375"/>
      <x:c r="ACM11" s="375"/>
      <x:c r="ACN11" s="375"/>
      <x:c r="ACO11" s="375"/>
      <x:c r="ACP11" s="375"/>
      <x:c r="ACQ11" s="375"/>
      <x:c r="ACR11" s="375"/>
      <x:c r="ACS11" s="375"/>
      <x:c r="ACT11" s="375"/>
      <x:c r="ACU11" s="375"/>
      <x:c r="ACV11" s="375"/>
      <x:c r="ACW11" s="375"/>
      <x:c r="ACX11" s="375"/>
      <x:c r="ACY11" s="375"/>
      <x:c r="ACZ11" s="375"/>
      <x:c r="ADA11" s="375"/>
      <x:c r="ADB11" s="375"/>
      <x:c r="ADC11" s="375"/>
      <x:c r="ADD11" s="375"/>
      <x:c r="ADE11" s="375"/>
      <x:c r="ADF11" s="375"/>
      <x:c r="ADG11" s="375"/>
      <x:c r="ADH11" s="375"/>
      <x:c r="ADI11" s="375"/>
      <x:c r="ADJ11" s="375"/>
      <x:c r="ADK11" s="375"/>
      <x:c r="ADL11" s="375"/>
      <x:c r="ADM11" s="375"/>
      <x:c r="ADN11" s="375"/>
      <x:c r="ADO11" s="375"/>
      <x:c r="ADP11" s="375"/>
      <x:c r="ADQ11" s="375"/>
      <x:c r="ADR11" s="375"/>
      <x:c r="ADS11" s="375"/>
      <x:c r="ADT11" s="375"/>
      <x:c r="ADU11" s="375"/>
      <x:c r="ADV11" s="375"/>
      <x:c r="ADW11" s="375"/>
      <x:c r="ADX11" s="375"/>
      <x:c r="ADY11" s="375"/>
      <x:c r="ADZ11" s="375"/>
      <x:c r="AEA11" s="375"/>
      <x:c r="AEB11" s="375"/>
      <x:c r="AEC11" s="375"/>
      <x:c r="AED11" s="375"/>
      <x:c r="AEE11" s="375"/>
      <x:c r="AEF11" s="375"/>
      <x:c r="AEG11" s="375"/>
      <x:c r="AEH11" s="375"/>
      <x:c r="AEI11" s="375"/>
      <x:c r="AEJ11" s="375"/>
      <x:c r="AEK11" s="375"/>
      <x:c r="AEL11" s="375"/>
      <x:c r="AEM11" s="375"/>
      <x:c r="AEN11" s="375"/>
      <x:c r="AEO11" s="375"/>
      <x:c r="AEP11" s="375"/>
      <x:c r="AEQ11" s="375"/>
      <x:c r="AER11" s="375"/>
      <x:c r="AES11" s="375"/>
      <x:c r="AET11" s="375"/>
      <x:c r="AEU11" s="375"/>
      <x:c r="AEV11" s="375"/>
      <x:c r="AEW11" s="375"/>
      <x:c r="AEX11" s="375"/>
      <x:c r="AEY11" s="375"/>
      <x:c r="AEZ11" s="375"/>
      <x:c r="AFA11" s="375"/>
      <x:c r="AFB11" s="375"/>
      <x:c r="AFC11" s="375"/>
      <x:c r="AFD11" s="375"/>
      <x:c r="AFE11" s="375"/>
      <x:c r="AFF11" s="375"/>
      <x:c r="AFG11" s="375"/>
      <x:c r="AFH11" s="375"/>
      <x:c r="AFI11" s="375"/>
      <x:c r="AFJ11" s="375"/>
      <x:c r="AFK11" s="375"/>
      <x:c r="AFL11" s="375"/>
      <x:c r="AFM11" s="375"/>
      <x:c r="AFN11" s="375"/>
      <x:c r="AFO11" s="375"/>
      <x:c r="AFP11" s="375"/>
      <x:c r="AFQ11" s="375"/>
      <x:c r="AFR11" s="375"/>
      <x:c r="AFS11" s="375"/>
      <x:c r="AFT11" s="375"/>
      <x:c r="AFU11" s="375"/>
      <x:c r="AFV11" s="375"/>
      <x:c r="AFW11" s="375"/>
      <x:c r="AFX11" s="375"/>
      <x:c r="AFY11" s="375"/>
      <x:c r="AFZ11" s="375"/>
      <x:c r="AGA11" s="375"/>
      <x:c r="AGB11" s="375"/>
      <x:c r="AGC11" s="375"/>
      <x:c r="AGD11" s="375"/>
      <x:c r="AGE11" s="375"/>
      <x:c r="AGF11" s="375"/>
      <x:c r="AGG11" s="375"/>
      <x:c r="AGH11" s="375"/>
      <x:c r="AGI11" s="375"/>
      <x:c r="AGJ11" s="375"/>
      <x:c r="AGK11" s="375"/>
      <x:c r="AGL11" s="375"/>
      <x:c r="AGM11" s="375"/>
      <x:c r="AGN11" s="375"/>
      <x:c r="AGO11" s="375"/>
      <x:c r="AGP11" s="375"/>
      <x:c r="AGQ11" s="375"/>
      <x:c r="AGR11" s="375"/>
      <x:c r="AGS11" s="375"/>
      <x:c r="AGT11" s="375"/>
      <x:c r="AGU11" s="375"/>
      <x:c r="AGV11" s="375"/>
      <x:c r="AGW11" s="375"/>
      <x:c r="AGX11" s="375"/>
      <x:c r="AGY11" s="375"/>
      <x:c r="AGZ11" s="375"/>
      <x:c r="AHA11" s="375"/>
      <x:c r="AHB11" s="375"/>
      <x:c r="AHC11" s="375"/>
      <x:c r="AHD11" s="375"/>
      <x:c r="AHE11" s="375"/>
      <x:c r="AHF11" s="375"/>
      <x:c r="AHG11" s="375"/>
      <x:c r="AHH11" s="375"/>
      <x:c r="AHI11" s="375"/>
      <x:c r="AHJ11" s="375"/>
      <x:c r="AHK11" s="375"/>
      <x:c r="AHL11" s="375"/>
      <x:c r="AHM11" s="375"/>
      <x:c r="AHN11" s="375"/>
      <x:c r="AHO11" s="375"/>
      <x:c r="AHP11" s="375"/>
      <x:c r="AHQ11" s="375"/>
      <x:c r="AHR11" s="375"/>
      <x:c r="AHS11" s="375"/>
      <x:c r="AHT11" s="375"/>
      <x:c r="AHU11" s="375"/>
      <x:c r="AHV11" s="375"/>
      <x:c r="AHW11" s="375"/>
      <x:c r="AHX11" s="375"/>
      <x:c r="AHY11" s="375"/>
      <x:c r="AHZ11" s="375"/>
      <x:c r="AIA11" s="375"/>
      <x:c r="AIB11" s="375"/>
      <x:c r="AIC11" s="375"/>
      <x:c r="AID11" s="375"/>
      <x:c r="AIE11" s="375"/>
      <x:c r="AIF11" s="375"/>
      <x:c r="AIG11" s="375"/>
      <x:c r="AIH11" s="375"/>
      <x:c r="AII11" s="375"/>
      <x:c r="AIJ11" s="375"/>
      <x:c r="AIK11" s="375"/>
      <x:c r="AIL11" s="375"/>
      <x:c r="AIM11" s="375"/>
      <x:c r="AIN11" s="375"/>
      <x:c r="AIO11" s="375"/>
      <x:c r="AIP11" s="375"/>
      <x:c r="AIQ11" s="375"/>
      <x:c r="AIR11" s="375"/>
      <x:c r="AIS11" s="375"/>
      <x:c r="AIT11" s="375"/>
      <x:c r="AIU11" s="375"/>
      <x:c r="AIV11" s="375"/>
      <x:c r="AIW11" s="375"/>
      <x:c r="AIX11" s="375"/>
      <x:c r="AIY11" s="375"/>
      <x:c r="AIZ11" s="375"/>
      <x:c r="AJA11" s="375"/>
      <x:c r="AJB11" s="375"/>
      <x:c r="AJC11" s="375"/>
      <x:c r="AJD11" s="375"/>
      <x:c r="AJE11" s="375"/>
      <x:c r="AJF11" s="375"/>
      <x:c r="AJG11" s="375"/>
      <x:c r="AJH11" s="375"/>
      <x:c r="AJI11" s="375"/>
      <x:c r="AJJ11" s="375"/>
      <x:c r="AJK11" s="375"/>
      <x:c r="AJL11" s="375"/>
      <x:c r="AJM11" s="375"/>
      <x:c r="AJN11" s="375"/>
      <x:c r="AJO11" s="375"/>
      <x:c r="AJP11" s="375"/>
      <x:c r="AJQ11" s="375"/>
      <x:c r="AJR11" s="375"/>
      <x:c r="AJS11" s="375"/>
      <x:c r="AJT11" s="375"/>
      <x:c r="AJU11" s="375"/>
      <x:c r="AJV11" s="375"/>
      <x:c r="AJW11" s="375"/>
      <x:c r="AJX11" s="375"/>
      <x:c r="AJY11" s="375"/>
      <x:c r="AJZ11" s="375"/>
      <x:c r="AKA11" s="375"/>
      <x:c r="AKB11" s="375"/>
      <x:c r="AKC11" s="375"/>
      <x:c r="AKD11" s="375"/>
      <x:c r="AKE11" s="375"/>
      <x:c r="AKF11" s="375"/>
      <x:c r="AKG11" s="375"/>
      <x:c r="AKH11" s="375"/>
      <x:c r="AKI11" s="375"/>
      <x:c r="AKJ11" s="375"/>
      <x:c r="AKK11" s="375"/>
      <x:c r="AKL11" s="375"/>
      <x:c r="AKM11" s="375"/>
      <x:c r="AKN11" s="375"/>
      <x:c r="AKO11" s="375"/>
      <x:c r="AKP11" s="375"/>
      <x:c r="AKQ11" s="375"/>
      <x:c r="AKR11" s="375"/>
      <x:c r="AKS11" s="375"/>
      <x:c r="AKT11" s="375"/>
      <x:c r="AKU11" s="375"/>
      <x:c r="AKV11" s="375"/>
      <x:c r="AKW11" s="375"/>
      <x:c r="AKX11" s="375"/>
      <x:c r="AKY11" s="375"/>
      <x:c r="AKZ11" s="375"/>
      <x:c r="ALA11" s="375"/>
      <x:c r="ALB11" s="375"/>
      <x:c r="ALC11" s="375"/>
      <x:c r="ALD11" s="375"/>
      <x:c r="ALE11" s="375"/>
      <x:c r="ALF11" s="375"/>
      <x:c r="ALG11" s="375"/>
      <x:c r="ALH11" s="375"/>
      <x:c r="ALI11" s="375"/>
      <x:c r="ALJ11" s="375"/>
      <x:c r="ALK11" s="375"/>
      <x:c r="ALL11" s="375"/>
      <x:c r="ALM11" s="375"/>
      <x:c r="ALN11" s="375"/>
      <x:c r="ALO11" s="375"/>
      <x:c r="ALP11" s="375"/>
      <x:c r="ALQ11" s="375"/>
      <x:c r="ALR11" s="375"/>
      <x:c r="ALS11" s="375"/>
      <x:c r="ALT11" s="375"/>
      <x:c r="ALU11" s="375"/>
      <x:c r="ALV11" s="375"/>
      <x:c r="ALW11" s="375"/>
      <x:c r="ALX11" s="375"/>
      <x:c r="ALY11" s="375"/>
      <x:c r="ALZ11" s="375"/>
      <x:c r="AMA11" s="375"/>
      <x:c r="AMB11" s="375"/>
      <x:c r="AMC11" s="375"/>
      <x:c r="AMD11" s="375"/>
      <x:c r="AME11" s="375"/>
      <x:c r="AMF11" s="375"/>
      <x:c r="AMG11" s="375"/>
      <x:c r="AMH11" s="375"/>
      <x:c r="AMI11" s="375"/>
      <x:c r="AMJ11" s="375"/>
      <x:c r="AMK11" s="375"/>
    </x:row>
    <x:row r="12" ht="38" hidden="0" customHeight="1">
      <x:c r="A12" s="266" t="str">
        <x:v>01-yurina-o-s-4</x:v>
      </x:c>
      <x:c r="B12" s="354" t="str">
        <x:v>yurina</x:v>
      </x:c>
      <x:c r="C12" s="266"/>
      <x:c r="D12" s="266"/>
      <x:c r="E12" s="266" t="str">
        <x:v>天音揺波の底力</x:v>
      </x:c>
      <x:c r="F12" s="399" t="str">
        <x:v>あまねゆりなのそこぢから</x:v>
      </x:c>
      <x:c r="G12" s="417" t="str">
        <x:v>天音摇波的底力</x:v>
      </x:c>
      <x:c r="H12" s="399" t="str">
        <x:v>天音摇波的底力</x:v>
      </x:c>
      <x:c r="I12" s="399"/>
      <x:c r="J12" s="399" t="str">
        <x:v>아마네 유리나의 저력</x:v>
      </x:c>
      <x:c r="K12" s="399" t="str">
        <x:v>Yurina's Final Blow</x:v>
      </x:c>
      <x:c r="L12" s="399"/>
      <x:c r="M12" s="406" t="str">
        <x:v>切札</x:v>
      </x:c>
      <x:c r="N12" s="399"/>
      <x:c r="O12" s="399"/>
      <x:c r="P12" s="399"/>
      <x:c r="Q12" s="399"/>
      <x:c r="R12" s="399" t="str">
        <x:v>攻撃</x:v>
      </x:c>
      <x:c r="S12" s="399" t="str">
        <x:v>全力</x:v>
      </x:c>
      <x:c r="T12" s="400" t="str">
        <x:v>1-4</x:v>
      </x:c>
      <x:c r="U12" s="401"/>
      <x:c r="V12" s="402" t="str">
        <x:v>5/5</x:v>
      </x:c>
      <x:c r="W12" s="401"/>
      <x:c r="X12" s="402"/>
      <x:c r="Y12" s="402"/>
      <x:c r="Z12" s="402" t="n">
        <x:v>5</x:v>
      </x:c>
      <x:c r="AA12" s="402"/>
      <x:c r="AB12" s="403"/>
      <x:c r="AC12" s="403"/>
      <x:c r="AD12" s="396"/>
      <x:c r="AE12" s="447" t="str">
        <x:v>【常時】決死―あなたのライフが3以下でないと、このカードは使用できない。</x:v>
      </x:c>
      <x:c r="AF12" s="449"/>
      <x:c r="AG12" s="494" t="str">
        <x:v>【常时】决死～仅当自命中的樱花结晶数小于等于3时，才可以使用此牌。</x:v>
      </x:c>
      <x:c r="AH12" s="451"/>
      <x:c r="AI12" s="494" t="str">
        <x:v>【常时】决死-只能当自命中的樱花结晶的数目小于3时使用此牌。</x:v>
      </x:c>
      <x:c r="AJ12" s="447"/>
      <x:c r="AK12" s="494" t="str">
        <x:v>【상시】결사-당신의 라이프가 3 이하가 아니면, 이 카드는 사용 할 수 없다.</x:v>
      </x:c>
      <x:c r="AL12" s="447"/>
      <x:c r="AM12" s="494" t="str">
        <x:v>Forced: Resolve - You can't play this card unless your Life is 3 or less.</x:v>
      </x:c>
      <x:c r="AN12" s="447"/>
      <x:c r="AO12" s="439"/>
      <x:c r="AP12" s="439"/>
      <x:c r="AQ12" s="439"/>
      <x:c r="AR12" s="439"/>
      <x:c r="AS12" s="439"/>
      <x:c r="AT12" s="378" t="str">
        <x:f>IF(A12="", "","'"&amp;A12&amp;"': {megami: '"&amp;B12&amp;"'"&amp;IF(C12&lt;&gt;"",", anotherID: '"&amp;C12&amp;"', replace: '"&amp;D12&amp;"'","")&amp;", name: '"&amp;SUBSTITUTE(E12,"'","\'")&amp;"', nameEn: '"&amp;SUBSTITUTE(K12,"'","\'")&amp;"', nameZh: '"&amp;SUBSTITUTE(G12,"'","\'")&amp;"', nameZhG11: '"&amp;SUBSTITUTE(H12,"'","\'")&amp;"', nameKo: '"&amp;SUBSTITUTE(J12,"'","\'")&amp;"', ruby: '"&amp;F12&amp;"', rubyEn: '"&amp;L12&amp;IF(I12&lt;&gt;"", "', rubyZh: '"&amp;I12, "")&amp;"', baseType: '"&amp;IF(M12="通常札","normal",IF(M12="切札","special",IF(M12="追加札","extra",IF(M12="transform","transform",IF(M12="嵐","storm",IF(M12="兵員","troop",IF(M12="構想","plan",IF(M12="メインパーツ","mainParts",IF(M12="カスタムパーツ","customParts",IF(M12="運命","fate",IF(M12="仮想樹","virtualTree","")))))))))))&amp;"'"&amp;IF(N12="○",", extra: true","")&amp;IF(O12&lt;&gt;"",", extraFrom: '"&amp;O12&amp;"'","")&amp;IF(P12&lt;&gt;"",", exchangableTo: '"&amp;P12&amp;"'","")&amp;IF(Q12="○",", poison: true","")&amp;IF(R12&lt;&gt;"", ", type: '"&amp;IF(R12="攻撃","attack",IF(R12="行動","action",IF(R12="不定","variable",IF(R12="対応","reaction",IF(R12="全力","fullpower",IF(R12="付与","enhance",IF(R12="transform","transform","")))))))&amp;"'", "")&amp;IF(S12&lt;&gt;"",", subType: '"&amp;IF(S12="攻撃","attack",IF(S12="行動","action",IF(S12="不定","variable",IF(S12="対応","reaction",IF(S12="全力","fullpower",IF(S12="付与","enhance",IF(S12="transform","transform","")))))))&amp;"'","")&amp;""&amp;IF(T12&lt;&gt;"",", range: '"&amp;T12&amp;"'","")&amp;IF(V12&lt;&gt;"",", damage: '"&amp;V12&amp;"'","")&amp;IF(X12&lt;&gt;"",", capacity: '"&amp;X12&amp;"'","")&amp;IF(Y12&lt;&gt;"",", growth: "&amp;Y12&amp;"","")&amp;IF(Z12&lt;&gt;"",", cost: '"&amp;Z12&amp;"'","")&amp;", text: '"&amp;SUBSTITUTE(SUBSTITUTE(AE12, CHAR(13), ""),CHAR(10),"\n")&amp;IF(AF12&lt;&gt;"", "', textAdditional: '"&amp;SUBSTITUTE(SUBSTITUTE(AF12, CHAR(13), ""),CHAR(10),"\n"), "")&amp;"', textZh: '"&amp;SUBSTITUTE(SUBSTITUTE(SUBSTITUTE(AG12, CHAR(13), ""),CHAR(10),"\n"),"'","\'")&amp;"', textZhG11: '"&amp;SUBSTITUTE(SUBSTITUTE(SUBSTITUTE(AI12, CHAR(13), ""),CHAR(10),"\n"),"'","\'")&amp;IF(AH12&lt;&gt;"", "', textZhAdditional: '"&amp;SUBSTITUTE(SUBSTITUTE(AH12, CHAR(13), ""),CHAR(10),"\n"), "")&amp;IF(AK12&lt;&gt;"", "', textZhG11Additional: '"&amp;SUBSTITUTE(SUBSTITUTE(AK12, CHAR(13), ""),CHAR(10),"\n"), "")&amp;"', textKo: '"&amp;SUBSTITUTE(SUBSTITUTE(SUBSTITUTE(AM12, CHAR(13), ""),CHAR(10),"\n"),"'","\'")&amp;IF(AM12&lt;&gt;"", "', textKoAdditional: '"&amp;SUBSTITUTE(SUBSTITUTE(AM12, CHAR(13), ""),CHAR(10),"\n"), "")&amp;"', textEn: '"&amp;SUBSTITUTE(SUBSTITUTE(SUBSTITUTE(AM12, CHAR(13), ""),CHAR(10),"\n"),"'","\'")&amp;IF(AN12&lt;&gt;"", "', textEnAdditional: '"&amp;SUBSTITUTE(SUBSTITUTE(AN12, CHAR(13), ""),CHAR(10),"\n"), "")&amp;"'"&amp;IF(AB12="○",", sealable: true","")&amp;IF(AC12="○",", removable: true","")&amp;IF(AA12="○",", lie: true","")&amp;IF(AD12="○",", investable: true","")&amp;"},")</x:f>
        <x:v>'01-yurina-o-s-4': {megami: 'yurina', name: '天音揺波の底力', nameEn: 'Yurina\'s Final Blow', nameZh: '天音摇波的底力', nameZhG11: '天音摇波的底力', nameKo: '아마네 유리나의 저력', ruby: 'あまねゆりなのそこぢから', rubyEn: '', baseType: 'special', type: 'attack', subType: 'fullpower', range: '1-4', damage: '5/5', cost: '5', text: '【常時】決死―あなたのライフが3以下でないと、このカードは使用できない。', textZh: '【常时】决死～仅当自命中的樱花结晶数小于等于3时，才可以使用此牌。', textZhG11: '【常时】决死-只能当自命中的樱花结晶的数目小于3时使用此牌。', textZhG11Additional: '【상시】결사-당신의 라이프가 3 이하가 아니면, 이 카드는 사용 할 수 없다.', textKo: 'Forced: Resolve - You can\'t play this card unless your Life is 3 or less.', textKoAdditional: 'Forced: Resolve - You can't play this card unless your Life is 3 or less.', textEn: 'Forced: Resolve - You can\'t play this card unless your Life is 3 or less.'},</x:v>
      </x:c>
      <x:c r="AU12" s="379" t="str">
        <x:f>IF($A12&lt;&gt;"", "    /** 《"&amp;$E12&amp;"》 */ export const "&amp;SUBSTITUTE(UPPER(IF(MID($A12, 3, 1)="-", RIGHT($A12,LEN($A12)-3), $A12)), "-", "_")&amp;": TCardId = '"&amp;$A12&amp;"';", "")</x:f>
        <x:v>    /** 《天音揺波の底力》 */ export const YURINA_O_S_4: TCardId = '01-yurina-o-s-4';</x:v>
      </x:c>
      <x:c r="AV12" s="380" t="str">
        <x:f>IF($A13&lt;&gt;"", "    | '"&amp;$A13&amp;"'", "")</x:f>
        <x:v>    | '01-yurina-A1-n-1'</x:v>
      </x:c>
      <x:c r="AW12" s="381"/>
      <x:c r="AX12" s="381"/>
      <x:c r="AY12" s="381"/>
      <x:c r="AZ12" s="381"/>
      <x:c r="BA12" s="381"/>
      <x:c r="BB12" s="381"/>
      <x:c r="BC12" s="381"/>
      <x:c r="BD12" s="381"/>
      <x:c r="BE12" s="381"/>
      <x:c r="BF12" s="381"/>
      <x:c r="BG12" s="381"/>
      <x:c r="BH12" s="381"/>
      <x:c r="BI12" s="381"/>
      <x:c r="BJ12" s="381"/>
      <x:c r="BK12" s="381"/>
      <x:c r="BL12" s="381"/>
      <x:c r="BM12" s="381"/>
      <x:c r="BN12" s="381"/>
      <x:c r="BO12" s="381"/>
      <x:c r="BP12" s="381"/>
      <x:c r="BQ12" s="375"/>
      <x:c r="BR12" s="375"/>
      <x:c r="BS12" s="375"/>
      <x:c r="BT12" s="375"/>
      <x:c r="BU12" s="375"/>
      <x:c r="BV12" s="375"/>
      <x:c r="BW12" s="375"/>
      <x:c r="BX12" s="375"/>
      <x:c r="BY12" s="375"/>
      <x:c r="BZ12" s="375"/>
      <x:c r="CA12" s="375"/>
      <x:c r="CB12" s="375"/>
      <x:c r="CC12" s="375"/>
      <x:c r="CD12" s="375"/>
      <x:c r="CE12" s="375"/>
      <x:c r="CF12" s="375"/>
      <x:c r="CG12" s="375"/>
      <x:c r="CH12" s="375"/>
      <x:c r="CI12" s="375"/>
      <x:c r="CJ12" s="375"/>
      <x:c r="CK12" s="375"/>
      <x:c r="CL12" s="375"/>
      <x:c r="CM12" s="375"/>
      <x:c r="CN12" s="375"/>
      <x:c r="CO12" s="375"/>
      <x:c r="CP12" s="375"/>
      <x:c r="CQ12" s="375"/>
      <x:c r="CR12" s="375"/>
      <x:c r="CS12" s="375"/>
      <x:c r="CT12" s="375"/>
      <x:c r="CU12" s="375"/>
      <x:c r="CV12" s="375"/>
      <x:c r="CW12" s="375"/>
      <x:c r="CX12" s="375"/>
      <x:c r="CY12" s="375"/>
      <x:c r="CZ12" s="375"/>
      <x:c r="DA12" s="375"/>
      <x:c r="DB12" s="375"/>
      <x:c r="DC12" s="375"/>
      <x:c r="DD12" s="375"/>
      <x:c r="DE12" s="375"/>
      <x:c r="DF12" s="375"/>
      <x:c r="DG12" s="375"/>
      <x:c r="DH12" s="375"/>
      <x:c r="DI12" s="375"/>
      <x:c r="DJ12" s="375"/>
      <x:c r="DK12" s="375"/>
      <x:c r="DL12" s="375"/>
      <x:c r="DM12" s="375"/>
      <x:c r="DN12" s="375"/>
      <x:c r="DO12" s="375"/>
      <x:c r="DP12" s="375"/>
      <x:c r="DQ12" s="375"/>
      <x:c r="DR12" s="375"/>
      <x:c r="DS12" s="375"/>
      <x:c r="DT12" s="375"/>
      <x:c r="DU12" s="375"/>
      <x:c r="DV12" s="375"/>
      <x:c r="DW12" s="375"/>
      <x:c r="DX12" s="375"/>
      <x:c r="DY12" s="375"/>
      <x:c r="DZ12" s="375"/>
      <x:c r="EA12" s="375"/>
      <x:c r="EB12" s="375"/>
      <x:c r="EC12" s="375"/>
      <x:c r="ED12" s="375"/>
      <x:c r="EE12" s="375"/>
      <x:c r="EF12" s="375"/>
      <x:c r="EG12" s="375"/>
      <x:c r="EH12" s="375"/>
      <x:c r="EI12" s="375"/>
      <x:c r="EJ12" s="375"/>
      <x:c r="EK12" s="375"/>
      <x:c r="EL12" s="375"/>
      <x:c r="EM12" s="375"/>
      <x:c r="EN12" s="375"/>
      <x:c r="EO12" s="375"/>
      <x:c r="EP12" s="375"/>
      <x:c r="EQ12" s="375"/>
      <x:c r="ER12" s="375"/>
      <x:c r="ES12" s="375"/>
      <x:c r="ET12" s="375"/>
      <x:c r="EU12" s="375"/>
      <x:c r="EV12" s="375"/>
      <x:c r="EW12" s="375"/>
      <x:c r="EX12" s="375"/>
      <x:c r="EY12" s="375"/>
      <x:c r="EZ12" s="375"/>
      <x:c r="FA12" s="375"/>
      <x:c r="FB12" s="375"/>
      <x:c r="FC12" s="375"/>
      <x:c r="FD12" s="375"/>
      <x:c r="FE12" s="375"/>
      <x:c r="FF12" s="375"/>
      <x:c r="FG12" s="375"/>
      <x:c r="FH12" s="375"/>
      <x:c r="FI12" s="375"/>
      <x:c r="FJ12" s="375"/>
      <x:c r="FK12" s="375"/>
      <x:c r="FL12" s="375"/>
      <x:c r="FM12" s="375"/>
      <x:c r="FN12" s="375"/>
      <x:c r="FO12" s="375"/>
      <x:c r="FP12" s="375"/>
      <x:c r="FQ12" s="375"/>
      <x:c r="FR12" s="375"/>
      <x:c r="FS12" s="375"/>
      <x:c r="FT12" s="375"/>
      <x:c r="FU12" s="375"/>
      <x:c r="FV12" s="375"/>
      <x:c r="FW12" s="375"/>
      <x:c r="FX12" s="375"/>
      <x:c r="FY12" s="375"/>
      <x:c r="FZ12" s="375"/>
      <x:c r="GA12" s="375"/>
      <x:c r="GB12" s="375"/>
      <x:c r="GC12" s="375"/>
      <x:c r="GD12" s="375"/>
      <x:c r="GE12" s="375"/>
      <x:c r="GF12" s="375"/>
      <x:c r="GG12" s="375"/>
      <x:c r="GH12" s="375"/>
      <x:c r="GI12" s="375"/>
      <x:c r="GJ12" s="375"/>
      <x:c r="GK12" s="375"/>
      <x:c r="GL12" s="375"/>
      <x:c r="GM12" s="375"/>
      <x:c r="GN12" s="375"/>
      <x:c r="GO12" s="375"/>
      <x:c r="GP12" s="375"/>
      <x:c r="GQ12" s="375"/>
      <x:c r="GR12" s="375"/>
      <x:c r="GS12" s="375"/>
      <x:c r="GT12" s="375"/>
      <x:c r="GU12" s="375"/>
      <x:c r="GV12" s="375"/>
      <x:c r="GW12" s="375"/>
      <x:c r="GX12" s="375"/>
      <x:c r="GY12" s="375"/>
      <x:c r="GZ12" s="375"/>
      <x:c r="HA12" s="375"/>
      <x:c r="HB12" s="375"/>
      <x:c r="HC12" s="375"/>
      <x:c r="HD12" s="375"/>
      <x:c r="HE12" s="375"/>
      <x:c r="HF12" s="375"/>
      <x:c r="HG12" s="375"/>
      <x:c r="HH12" s="375"/>
      <x:c r="HI12" s="375"/>
      <x:c r="HJ12" s="375"/>
      <x:c r="HK12" s="375"/>
      <x:c r="HL12" s="375"/>
      <x:c r="HM12" s="375"/>
      <x:c r="HN12" s="375"/>
      <x:c r="HO12" s="375"/>
      <x:c r="HP12" s="375"/>
      <x:c r="HQ12" s="375"/>
      <x:c r="HR12" s="375"/>
      <x:c r="HS12" s="375"/>
      <x:c r="HT12" s="375"/>
      <x:c r="HU12" s="375"/>
      <x:c r="HV12" s="375"/>
      <x:c r="HW12" s="375"/>
      <x:c r="HX12" s="375"/>
      <x:c r="HY12" s="375"/>
      <x:c r="HZ12" s="375"/>
      <x:c r="IA12" s="375"/>
      <x:c r="IB12" s="375"/>
      <x:c r="IC12" s="375"/>
      <x:c r="ID12" s="375"/>
      <x:c r="IE12" s="375"/>
      <x:c r="IF12" s="375"/>
      <x:c r="IG12" s="375"/>
      <x:c r="IH12" s="375"/>
      <x:c r="II12" s="375"/>
      <x:c r="IJ12" s="375"/>
      <x:c r="IK12" s="375"/>
      <x:c r="IL12" s="375"/>
      <x:c r="IM12" s="375"/>
      <x:c r="IN12" s="375"/>
      <x:c r="IO12" s="375"/>
      <x:c r="IP12" s="375"/>
      <x:c r="IQ12" s="375"/>
      <x:c r="IR12" s="375"/>
      <x:c r="IS12" s="375"/>
      <x:c r="IT12" s="375"/>
      <x:c r="IU12" s="375"/>
      <x:c r="IV12" s="375"/>
      <x:c r="IW12" s="375"/>
      <x:c r="IX12" s="375"/>
      <x:c r="IY12" s="375"/>
      <x:c r="IZ12" s="375"/>
      <x:c r="JA12" s="375"/>
      <x:c r="JB12" s="375"/>
      <x:c r="JC12" s="375"/>
      <x:c r="JD12" s="375"/>
      <x:c r="JE12" s="375"/>
      <x:c r="JF12" s="375"/>
      <x:c r="JG12" s="375"/>
      <x:c r="JH12" s="375"/>
      <x:c r="JI12" s="375"/>
      <x:c r="JJ12" s="375"/>
      <x:c r="JK12" s="375"/>
      <x:c r="JL12" s="375"/>
      <x:c r="JM12" s="375"/>
      <x:c r="JN12" s="375"/>
      <x:c r="JO12" s="375"/>
      <x:c r="JP12" s="375"/>
      <x:c r="JQ12" s="375"/>
      <x:c r="JR12" s="375"/>
      <x:c r="JS12" s="375"/>
      <x:c r="JT12" s="375"/>
      <x:c r="JU12" s="375"/>
      <x:c r="JV12" s="375"/>
      <x:c r="JW12" s="375"/>
      <x:c r="JX12" s="375"/>
      <x:c r="JY12" s="375"/>
      <x:c r="JZ12" s="375"/>
      <x:c r="KA12" s="375"/>
      <x:c r="KB12" s="375"/>
      <x:c r="KC12" s="375"/>
      <x:c r="KD12" s="375"/>
      <x:c r="KE12" s="375"/>
      <x:c r="KF12" s="375"/>
      <x:c r="KG12" s="375"/>
      <x:c r="KH12" s="375"/>
      <x:c r="KI12" s="375"/>
      <x:c r="KJ12" s="375"/>
      <x:c r="KK12" s="375"/>
      <x:c r="KL12" s="375"/>
      <x:c r="KM12" s="375"/>
      <x:c r="KN12" s="375"/>
      <x:c r="KO12" s="375"/>
      <x:c r="KP12" s="375"/>
      <x:c r="KQ12" s="375"/>
      <x:c r="KR12" s="375"/>
      <x:c r="KS12" s="375"/>
      <x:c r="KT12" s="375"/>
      <x:c r="KU12" s="375"/>
      <x:c r="KV12" s="375"/>
      <x:c r="KW12" s="375"/>
      <x:c r="KX12" s="375"/>
      <x:c r="KY12" s="375"/>
      <x:c r="KZ12" s="375"/>
      <x:c r="LA12" s="375"/>
      <x:c r="LB12" s="375"/>
      <x:c r="LC12" s="375"/>
      <x:c r="LD12" s="375"/>
      <x:c r="LE12" s="375"/>
      <x:c r="LF12" s="375"/>
      <x:c r="LG12" s="375"/>
      <x:c r="LH12" s="375"/>
      <x:c r="LI12" s="375"/>
      <x:c r="LJ12" s="375"/>
      <x:c r="LK12" s="375"/>
      <x:c r="LL12" s="375"/>
      <x:c r="LM12" s="375"/>
      <x:c r="LN12" s="375"/>
      <x:c r="LO12" s="375"/>
      <x:c r="LP12" s="375"/>
      <x:c r="LQ12" s="375"/>
      <x:c r="LR12" s="375"/>
      <x:c r="LS12" s="375"/>
      <x:c r="LT12" s="375"/>
      <x:c r="LU12" s="375"/>
      <x:c r="LV12" s="375"/>
      <x:c r="LW12" s="375"/>
      <x:c r="LX12" s="375"/>
      <x:c r="LY12" s="375"/>
      <x:c r="LZ12" s="375"/>
      <x:c r="MA12" s="375"/>
      <x:c r="MB12" s="375"/>
      <x:c r="MC12" s="375"/>
      <x:c r="MD12" s="375"/>
      <x:c r="ME12" s="375"/>
      <x:c r="MF12" s="375"/>
      <x:c r="MG12" s="375"/>
      <x:c r="MH12" s="375"/>
      <x:c r="MI12" s="375"/>
      <x:c r="MJ12" s="375"/>
      <x:c r="MK12" s="375"/>
      <x:c r="ML12" s="375"/>
      <x:c r="MM12" s="375"/>
      <x:c r="MN12" s="375"/>
      <x:c r="MO12" s="375"/>
      <x:c r="MP12" s="375"/>
      <x:c r="MQ12" s="375"/>
      <x:c r="MR12" s="375"/>
      <x:c r="MS12" s="375"/>
      <x:c r="MT12" s="375"/>
      <x:c r="MU12" s="375"/>
      <x:c r="MV12" s="375"/>
      <x:c r="MW12" s="375"/>
      <x:c r="MX12" s="375"/>
      <x:c r="MY12" s="375"/>
      <x:c r="MZ12" s="375"/>
      <x:c r="NA12" s="375"/>
      <x:c r="NB12" s="375"/>
      <x:c r="NC12" s="375"/>
      <x:c r="ND12" s="375"/>
      <x:c r="NE12" s="375"/>
      <x:c r="NF12" s="375"/>
      <x:c r="NG12" s="375"/>
      <x:c r="NH12" s="375"/>
      <x:c r="NI12" s="375"/>
      <x:c r="NJ12" s="375"/>
      <x:c r="NK12" s="375"/>
      <x:c r="NL12" s="375"/>
      <x:c r="NM12" s="375"/>
      <x:c r="NN12" s="375"/>
      <x:c r="NO12" s="375"/>
      <x:c r="NP12" s="375"/>
      <x:c r="NQ12" s="375"/>
      <x:c r="NR12" s="375"/>
      <x:c r="NS12" s="375"/>
      <x:c r="NT12" s="375"/>
      <x:c r="NU12" s="375"/>
      <x:c r="NV12" s="375"/>
      <x:c r="NW12" s="375"/>
      <x:c r="NX12" s="375"/>
      <x:c r="NY12" s="375"/>
      <x:c r="NZ12" s="375"/>
      <x:c r="OA12" s="375"/>
      <x:c r="OB12" s="375"/>
      <x:c r="OC12" s="375"/>
      <x:c r="OD12" s="375"/>
      <x:c r="OE12" s="375"/>
      <x:c r="OF12" s="375"/>
      <x:c r="OG12" s="375"/>
      <x:c r="OH12" s="375"/>
      <x:c r="OI12" s="375"/>
      <x:c r="OJ12" s="375"/>
      <x:c r="OK12" s="375"/>
      <x:c r="OL12" s="375"/>
      <x:c r="OM12" s="375"/>
      <x:c r="ON12" s="375"/>
      <x:c r="OO12" s="375"/>
      <x:c r="OP12" s="375"/>
      <x:c r="OQ12" s="375"/>
      <x:c r="OR12" s="375"/>
      <x:c r="OS12" s="375"/>
      <x:c r="OT12" s="375"/>
      <x:c r="OU12" s="375"/>
      <x:c r="OV12" s="375"/>
      <x:c r="OW12" s="375"/>
      <x:c r="OX12" s="375"/>
      <x:c r="OY12" s="375"/>
      <x:c r="OZ12" s="375"/>
      <x:c r="PA12" s="375"/>
      <x:c r="PB12" s="375"/>
      <x:c r="PC12" s="375"/>
      <x:c r="PD12" s="375"/>
      <x:c r="PE12" s="375"/>
      <x:c r="PF12" s="375"/>
      <x:c r="PG12" s="375"/>
      <x:c r="PH12" s="375"/>
      <x:c r="PI12" s="375"/>
      <x:c r="PJ12" s="375"/>
      <x:c r="PK12" s="375"/>
      <x:c r="PL12" s="375"/>
      <x:c r="PM12" s="375"/>
      <x:c r="PN12" s="375"/>
      <x:c r="PO12" s="375"/>
      <x:c r="PP12" s="375"/>
      <x:c r="PQ12" s="375"/>
      <x:c r="PR12" s="375"/>
      <x:c r="PS12" s="375"/>
      <x:c r="PT12" s="375"/>
      <x:c r="PU12" s="375"/>
      <x:c r="PV12" s="375"/>
      <x:c r="PW12" s="375"/>
      <x:c r="PX12" s="375"/>
      <x:c r="PY12" s="375"/>
      <x:c r="PZ12" s="375"/>
      <x:c r="QA12" s="375"/>
      <x:c r="QB12" s="375"/>
      <x:c r="QC12" s="375"/>
      <x:c r="QD12" s="375"/>
      <x:c r="QE12" s="375"/>
      <x:c r="QF12" s="375"/>
      <x:c r="QG12" s="375"/>
      <x:c r="QH12" s="375"/>
      <x:c r="QI12" s="375"/>
      <x:c r="QJ12" s="375"/>
      <x:c r="QK12" s="375"/>
      <x:c r="QL12" s="375"/>
      <x:c r="QM12" s="375"/>
      <x:c r="QN12" s="375"/>
      <x:c r="QO12" s="375"/>
      <x:c r="QP12" s="375"/>
      <x:c r="QQ12" s="375"/>
      <x:c r="QR12" s="375"/>
      <x:c r="QS12" s="375"/>
      <x:c r="QT12" s="375"/>
      <x:c r="QU12" s="375"/>
      <x:c r="QV12" s="375"/>
      <x:c r="QW12" s="375"/>
      <x:c r="QX12" s="375"/>
      <x:c r="QY12" s="375"/>
      <x:c r="QZ12" s="375"/>
      <x:c r="RA12" s="375"/>
      <x:c r="RB12" s="375"/>
      <x:c r="RC12" s="375"/>
      <x:c r="RD12" s="375"/>
      <x:c r="RE12" s="375"/>
      <x:c r="RF12" s="375"/>
      <x:c r="RG12" s="375"/>
      <x:c r="RH12" s="375"/>
      <x:c r="RI12" s="375"/>
      <x:c r="RJ12" s="375"/>
      <x:c r="RK12" s="375"/>
      <x:c r="RL12" s="375"/>
      <x:c r="RM12" s="375"/>
      <x:c r="RN12" s="375"/>
      <x:c r="RO12" s="375"/>
      <x:c r="RP12" s="375"/>
      <x:c r="RQ12" s="375"/>
      <x:c r="RR12" s="375"/>
      <x:c r="RS12" s="375"/>
      <x:c r="RT12" s="375"/>
      <x:c r="RU12" s="375"/>
      <x:c r="RV12" s="375"/>
      <x:c r="RW12" s="375"/>
      <x:c r="RX12" s="375"/>
      <x:c r="RY12" s="375"/>
      <x:c r="RZ12" s="375"/>
      <x:c r="SA12" s="375"/>
      <x:c r="SB12" s="375"/>
      <x:c r="SC12" s="375"/>
      <x:c r="SD12" s="375"/>
      <x:c r="SE12" s="375"/>
      <x:c r="SF12" s="375"/>
      <x:c r="SG12" s="375"/>
      <x:c r="SH12" s="375"/>
      <x:c r="SI12" s="375"/>
      <x:c r="SJ12" s="375"/>
      <x:c r="SK12" s="375"/>
      <x:c r="SL12" s="375"/>
      <x:c r="SM12" s="375"/>
      <x:c r="SN12" s="375"/>
      <x:c r="SO12" s="375"/>
      <x:c r="SP12" s="375"/>
      <x:c r="SQ12" s="375"/>
      <x:c r="SR12" s="375"/>
      <x:c r="SS12" s="375"/>
      <x:c r="ST12" s="375"/>
      <x:c r="SU12" s="375"/>
      <x:c r="SV12" s="375"/>
      <x:c r="SW12" s="375"/>
      <x:c r="SX12" s="375"/>
      <x:c r="SY12" s="375"/>
      <x:c r="SZ12" s="375"/>
      <x:c r="TA12" s="375"/>
      <x:c r="TB12" s="375"/>
      <x:c r="TC12" s="375"/>
      <x:c r="TD12" s="375"/>
      <x:c r="TE12" s="375"/>
      <x:c r="TF12" s="375"/>
      <x:c r="TG12" s="375"/>
      <x:c r="TH12" s="375"/>
      <x:c r="TI12" s="375"/>
      <x:c r="TJ12" s="375"/>
      <x:c r="TK12" s="375"/>
      <x:c r="TL12" s="375"/>
      <x:c r="TM12" s="375"/>
      <x:c r="TN12" s="375"/>
      <x:c r="TO12" s="375"/>
      <x:c r="TP12" s="375"/>
      <x:c r="TQ12" s="375"/>
      <x:c r="TR12" s="375"/>
      <x:c r="TS12" s="375"/>
      <x:c r="TT12" s="375"/>
      <x:c r="TU12" s="375"/>
      <x:c r="TV12" s="375"/>
      <x:c r="TW12" s="375"/>
      <x:c r="TX12" s="375"/>
      <x:c r="TY12" s="375"/>
      <x:c r="TZ12" s="375"/>
      <x:c r="UA12" s="375"/>
      <x:c r="UB12" s="375"/>
      <x:c r="UC12" s="375"/>
      <x:c r="UD12" s="375"/>
      <x:c r="UE12" s="375"/>
      <x:c r="UF12" s="375"/>
      <x:c r="UG12" s="375"/>
      <x:c r="UH12" s="375"/>
      <x:c r="UI12" s="375"/>
      <x:c r="UJ12" s="375"/>
      <x:c r="UK12" s="375"/>
      <x:c r="UL12" s="375"/>
      <x:c r="UM12" s="375"/>
      <x:c r="UN12" s="375"/>
      <x:c r="UO12" s="375"/>
      <x:c r="UP12" s="375"/>
      <x:c r="UQ12" s="375"/>
      <x:c r="UR12" s="375"/>
      <x:c r="US12" s="375"/>
      <x:c r="UT12" s="375"/>
      <x:c r="UU12" s="375"/>
      <x:c r="UV12" s="375"/>
      <x:c r="UW12" s="375"/>
      <x:c r="UX12" s="375"/>
      <x:c r="UY12" s="375"/>
      <x:c r="UZ12" s="375"/>
      <x:c r="VA12" s="375"/>
      <x:c r="VB12" s="375"/>
      <x:c r="VC12" s="375"/>
      <x:c r="VD12" s="375"/>
      <x:c r="VE12" s="375"/>
      <x:c r="VF12" s="375"/>
      <x:c r="VG12" s="375"/>
      <x:c r="VH12" s="375"/>
      <x:c r="VI12" s="375"/>
      <x:c r="VJ12" s="375"/>
      <x:c r="VK12" s="375"/>
      <x:c r="VL12" s="375"/>
      <x:c r="VM12" s="375"/>
      <x:c r="VN12" s="375"/>
      <x:c r="VO12" s="375"/>
      <x:c r="VP12" s="375"/>
      <x:c r="VQ12" s="375"/>
      <x:c r="VR12" s="375"/>
      <x:c r="VS12" s="375"/>
      <x:c r="VT12" s="375"/>
      <x:c r="VU12" s="375"/>
      <x:c r="VV12" s="375"/>
      <x:c r="VW12" s="375"/>
      <x:c r="VX12" s="375"/>
      <x:c r="VY12" s="375"/>
      <x:c r="VZ12" s="375"/>
      <x:c r="WA12" s="375"/>
      <x:c r="WB12" s="375"/>
      <x:c r="WC12" s="375"/>
      <x:c r="WD12" s="375"/>
      <x:c r="WE12" s="375"/>
      <x:c r="WF12" s="375"/>
      <x:c r="WG12" s="375"/>
      <x:c r="WH12" s="375"/>
      <x:c r="WI12" s="375"/>
      <x:c r="WJ12" s="375"/>
      <x:c r="WK12" s="375"/>
      <x:c r="WL12" s="375"/>
      <x:c r="WM12" s="375"/>
      <x:c r="WN12" s="375"/>
      <x:c r="WO12" s="375"/>
      <x:c r="WP12" s="375"/>
      <x:c r="WQ12" s="375"/>
      <x:c r="WR12" s="375"/>
      <x:c r="WS12" s="375"/>
      <x:c r="WT12" s="375"/>
      <x:c r="WU12" s="375"/>
      <x:c r="WV12" s="375"/>
      <x:c r="WW12" s="375"/>
      <x:c r="WX12" s="375"/>
      <x:c r="WY12" s="375"/>
      <x:c r="WZ12" s="375"/>
      <x:c r="XA12" s="375"/>
      <x:c r="XB12" s="375"/>
      <x:c r="XC12" s="375"/>
      <x:c r="XD12" s="375"/>
      <x:c r="XE12" s="375"/>
      <x:c r="XF12" s="375"/>
      <x:c r="XG12" s="375"/>
      <x:c r="XH12" s="375"/>
      <x:c r="XI12" s="375"/>
      <x:c r="XJ12" s="375"/>
      <x:c r="XK12" s="375"/>
      <x:c r="XL12" s="375"/>
      <x:c r="XM12" s="375"/>
      <x:c r="XN12" s="375"/>
      <x:c r="XO12" s="375"/>
      <x:c r="XP12" s="375"/>
      <x:c r="XQ12" s="375"/>
      <x:c r="XR12" s="375"/>
      <x:c r="XS12" s="375"/>
      <x:c r="XT12" s="375"/>
      <x:c r="XU12" s="375"/>
      <x:c r="XV12" s="375"/>
      <x:c r="XW12" s="375"/>
      <x:c r="XX12" s="375"/>
      <x:c r="XY12" s="375"/>
      <x:c r="XZ12" s="375"/>
      <x:c r="YA12" s="375"/>
      <x:c r="YB12" s="375"/>
      <x:c r="YC12" s="375"/>
      <x:c r="YD12" s="375"/>
      <x:c r="YE12" s="375"/>
      <x:c r="YF12" s="375"/>
      <x:c r="YG12" s="375"/>
      <x:c r="YH12" s="375"/>
      <x:c r="YI12" s="375"/>
      <x:c r="YJ12" s="375"/>
      <x:c r="YK12" s="375"/>
      <x:c r="YL12" s="375"/>
      <x:c r="YM12" s="375"/>
      <x:c r="YN12" s="375"/>
      <x:c r="YO12" s="375"/>
      <x:c r="YP12" s="375"/>
      <x:c r="YQ12" s="375"/>
      <x:c r="YR12" s="375"/>
      <x:c r="YS12" s="375"/>
      <x:c r="YT12" s="375"/>
      <x:c r="YU12" s="375"/>
      <x:c r="YV12" s="375"/>
      <x:c r="YW12" s="375"/>
      <x:c r="YX12" s="375"/>
      <x:c r="YY12" s="375"/>
      <x:c r="YZ12" s="375"/>
      <x:c r="ZA12" s="375"/>
      <x:c r="ZB12" s="375"/>
      <x:c r="ZC12" s="375"/>
      <x:c r="ZD12" s="375"/>
      <x:c r="ZE12" s="375"/>
      <x:c r="ZF12" s="375"/>
      <x:c r="ZG12" s="375"/>
      <x:c r="ZH12" s="375"/>
      <x:c r="ZI12" s="375"/>
      <x:c r="ZJ12" s="375"/>
      <x:c r="ZK12" s="375"/>
      <x:c r="ZL12" s="375"/>
      <x:c r="ZM12" s="375"/>
      <x:c r="ZN12" s="375"/>
      <x:c r="ZO12" s="375"/>
      <x:c r="ZP12" s="375"/>
      <x:c r="ZQ12" s="375"/>
      <x:c r="ZR12" s="375"/>
      <x:c r="ZS12" s="375"/>
      <x:c r="ZT12" s="375"/>
      <x:c r="ZU12" s="375"/>
      <x:c r="ZV12" s="375"/>
      <x:c r="ZW12" s="375"/>
      <x:c r="ZX12" s="375"/>
      <x:c r="ZY12" s="375"/>
      <x:c r="ZZ12" s="375"/>
      <x:c r="AAA12" s="375"/>
      <x:c r="AAB12" s="375"/>
      <x:c r="AAC12" s="375"/>
      <x:c r="AAD12" s="375"/>
      <x:c r="AAE12" s="375"/>
      <x:c r="AAF12" s="375"/>
      <x:c r="AAG12" s="375"/>
      <x:c r="AAH12" s="375"/>
      <x:c r="AAI12" s="375"/>
      <x:c r="AAJ12" s="375"/>
      <x:c r="AAK12" s="375"/>
      <x:c r="AAL12" s="375"/>
      <x:c r="AAM12" s="375"/>
      <x:c r="AAN12" s="375"/>
      <x:c r="AAO12" s="375"/>
      <x:c r="AAP12" s="375"/>
      <x:c r="AAQ12" s="375"/>
      <x:c r="AAR12" s="375"/>
      <x:c r="AAS12" s="375"/>
      <x:c r="AAT12" s="375"/>
      <x:c r="AAU12" s="375"/>
      <x:c r="AAV12" s="375"/>
      <x:c r="AAW12" s="375"/>
      <x:c r="AAX12" s="375"/>
      <x:c r="AAY12" s="375"/>
      <x:c r="AAZ12" s="375"/>
      <x:c r="ABA12" s="375"/>
      <x:c r="ABB12" s="375"/>
      <x:c r="ABC12" s="375"/>
      <x:c r="ABD12" s="375"/>
      <x:c r="ABE12" s="375"/>
      <x:c r="ABF12" s="375"/>
      <x:c r="ABG12" s="375"/>
      <x:c r="ABH12" s="375"/>
      <x:c r="ABI12" s="375"/>
      <x:c r="ABJ12" s="375"/>
      <x:c r="ABK12" s="375"/>
      <x:c r="ABL12" s="375"/>
      <x:c r="ABM12" s="375"/>
      <x:c r="ABN12" s="375"/>
      <x:c r="ABO12" s="375"/>
      <x:c r="ABP12" s="375"/>
      <x:c r="ABQ12" s="375"/>
      <x:c r="ABR12" s="375"/>
      <x:c r="ABS12" s="375"/>
      <x:c r="ABT12" s="375"/>
      <x:c r="ABU12" s="375"/>
      <x:c r="ABV12" s="375"/>
      <x:c r="ABW12" s="375"/>
      <x:c r="ABX12" s="375"/>
      <x:c r="ABY12" s="375"/>
      <x:c r="ABZ12" s="375"/>
      <x:c r="ACA12" s="375"/>
      <x:c r="ACB12" s="375"/>
      <x:c r="ACC12" s="375"/>
      <x:c r="ACD12" s="375"/>
      <x:c r="ACE12" s="375"/>
      <x:c r="ACF12" s="375"/>
      <x:c r="ACG12" s="375"/>
      <x:c r="ACH12" s="375"/>
      <x:c r="ACI12" s="375"/>
      <x:c r="ACJ12" s="375"/>
      <x:c r="ACK12" s="375"/>
      <x:c r="ACL12" s="375"/>
      <x:c r="ACM12" s="375"/>
      <x:c r="ACN12" s="375"/>
      <x:c r="ACO12" s="375"/>
      <x:c r="ACP12" s="375"/>
      <x:c r="ACQ12" s="375"/>
      <x:c r="ACR12" s="375"/>
      <x:c r="ACS12" s="375"/>
      <x:c r="ACT12" s="375"/>
      <x:c r="ACU12" s="375"/>
      <x:c r="ACV12" s="375"/>
      <x:c r="ACW12" s="375"/>
      <x:c r="ACX12" s="375"/>
      <x:c r="ACY12" s="375"/>
      <x:c r="ACZ12" s="375"/>
      <x:c r="ADA12" s="375"/>
      <x:c r="ADB12" s="375"/>
      <x:c r="ADC12" s="375"/>
      <x:c r="ADD12" s="375"/>
      <x:c r="ADE12" s="375"/>
      <x:c r="ADF12" s="375"/>
      <x:c r="ADG12" s="375"/>
      <x:c r="ADH12" s="375"/>
      <x:c r="ADI12" s="375"/>
      <x:c r="ADJ12" s="375"/>
      <x:c r="ADK12" s="375"/>
      <x:c r="ADL12" s="375"/>
      <x:c r="ADM12" s="375"/>
      <x:c r="ADN12" s="375"/>
      <x:c r="ADO12" s="375"/>
      <x:c r="ADP12" s="375"/>
      <x:c r="ADQ12" s="375"/>
      <x:c r="ADR12" s="375"/>
      <x:c r="ADS12" s="375"/>
      <x:c r="ADT12" s="375"/>
      <x:c r="ADU12" s="375"/>
      <x:c r="ADV12" s="375"/>
      <x:c r="ADW12" s="375"/>
      <x:c r="ADX12" s="375"/>
      <x:c r="ADY12" s="375"/>
      <x:c r="ADZ12" s="375"/>
      <x:c r="AEA12" s="375"/>
      <x:c r="AEB12" s="375"/>
      <x:c r="AEC12" s="375"/>
      <x:c r="AED12" s="375"/>
      <x:c r="AEE12" s="375"/>
      <x:c r="AEF12" s="375"/>
      <x:c r="AEG12" s="375"/>
      <x:c r="AEH12" s="375"/>
      <x:c r="AEI12" s="375"/>
      <x:c r="AEJ12" s="375"/>
      <x:c r="AEK12" s="375"/>
      <x:c r="AEL12" s="375"/>
      <x:c r="AEM12" s="375"/>
      <x:c r="AEN12" s="375"/>
      <x:c r="AEO12" s="375"/>
      <x:c r="AEP12" s="375"/>
      <x:c r="AEQ12" s="375"/>
      <x:c r="AER12" s="375"/>
      <x:c r="AES12" s="375"/>
      <x:c r="AET12" s="375"/>
      <x:c r="AEU12" s="375"/>
      <x:c r="AEV12" s="375"/>
      <x:c r="AEW12" s="375"/>
      <x:c r="AEX12" s="375"/>
      <x:c r="AEY12" s="375"/>
      <x:c r="AEZ12" s="375"/>
      <x:c r="AFA12" s="375"/>
      <x:c r="AFB12" s="375"/>
      <x:c r="AFC12" s="375"/>
      <x:c r="AFD12" s="375"/>
      <x:c r="AFE12" s="375"/>
      <x:c r="AFF12" s="375"/>
      <x:c r="AFG12" s="375"/>
      <x:c r="AFH12" s="375"/>
      <x:c r="AFI12" s="375"/>
      <x:c r="AFJ12" s="375"/>
      <x:c r="AFK12" s="375"/>
      <x:c r="AFL12" s="375"/>
      <x:c r="AFM12" s="375"/>
      <x:c r="AFN12" s="375"/>
      <x:c r="AFO12" s="375"/>
      <x:c r="AFP12" s="375"/>
      <x:c r="AFQ12" s="375"/>
      <x:c r="AFR12" s="375"/>
      <x:c r="AFS12" s="375"/>
      <x:c r="AFT12" s="375"/>
      <x:c r="AFU12" s="375"/>
      <x:c r="AFV12" s="375"/>
      <x:c r="AFW12" s="375"/>
      <x:c r="AFX12" s="375"/>
      <x:c r="AFY12" s="375"/>
      <x:c r="AFZ12" s="375"/>
      <x:c r="AGA12" s="375"/>
      <x:c r="AGB12" s="375"/>
      <x:c r="AGC12" s="375"/>
      <x:c r="AGD12" s="375"/>
      <x:c r="AGE12" s="375"/>
      <x:c r="AGF12" s="375"/>
      <x:c r="AGG12" s="375"/>
      <x:c r="AGH12" s="375"/>
      <x:c r="AGI12" s="375"/>
      <x:c r="AGJ12" s="375"/>
      <x:c r="AGK12" s="375"/>
      <x:c r="AGL12" s="375"/>
      <x:c r="AGM12" s="375"/>
      <x:c r="AGN12" s="375"/>
      <x:c r="AGO12" s="375"/>
      <x:c r="AGP12" s="375"/>
      <x:c r="AGQ12" s="375"/>
      <x:c r="AGR12" s="375"/>
      <x:c r="AGS12" s="375"/>
      <x:c r="AGT12" s="375"/>
      <x:c r="AGU12" s="375"/>
      <x:c r="AGV12" s="375"/>
      <x:c r="AGW12" s="375"/>
      <x:c r="AGX12" s="375"/>
      <x:c r="AGY12" s="375"/>
      <x:c r="AGZ12" s="375"/>
      <x:c r="AHA12" s="375"/>
      <x:c r="AHB12" s="375"/>
      <x:c r="AHC12" s="375"/>
      <x:c r="AHD12" s="375"/>
      <x:c r="AHE12" s="375"/>
      <x:c r="AHF12" s="375"/>
      <x:c r="AHG12" s="375"/>
      <x:c r="AHH12" s="375"/>
      <x:c r="AHI12" s="375"/>
      <x:c r="AHJ12" s="375"/>
      <x:c r="AHK12" s="375"/>
      <x:c r="AHL12" s="375"/>
      <x:c r="AHM12" s="375"/>
      <x:c r="AHN12" s="375"/>
      <x:c r="AHO12" s="375"/>
      <x:c r="AHP12" s="375"/>
      <x:c r="AHQ12" s="375"/>
      <x:c r="AHR12" s="375"/>
      <x:c r="AHS12" s="375"/>
      <x:c r="AHT12" s="375"/>
      <x:c r="AHU12" s="375"/>
      <x:c r="AHV12" s="375"/>
      <x:c r="AHW12" s="375"/>
      <x:c r="AHX12" s="375"/>
      <x:c r="AHY12" s="375"/>
      <x:c r="AHZ12" s="375"/>
      <x:c r="AIA12" s="375"/>
      <x:c r="AIB12" s="375"/>
      <x:c r="AIC12" s="375"/>
      <x:c r="AID12" s="375"/>
      <x:c r="AIE12" s="375"/>
      <x:c r="AIF12" s="375"/>
      <x:c r="AIG12" s="375"/>
      <x:c r="AIH12" s="375"/>
      <x:c r="AII12" s="375"/>
      <x:c r="AIJ12" s="375"/>
      <x:c r="AIK12" s="375"/>
      <x:c r="AIL12" s="375"/>
      <x:c r="AIM12" s="375"/>
      <x:c r="AIN12" s="375"/>
      <x:c r="AIO12" s="375"/>
      <x:c r="AIP12" s="375"/>
      <x:c r="AIQ12" s="375"/>
      <x:c r="AIR12" s="375"/>
      <x:c r="AIS12" s="375"/>
      <x:c r="AIT12" s="375"/>
      <x:c r="AIU12" s="375"/>
      <x:c r="AIV12" s="375"/>
      <x:c r="AIW12" s="375"/>
      <x:c r="AIX12" s="375"/>
      <x:c r="AIY12" s="375"/>
      <x:c r="AIZ12" s="375"/>
      <x:c r="AJA12" s="375"/>
      <x:c r="AJB12" s="375"/>
      <x:c r="AJC12" s="375"/>
      <x:c r="AJD12" s="375"/>
      <x:c r="AJE12" s="375"/>
      <x:c r="AJF12" s="375"/>
      <x:c r="AJG12" s="375"/>
      <x:c r="AJH12" s="375"/>
      <x:c r="AJI12" s="375"/>
      <x:c r="AJJ12" s="375"/>
      <x:c r="AJK12" s="375"/>
      <x:c r="AJL12" s="375"/>
      <x:c r="AJM12" s="375"/>
      <x:c r="AJN12" s="375"/>
      <x:c r="AJO12" s="375"/>
      <x:c r="AJP12" s="375"/>
      <x:c r="AJQ12" s="375"/>
      <x:c r="AJR12" s="375"/>
      <x:c r="AJS12" s="375"/>
      <x:c r="AJT12" s="375"/>
      <x:c r="AJU12" s="375"/>
      <x:c r="AJV12" s="375"/>
      <x:c r="AJW12" s="375"/>
      <x:c r="AJX12" s="375"/>
      <x:c r="AJY12" s="375"/>
      <x:c r="AJZ12" s="375"/>
      <x:c r="AKA12" s="375"/>
      <x:c r="AKB12" s="375"/>
      <x:c r="AKC12" s="375"/>
      <x:c r="AKD12" s="375"/>
      <x:c r="AKE12" s="375"/>
      <x:c r="AKF12" s="375"/>
      <x:c r="AKG12" s="375"/>
      <x:c r="AKH12" s="375"/>
      <x:c r="AKI12" s="375"/>
      <x:c r="AKJ12" s="375"/>
      <x:c r="AKK12" s="375"/>
      <x:c r="AKL12" s="375"/>
      <x:c r="AKM12" s="375"/>
      <x:c r="AKN12" s="375"/>
      <x:c r="AKO12" s="375"/>
      <x:c r="AKP12" s="375"/>
      <x:c r="AKQ12" s="375"/>
      <x:c r="AKR12" s="375"/>
      <x:c r="AKS12" s="375"/>
      <x:c r="AKT12" s="375"/>
      <x:c r="AKU12" s="375"/>
      <x:c r="AKV12" s="375"/>
      <x:c r="AKW12" s="375"/>
      <x:c r="AKX12" s="375"/>
      <x:c r="AKY12" s="375"/>
      <x:c r="AKZ12" s="375"/>
      <x:c r="ALA12" s="375"/>
      <x:c r="ALB12" s="375"/>
      <x:c r="ALC12" s="375"/>
      <x:c r="ALD12" s="375"/>
      <x:c r="ALE12" s="375"/>
      <x:c r="ALF12" s="375"/>
      <x:c r="ALG12" s="375"/>
      <x:c r="ALH12" s="375"/>
      <x:c r="ALI12" s="375"/>
      <x:c r="ALJ12" s="375"/>
      <x:c r="ALK12" s="375"/>
      <x:c r="ALL12" s="375"/>
      <x:c r="ALM12" s="375"/>
      <x:c r="ALN12" s="375"/>
      <x:c r="ALO12" s="375"/>
      <x:c r="ALP12" s="375"/>
      <x:c r="ALQ12" s="375"/>
      <x:c r="ALR12" s="375"/>
      <x:c r="ALS12" s="375"/>
      <x:c r="ALT12" s="375"/>
      <x:c r="ALU12" s="375"/>
      <x:c r="ALV12" s="375"/>
      <x:c r="ALW12" s="375"/>
      <x:c r="ALX12" s="375"/>
      <x:c r="ALY12" s="375"/>
      <x:c r="ALZ12" s="375"/>
      <x:c r="AMA12" s="375"/>
      <x:c r="AMB12" s="375"/>
      <x:c r="AMC12" s="375"/>
      <x:c r="AMD12" s="375"/>
      <x:c r="AME12" s="375"/>
      <x:c r="AMF12" s="375"/>
      <x:c r="AMG12" s="375"/>
      <x:c r="AMH12" s="375"/>
      <x:c r="AMI12" s="375"/>
      <x:c r="AMJ12" s="375"/>
      <x:c r="AMK12" s="375"/>
    </x:row>
    <x:row r="13" ht="38" hidden="0" customHeight="1">
      <x:c r="A13" s="375" t="str">
        <x:v>01-yurina-A1-n-1</x:v>
      </x:c>
      <x:c r="B13" s="375" t="str">
        <x:v>yurina</x:v>
      </x:c>
      <x:c r="C13" s="375" t="str">
        <x:v>A1</x:v>
      </x:c>
      <x:c r="D13" s="375" t="str">
        <x:v>01-yurina-o-n-1</x:v>
      </x:c>
      <x:c r="E13" s="375" t="str">
        <x:v>乱打</x:v>
      </x:c>
      <x:c r="F13" s="375" t="str">
        <x:v>らんだ</x:v>
      </x:c>
      <x:c r="G13" s="375" t="str">
        <x:v>乱打</x:v>
      </x:c>
      <x:c r="H13" s="375" t="str">
        <x:v>乱打</x:v>
      </x:c>
      <x:c r="I13" s="375"/>
      <x:c r="J13" s="375" t="str">
        <x:v>난타</x:v>
      </x:c>
      <x:c r="K13" s="375" t="str">
        <x:v>Wild Swing</x:v>
      </x:c>
      <x:c r="L13" s="375"/>
      <x:c r="M13" s="375" t="str">
        <x:v>通常札</x:v>
      </x:c>
      <x:c r="N13" s="375"/>
      <x:c r="O13" s="375"/>
      <x:c r="P13" s="375"/>
      <x:c r="Q13" s="375"/>
      <x:c r="R13" s="375" t="str">
        <x:v>攻撃</x:v>
      </x:c>
      <x:c r="S13" s="375"/>
      <x:c r="T13" s="375" t="str">
        <x:v>2</x:v>
      </x:c>
      <x:c r="U13" s="383"/>
      <x:c r="V13" s="382" t="str">
        <x:v>2/1</x:v>
      </x:c>
      <x:c r="W13" s="383"/>
      <x:c r="X13" s="382"/>
      <x:c r="Y13" s="382"/>
      <x:c r="Z13" s="382"/>
      <x:c r="AA13" s="382"/>
      <x:c r="AB13" s="385"/>
      <x:c r="AC13" s="385"/>
      <x:c r="AD13" s="386"/>
      <x:c r="AE13" s="440" t="str">
        <x:v>【常時】決死―あなたのライフが3以下ならば、この《攻撃》は+0/+2となり、対応不可を得る。</x:v>
      </x:c>
      <x:c r="AF13" s="441"/>
      <x:c r="AG13" s="489" t="str">
        <x:v>【常时】决死～若自命中的樱花结晶数小于等于3，则此《攻击》得+1/+1和不可被对应。</x:v>
      </x:c>
      <x:c r="AH13" s="442"/>
      <x:c r="AI13" s="488" t="str">
        <x:v>【常时】决死～若自命中的樱花结晶的数目小于等于3，则此《攻击》获得+1/+1和不可被对应。</x:v>
      </x:c>
      <x:c r="AJ13" s="440"/>
      <x:c r="AK13" s="489" t="str">
        <x:v>【상시】결사-당신의 라이프가 3 이하라면, 이 《공격》은 +1/+1가 되고, 대응불가를 얻는다.</x:v>
      </x:c>
      <x:c r="AL13" s="440"/>
      <x:c r="AM13" s="489" t="str">
        <x:v>Forced: Resolve - If your Life is 3 or less, this attack gains +1/+1 and No Reactions.</x:v>
      </x:c>
      <x:c r="AN13" s="440"/>
      <x:c r="AO13" s="439"/>
      <x:c r="AP13" s="439"/>
      <x:c r="AQ13" s="439"/>
      <x:c r="AR13" s="439"/>
      <x:c r="AS13" s="439"/>
      <x:c r="AT13" s="378" t="str">
        <x:f>IF(A13="", "","'"&amp;A13&amp;"': {megami: '"&amp;B13&amp;"'"&amp;IF(C13&lt;&gt;"",", anotherID: '"&amp;C13&amp;"', replace: '"&amp;D13&amp;"'","")&amp;", name: '"&amp;SUBSTITUTE(E13,"'","\'")&amp;"', nameEn: '"&amp;SUBSTITUTE(K13,"'","\'")&amp;"', nameZh: '"&amp;SUBSTITUTE(G13,"'","\'")&amp;"', nameZhG12: '"&amp;SUBSTITUTE(H13,"'","\'")&amp;"', nameKo: '"&amp;SUBSTITUTE(J13,"'","\'")&amp;"', ruby: '"&amp;F13&amp;"', rubyEn: '"&amp;L13&amp;IF(I13&lt;&gt;"", "', rubyZh: '"&amp;I13, "")&amp;"', baseType: '"&amp;IF(M13="通常札","normal",IF(M13="切札","special",IF(M13="追加札","extra",IF(M13="transform","transform",IF(M13="嵐","storm",IF(M13="兵員","troop",IF(M13="構想","plan",IF(M13="メインパーツ","mainParts",IF(M13="カスタムパーツ","customParts",IF(M13="運命","fate",IF(M13="仮想樹","virtualTree","")))))))))))&amp;"'"&amp;IF(N13="○",", extra: true","")&amp;IF(O13&lt;&gt;"",", extraFrom: '"&amp;O13&amp;"'","")&amp;IF(P13&lt;&gt;"",", exchangableTo: '"&amp;P13&amp;"'","")&amp;IF(Q13="○",", poison: true","")&amp;IF(R13&lt;&gt;"", ", type: '"&amp;IF(R13="攻撃","attack",IF(R13="行動","action",IF(R13="不定","variable",IF(R13="対応","reaction",IF(R13="全力","fullpower",IF(R13="付与","enhance",IF(R13="transform","transform","")))))))&amp;"'", "")&amp;IF(S13&lt;&gt;"",", subType: '"&amp;IF(S13="攻撃","attack",IF(S13="行動","action",IF(S13="不定","variable",IF(S13="対応","reaction",IF(S13="全力","fullpower",IF(S13="付与","enhance",IF(S13="transform","transform","")))))))&amp;"'","")&amp;""&amp;IF(T13&lt;&gt;"",", range: '"&amp;T13&amp;"'","")&amp;IF(V13&lt;&gt;"",", damage: '"&amp;V13&amp;"'","")&amp;IF(X13&lt;&gt;"",", capacity: '"&amp;X13&amp;"'","")&amp;IF(Y13&lt;&gt;"",", growth: "&amp;Y13&amp;"","")&amp;IF(Z13&lt;&gt;"",", cost: '"&amp;Z13&amp;"'","")&amp;", text: '"&amp;SUBSTITUTE(SUBSTITUTE(AE13, CHAR(13), ""),CHAR(10),"\n")&amp;IF(AF13&lt;&gt;"", "', textAdditional: '"&amp;SUBSTITUTE(SUBSTITUTE(AF13, CHAR(13), ""),CHAR(10),"\n"), "")&amp;"', textZh: '"&amp;SUBSTITUTE(SUBSTITUTE(SUBSTITUTE(AG13, CHAR(13), ""),CHAR(10),"\n"),"'","\'")&amp;"', textZhG12: '"&amp;SUBSTITUTE(SUBSTITUTE(SUBSTITUTE(AI13, CHAR(13), ""),CHAR(10),"\n"),"'","\'")&amp;IF(AH13&lt;&gt;"", "', textZhAdditional: '"&amp;SUBSTITUTE(SUBSTITUTE(AH13, CHAR(13), ""),CHAR(10),"\n"), "")&amp;IF(AK13&lt;&gt;"", "', textZhG12Additional: '"&amp;SUBSTITUTE(SUBSTITUTE(AK13, CHAR(13), ""),CHAR(10),"\n"), "")&amp;"', textKo: '"&amp;SUBSTITUTE(SUBSTITUTE(SUBSTITUTE(AM13, CHAR(13), ""),CHAR(10),"\n"),"'","\'")&amp;IF(AM13&lt;&gt;"", "', textKoAdditional: '"&amp;SUBSTITUTE(SUBSTITUTE(AM13, CHAR(13), ""),CHAR(10),"\n"), "")&amp;"', textEn: '"&amp;SUBSTITUTE(SUBSTITUTE(SUBSTITUTE(AM13, CHAR(13), ""),CHAR(10),"\n"),"'","\'")&amp;IF(AN13&lt;&gt;"", "', textEnAdditional: '"&amp;SUBSTITUTE(SUBSTITUTE(AN13, CHAR(13), ""),CHAR(10),"\n"), "")&amp;"'"&amp;IF(AB13="○",", sealable: true","")&amp;IF(AC13="○",", removable: true","")&amp;IF(AA13="○",", lie: true","")&amp;IF(AD13="○",", investable: true","")&amp;"},")</x:f>
        <x:v>'01-yurina-A1-n-1': {megami: 'yurina', anotherID: 'A1', replace: '01-yurina-o-n-1', name: '乱打', nameEn: 'Wild Swing', nameZh: '乱打', nameZhG12: '乱打', nameKo: '난타', ruby: 'らんだ', rubyEn: '', baseType: 'normal', type: 'attack', range: '2', damage: '2/1', text: '【常時】決死―あなたのライフが3以下ならば、この《攻撃》は+0/+2となり、対応不可を得る。', textZh: '【常时】决死～若自命中的樱花结晶数小于等于3，则此《攻击》得+1/+1和不可被对应。', textZhG12: '【常时】决死～若自命中的樱花结晶的数目小于等于3，则此《攻击》获得+1/+1和不可被对应。', textZhG12Additional: '【상시】결사-당신의 라이프가 3 이하라면, 이 《공격》은 +1/+1가 되고, 대응불가를 얻는다.', textKo: 'Forced: Resolve - If your Life is 3 or less, this attack gains +1/+1 and No Reactions.', textKoAdditional: 'Forced: Resolve - If your Life is 3 or less, this attack gains +1/+1 and No Reactions.', textEn: 'Forced: Resolve - If your Life is 3 or less, this attack gains +1/+1 and No Reactions.'},</x:v>
      </x:c>
      <x:c r="AU13" s="379" t="str">
        <x:f>IF($A13&lt;&gt;"", "    /** 《"&amp;$E13&amp;"》 */ export const "&amp;SUBSTITUTE(UPPER(IF(MID($A13, 3, 1)="-", RIGHT($A13,LEN($A13)-3), $A13)), "-", "_")&amp;": TCardId = '"&amp;$A13&amp;"';", "")</x:f>
        <x:v>    /** 《乱打》 */ export const YURINA_A1_N_1: TCardId = '01-yurina-A1-n-1';</x:v>
      </x:c>
      <x:c r="AV13" s="380" t="str">
        <x:f>IF($A14&lt;&gt;"", "    | '"&amp;$A14&amp;"'", "")</x:f>
        <x:v>    | '01-yurina-A1-n-6'</x:v>
      </x:c>
      <x:c r="AW13" s="381"/>
      <x:c r="AX13" s="381"/>
      <x:c r="AY13" s="381"/>
      <x:c r="AZ13" s="381"/>
      <x:c r="BA13" s="381"/>
      <x:c r="BB13" s="381"/>
      <x:c r="BC13" s="381"/>
      <x:c r="BD13" s="381"/>
      <x:c r="BE13" s="381"/>
      <x:c r="BF13" s="381"/>
      <x:c r="BG13" s="381"/>
      <x:c r="BH13" s="381"/>
      <x:c r="BI13" s="381"/>
      <x:c r="BJ13" s="381"/>
      <x:c r="BK13" s="381"/>
      <x:c r="BL13" s="381"/>
      <x:c r="BM13" s="381"/>
      <x:c r="BN13" s="381"/>
      <x:c r="BO13" s="381"/>
      <x:c r="BP13" s="381"/>
      <x:c r="BQ13" s="375"/>
      <x:c r="BR13" s="375"/>
      <x:c r="BS13" s="375"/>
      <x:c r="BT13" s="375"/>
      <x:c r="BU13" s="375"/>
      <x:c r="BV13" s="375"/>
      <x:c r="BW13" s="375"/>
      <x:c r="BX13" s="375"/>
      <x:c r="BY13" s="375"/>
      <x:c r="BZ13" s="375"/>
      <x:c r="CA13" s="375"/>
      <x:c r="CB13" s="375"/>
      <x:c r="CC13" s="375"/>
      <x:c r="CD13" s="375"/>
      <x:c r="CE13" s="375"/>
      <x:c r="CF13" s="375"/>
      <x:c r="CG13" s="375"/>
      <x:c r="CH13" s="375"/>
      <x:c r="CI13" s="375"/>
      <x:c r="CJ13" s="375"/>
      <x:c r="CK13" s="375"/>
      <x:c r="CL13" s="375"/>
      <x:c r="CM13" s="375"/>
      <x:c r="CN13" s="375"/>
      <x:c r="CO13" s="375"/>
      <x:c r="CP13" s="375"/>
      <x:c r="CQ13" s="375"/>
      <x:c r="CR13" s="375"/>
      <x:c r="CS13" s="375"/>
      <x:c r="CT13" s="375"/>
      <x:c r="CU13" s="375"/>
      <x:c r="CV13" s="375"/>
      <x:c r="CW13" s="375"/>
      <x:c r="CX13" s="375"/>
      <x:c r="CY13" s="375"/>
      <x:c r="CZ13" s="375"/>
      <x:c r="DA13" s="375"/>
      <x:c r="DB13" s="375"/>
      <x:c r="DC13" s="375"/>
      <x:c r="DD13" s="375"/>
      <x:c r="DE13" s="375"/>
      <x:c r="DF13" s="375"/>
      <x:c r="DG13" s="375"/>
      <x:c r="DH13" s="375"/>
      <x:c r="DI13" s="375"/>
      <x:c r="DJ13" s="375"/>
      <x:c r="DK13" s="375"/>
      <x:c r="DL13" s="375"/>
      <x:c r="DM13" s="375"/>
      <x:c r="DN13" s="375"/>
      <x:c r="DO13" s="375"/>
      <x:c r="DP13" s="375"/>
      <x:c r="DQ13" s="375"/>
      <x:c r="DR13" s="375"/>
      <x:c r="DS13" s="375"/>
      <x:c r="DT13" s="375"/>
      <x:c r="DU13" s="375"/>
      <x:c r="DV13" s="375"/>
      <x:c r="DW13" s="375"/>
      <x:c r="DX13" s="375"/>
      <x:c r="DY13" s="375"/>
      <x:c r="DZ13" s="375"/>
      <x:c r="EA13" s="375"/>
      <x:c r="EB13" s="375"/>
      <x:c r="EC13" s="375"/>
      <x:c r="ED13" s="375"/>
      <x:c r="EE13" s="375"/>
      <x:c r="EF13" s="375"/>
      <x:c r="EG13" s="375"/>
      <x:c r="EH13" s="375"/>
      <x:c r="EI13" s="375"/>
      <x:c r="EJ13" s="375"/>
      <x:c r="EK13" s="375"/>
      <x:c r="EL13" s="375"/>
      <x:c r="EM13" s="375"/>
      <x:c r="EN13" s="375"/>
      <x:c r="EO13" s="375"/>
      <x:c r="EP13" s="375"/>
      <x:c r="EQ13" s="375"/>
      <x:c r="ER13" s="375"/>
      <x:c r="ES13" s="375"/>
      <x:c r="ET13" s="375"/>
      <x:c r="EU13" s="375"/>
      <x:c r="EV13" s="375"/>
      <x:c r="EW13" s="375"/>
      <x:c r="EX13" s="375"/>
      <x:c r="EY13" s="375"/>
      <x:c r="EZ13" s="375"/>
      <x:c r="FA13" s="375"/>
      <x:c r="FB13" s="375"/>
      <x:c r="FC13" s="375"/>
      <x:c r="FD13" s="375"/>
      <x:c r="FE13" s="375"/>
      <x:c r="FF13" s="375"/>
      <x:c r="FG13" s="375"/>
      <x:c r="FH13" s="375"/>
      <x:c r="FI13" s="375"/>
      <x:c r="FJ13" s="375"/>
      <x:c r="FK13" s="375"/>
      <x:c r="FL13" s="375"/>
      <x:c r="FM13" s="375"/>
      <x:c r="FN13" s="375"/>
      <x:c r="FO13" s="375"/>
      <x:c r="FP13" s="375"/>
      <x:c r="FQ13" s="375"/>
      <x:c r="FR13" s="375"/>
      <x:c r="FS13" s="375"/>
      <x:c r="FT13" s="375"/>
      <x:c r="FU13" s="375"/>
      <x:c r="FV13" s="375"/>
      <x:c r="FW13" s="375"/>
      <x:c r="FX13" s="375"/>
      <x:c r="FY13" s="375"/>
      <x:c r="FZ13" s="375"/>
      <x:c r="GA13" s="375"/>
      <x:c r="GB13" s="375"/>
      <x:c r="GC13" s="375"/>
      <x:c r="GD13" s="375"/>
      <x:c r="GE13" s="375"/>
      <x:c r="GF13" s="375"/>
      <x:c r="GG13" s="375"/>
      <x:c r="GH13" s="375"/>
      <x:c r="GI13" s="375"/>
      <x:c r="GJ13" s="375"/>
      <x:c r="GK13" s="375"/>
      <x:c r="GL13" s="375"/>
      <x:c r="GM13" s="375"/>
      <x:c r="GN13" s="375"/>
      <x:c r="GO13" s="375"/>
      <x:c r="GP13" s="375"/>
      <x:c r="GQ13" s="375"/>
      <x:c r="GR13" s="375"/>
      <x:c r="GS13" s="375"/>
      <x:c r="GT13" s="375"/>
      <x:c r="GU13" s="375"/>
      <x:c r="GV13" s="375"/>
      <x:c r="GW13" s="375"/>
      <x:c r="GX13" s="375"/>
      <x:c r="GY13" s="375"/>
      <x:c r="GZ13" s="375"/>
      <x:c r="HA13" s="375"/>
      <x:c r="HB13" s="375"/>
      <x:c r="HC13" s="375"/>
      <x:c r="HD13" s="375"/>
      <x:c r="HE13" s="375"/>
      <x:c r="HF13" s="375"/>
      <x:c r="HG13" s="375"/>
      <x:c r="HH13" s="375"/>
      <x:c r="HI13" s="375"/>
      <x:c r="HJ13" s="375"/>
      <x:c r="HK13" s="375"/>
      <x:c r="HL13" s="375"/>
      <x:c r="HM13" s="375"/>
      <x:c r="HN13" s="375"/>
      <x:c r="HO13" s="375"/>
      <x:c r="HP13" s="375"/>
      <x:c r="HQ13" s="375"/>
      <x:c r="HR13" s="375"/>
      <x:c r="HS13" s="375"/>
      <x:c r="HT13" s="375"/>
      <x:c r="HU13" s="375"/>
      <x:c r="HV13" s="375"/>
      <x:c r="HW13" s="375"/>
      <x:c r="HX13" s="375"/>
      <x:c r="HY13" s="375"/>
      <x:c r="HZ13" s="375"/>
      <x:c r="IA13" s="375"/>
      <x:c r="IB13" s="375"/>
      <x:c r="IC13" s="375"/>
      <x:c r="ID13" s="375"/>
      <x:c r="IE13" s="375"/>
      <x:c r="IF13" s="375"/>
      <x:c r="IG13" s="375"/>
      <x:c r="IH13" s="375"/>
      <x:c r="II13" s="375"/>
      <x:c r="IJ13" s="375"/>
      <x:c r="IK13" s="375"/>
      <x:c r="IL13" s="375"/>
      <x:c r="IM13" s="375"/>
      <x:c r="IN13" s="375"/>
      <x:c r="IO13" s="375"/>
      <x:c r="IP13" s="375"/>
      <x:c r="IQ13" s="375"/>
      <x:c r="IR13" s="375"/>
      <x:c r="IS13" s="375"/>
      <x:c r="IT13" s="375"/>
      <x:c r="IU13" s="375"/>
      <x:c r="IV13" s="375"/>
      <x:c r="IW13" s="375"/>
      <x:c r="IX13" s="375"/>
      <x:c r="IY13" s="375"/>
      <x:c r="IZ13" s="375"/>
      <x:c r="JA13" s="375"/>
      <x:c r="JB13" s="375"/>
      <x:c r="JC13" s="375"/>
      <x:c r="JD13" s="375"/>
      <x:c r="JE13" s="375"/>
      <x:c r="JF13" s="375"/>
      <x:c r="JG13" s="375"/>
      <x:c r="JH13" s="375"/>
      <x:c r="JI13" s="375"/>
      <x:c r="JJ13" s="375"/>
      <x:c r="JK13" s="375"/>
      <x:c r="JL13" s="375"/>
      <x:c r="JM13" s="375"/>
      <x:c r="JN13" s="375"/>
      <x:c r="JO13" s="375"/>
      <x:c r="JP13" s="375"/>
      <x:c r="JQ13" s="375"/>
      <x:c r="JR13" s="375"/>
      <x:c r="JS13" s="375"/>
      <x:c r="JT13" s="375"/>
      <x:c r="JU13" s="375"/>
      <x:c r="JV13" s="375"/>
      <x:c r="JW13" s="375"/>
      <x:c r="JX13" s="375"/>
      <x:c r="JY13" s="375"/>
      <x:c r="JZ13" s="375"/>
      <x:c r="KA13" s="375"/>
      <x:c r="KB13" s="375"/>
      <x:c r="KC13" s="375"/>
      <x:c r="KD13" s="375"/>
      <x:c r="KE13" s="375"/>
      <x:c r="KF13" s="375"/>
      <x:c r="KG13" s="375"/>
      <x:c r="KH13" s="375"/>
      <x:c r="KI13" s="375"/>
      <x:c r="KJ13" s="375"/>
      <x:c r="KK13" s="375"/>
      <x:c r="KL13" s="375"/>
      <x:c r="KM13" s="375"/>
      <x:c r="KN13" s="375"/>
      <x:c r="KO13" s="375"/>
      <x:c r="KP13" s="375"/>
      <x:c r="KQ13" s="375"/>
      <x:c r="KR13" s="375"/>
      <x:c r="KS13" s="375"/>
      <x:c r="KT13" s="375"/>
      <x:c r="KU13" s="375"/>
      <x:c r="KV13" s="375"/>
      <x:c r="KW13" s="375"/>
      <x:c r="KX13" s="375"/>
      <x:c r="KY13" s="375"/>
      <x:c r="KZ13" s="375"/>
      <x:c r="LA13" s="375"/>
      <x:c r="LB13" s="375"/>
      <x:c r="LC13" s="375"/>
      <x:c r="LD13" s="375"/>
      <x:c r="LE13" s="375"/>
      <x:c r="LF13" s="375"/>
      <x:c r="LG13" s="375"/>
      <x:c r="LH13" s="375"/>
      <x:c r="LI13" s="375"/>
      <x:c r="LJ13" s="375"/>
      <x:c r="LK13" s="375"/>
      <x:c r="LL13" s="375"/>
      <x:c r="LM13" s="375"/>
      <x:c r="LN13" s="375"/>
      <x:c r="LO13" s="375"/>
      <x:c r="LP13" s="375"/>
      <x:c r="LQ13" s="375"/>
      <x:c r="LR13" s="375"/>
      <x:c r="LS13" s="375"/>
      <x:c r="LT13" s="375"/>
      <x:c r="LU13" s="375"/>
      <x:c r="LV13" s="375"/>
      <x:c r="LW13" s="375"/>
      <x:c r="LX13" s="375"/>
      <x:c r="LY13" s="375"/>
      <x:c r="LZ13" s="375"/>
      <x:c r="MA13" s="375"/>
      <x:c r="MB13" s="375"/>
      <x:c r="MC13" s="375"/>
      <x:c r="MD13" s="375"/>
      <x:c r="ME13" s="375"/>
      <x:c r="MF13" s="375"/>
      <x:c r="MG13" s="375"/>
      <x:c r="MH13" s="375"/>
      <x:c r="MI13" s="375"/>
      <x:c r="MJ13" s="375"/>
      <x:c r="MK13" s="375"/>
      <x:c r="ML13" s="375"/>
      <x:c r="MM13" s="375"/>
      <x:c r="MN13" s="375"/>
      <x:c r="MO13" s="375"/>
      <x:c r="MP13" s="375"/>
      <x:c r="MQ13" s="375"/>
      <x:c r="MR13" s="375"/>
      <x:c r="MS13" s="375"/>
      <x:c r="MT13" s="375"/>
      <x:c r="MU13" s="375"/>
      <x:c r="MV13" s="375"/>
      <x:c r="MW13" s="375"/>
      <x:c r="MX13" s="375"/>
      <x:c r="MY13" s="375"/>
      <x:c r="MZ13" s="375"/>
      <x:c r="NA13" s="375"/>
      <x:c r="NB13" s="375"/>
      <x:c r="NC13" s="375"/>
      <x:c r="ND13" s="375"/>
      <x:c r="NE13" s="375"/>
      <x:c r="NF13" s="375"/>
      <x:c r="NG13" s="375"/>
      <x:c r="NH13" s="375"/>
      <x:c r="NI13" s="375"/>
      <x:c r="NJ13" s="375"/>
      <x:c r="NK13" s="375"/>
      <x:c r="NL13" s="375"/>
      <x:c r="NM13" s="375"/>
      <x:c r="NN13" s="375"/>
      <x:c r="NO13" s="375"/>
      <x:c r="NP13" s="375"/>
      <x:c r="NQ13" s="375"/>
      <x:c r="NR13" s="375"/>
      <x:c r="NS13" s="375"/>
      <x:c r="NT13" s="375"/>
      <x:c r="NU13" s="375"/>
      <x:c r="NV13" s="375"/>
      <x:c r="NW13" s="375"/>
      <x:c r="NX13" s="375"/>
      <x:c r="NY13" s="375"/>
      <x:c r="NZ13" s="375"/>
      <x:c r="OA13" s="375"/>
      <x:c r="OB13" s="375"/>
      <x:c r="OC13" s="375"/>
      <x:c r="OD13" s="375"/>
      <x:c r="OE13" s="375"/>
      <x:c r="OF13" s="375"/>
      <x:c r="OG13" s="375"/>
      <x:c r="OH13" s="375"/>
      <x:c r="OI13" s="375"/>
      <x:c r="OJ13" s="375"/>
      <x:c r="OK13" s="375"/>
      <x:c r="OL13" s="375"/>
      <x:c r="OM13" s="375"/>
      <x:c r="ON13" s="375"/>
      <x:c r="OO13" s="375"/>
      <x:c r="OP13" s="375"/>
      <x:c r="OQ13" s="375"/>
      <x:c r="OR13" s="375"/>
      <x:c r="OS13" s="375"/>
      <x:c r="OT13" s="375"/>
      <x:c r="OU13" s="375"/>
      <x:c r="OV13" s="375"/>
      <x:c r="OW13" s="375"/>
      <x:c r="OX13" s="375"/>
      <x:c r="OY13" s="375"/>
      <x:c r="OZ13" s="375"/>
      <x:c r="PA13" s="375"/>
      <x:c r="PB13" s="375"/>
      <x:c r="PC13" s="375"/>
      <x:c r="PD13" s="375"/>
      <x:c r="PE13" s="375"/>
      <x:c r="PF13" s="375"/>
      <x:c r="PG13" s="375"/>
      <x:c r="PH13" s="375"/>
      <x:c r="PI13" s="375"/>
      <x:c r="PJ13" s="375"/>
      <x:c r="PK13" s="375"/>
      <x:c r="PL13" s="375"/>
      <x:c r="PM13" s="375"/>
      <x:c r="PN13" s="375"/>
      <x:c r="PO13" s="375"/>
      <x:c r="PP13" s="375"/>
      <x:c r="PQ13" s="375"/>
      <x:c r="PR13" s="375"/>
      <x:c r="PS13" s="375"/>
      <x:c r="PT13" s="375"/>
      <x:c r="PU13" s="375"/>
      <x:c r="PV13" s="375"/>
      <x:c r="PW13" s="375"/>
      <x:c r="PX13" s="375"/>
      <x:c r="PY13" s="375"/>
      <x:c r="PZ13" s="375"/>
      <x:c r="QA13" s="375"/>
      <x:c r="QB13" s="375"/>
      <x:c r="QC13" s="375"/>
      <x:c r="QD13" s="375"/>
      <x:c r="QE13" s="375"/>
      <x:c r="QF13" s="375"/>
      <x:c r="QG13" s="375"/>
      <x:c r="QH13" s="375"/>
      <x:c r="QI13" s="375"/>
      <x:c r="QJ13" s="375"/>
      <x:c r="QK13" s="375"/>
      <x:c r="QL13" s="375"/>
      <x:c r="QM13" s="375"/>
      <x:c r="QN13" s="375"/>
      <x:c r="QO13" s="375"/>
      <x:c r="QP13" s="375"/>
      <x:c r="QQ13" s="375"/>
      <x:c r="QR13" s="375"/>
      <x:c r="QS13" s="375"/>
      <x:c r="QT13" s="375"/>
      <x:c r="QU13" s="375"/>
      <x:c r="QV13" s="375"/>
      <x:c r="QW13" s="375"/>
      <x:c r="QX13" s="375"/>
      <x:c r="QY13" s="375"/>
      <x:c r="QZ13" s="375"/>
      <x:c r="RA13" s="375"/>
      <x:c r="RB13" s="375"/>
      <x:c r="RC13" s="375"/>
      <x:c r="RD13" s="375"/>
      <x:c r="RE13" s="375"/>
      <x:c r="RF13" s="375"/>
      <x:c r="RG13" s="375"/>
      <x:c r="RH13" s="375"/>
      <x:c r="RI13" s="375"/>
      <x:c r="RJ13" s="375"/>
      <x:c r="RK13" s="375"/>
      <x:c r="RL13" s="375"/>
      <x:c r="RM13" s="375"/>
      <x:c r="RN13" s="375"/>
      <x:c r="RO13" s="375"/>
      <x:c r="RP13" s="375"/>
      <x:c r="RQ13" s="375"/>
      <x:c r="RR13" s="375"/>
      <x:c r="RS13" s="375"/>
      <x:c r="RT13" s="375"/>
      <x:c r="RU13" s="375"/>
      <x:c r="RV13" s="375"/>
      <x:c r="RW13" s="375"/>
      <x:c r="RX13" s="375"/>
      <x:c r="RY13" s="375"/>
      <x:c r="RZ13" s="375"/>
      <x:c r="SA13" s="375"/>
      <x:c r="SB13" s="375"/>
      <x:c r="SC13" s="375"/>
      <x:c r="SD13" s="375"/>
      <x:c r="SE13" s="375"/>
      <x:c r="SF13" s="375"/>
      <x:c r="SG13" s="375"/>
      <x:c r="SH13" s="375"/>
      <x:c r="SI13" s="375"/>
      <x:c r="SJ13" s="375"/>
      <x:c r="SK13" s="375"/>
      <x:c r="SL13" s="375"/>
      <x:c r="SM13" s="375"/>
      <x:c r="SN13" s="375"/>
      <x:c r="SO13" s="375"/>
      <x:c r="SP13" s="375"/>
      <x:c r="SQ13" s="375"/>
      <x:c r="SR13" s="375"/>
      <x:c r="SS13" s="375"/>
      <x:c r="ST13" s="375"/>
      <x:c r="SU13" s="375"/>
      <x:c r="SV13" s="375"/>
      <x:c r="SW13" s="375"/>
      <x:c r="SX13" s="375"/>
      <x:c r="SY13" s="375"/>
      <x:c r="SZ13" s="375"/>
      <x:c r="TA13" s="375"/>
      <x:c r="TB13" s="375"/>
      <x:c r="TC13" s="375"/>
      <x:c r="TD13" s="375"/>
      <x:c r="TE13" s="375"/>
      <x:c r="TF13" s="375"/>
      <x:c r="TG13" s="375"/>
      <x:c r="TH13" s="375"/>
      <x:c r="TI13" s="375"/>
      <x:c r="TJ13" s="375"/>
      <x:c r="TK13" s="375"/>
      <x:c r="TL13" s="375"/>
      <x:c r="TM13" s="375"/>
      <x:c r="TN13" s="375"/>
      <x:c r="TO13" s="375"/>
      <x:c r="TP13" s="375"/>
      <x:c r="TQ13" s="375"/>
      <x:c r="TR13" s="375"/>
      <x:c r="TS13" s="375"/>
      <x:c r="TT13" s="375"/>
      <x:c r="TU13" s="375"/>
      <x:c r="TV13" s="375"/>
      <x:c r="TW13" s="375"/>
      <x:c r="TX13" s="375"/>
      <x:c r="TY13" s="375"/>
      <x:c r="TZ13" s="375"/>
      <x:c r="UA13" s="375"/>
      <x:c r="UB13" s="375"/>
      <x:c r="UC13" s="375"/>
      <x:c r="UD13" s="375"/>
      <x:c r="UE13" s="375"/>
      <x:c r="UF13" s="375"/>
      <x:c r="UG13" s="375"/>
      <x:c r="UH13" s="375"/>
      <x:c r="UI13" s="375"/>
      <x:c r="UJ13" s="375"/>
      <x:c r="UK13" s="375"/>
      <x:c r="UL13" s="375"/>
      <x:c r="UM13" s="375"/>
      <x:c r="UN13" s="375"/>
      <x:c r="UO13" s="375"/>
      <x:c r="UP13" s="375"/>
      <x:c r="UQ13" s="375"/>
      <x:c r="UR13" s="375"/>
      <x:c r="US13" s="375"/>
      <x:c r="UT13" s="375"/>
      <x:c r="UU13" s="375"/>
      <x:c r="UV13" s="375"/>
      <x:c r="UW13" s="375"/>
      <x:c r="UX13" s="375"/>
      <x:c r="UY13" s="375"/>
      <x:c r="UZ13" s="375"/>
      <x:c r="VA13" s="375"/>
      <x:c r="VB13" s="375"/>
      <x:c r="VC13" s="375"/>
      <x:c r="VD13" s="375"/>
      <x:c r="VE13" s="375"/>
      <x:c r="VF13" s="375"/>
      <x:c r="VG13" s="375"/>
      <x:c r="VH13" s="375"/>
      <x:c r="VI13" s="375"/>
      <x:c r="VJ13" s="375"/>
      <x:c r="VK13" s="375"/>
      <x:c r="VL13" s="375"/>
      <x:c r="VM13" s="375"/>
      <x:c r="VN13" s="375"/>
      <x:c r="VO13" s="375"/>
      <x:c r="VP13" s="375"/>
      <x:c r="VQ13" s="375"/>
      <x:c r="VR13" s="375"/>
      <x:c r="VS13" s="375"/>
      <x:c r="VT13" s="375"/>
      <x:c r="VU13" s="375"/>
      <x:c r="VV13" s="375"/>
      <x:c r="VW13" s="375"/>
      <x:c r="VX13" s="375"/>
      <x:c r="VY13" s="375"/>
      <x:c r="VZ13" s="375"/>
      <x:c r="WA13" s="375"/>
      <x:c r="WB13" s="375"/>
      <x:c r="WC13" s="375"/>
      <x:c r="WD13" s="375"/>
      <x:c r="WE13" s="375"/>
      <x:c r="WF13" s="375"/>
      <x:c r="WG13" s="375"/>
      <x:c r="WH13" s="375"/>
      <x:c r="WI13" s="375"/>
      <x:c r="WJ13" s="375"/>
      <x:c r="WK13" s="375"/>
      <x:c r="WL13" s="375"/>
      <x:c r="WM13" s="375"/>
      <x:c r="WN13" s="375"/>
      <x:c r="WO13" s="375"/>
      <x:c r="WP13" s="375"/>
      <x:c r="WQ13" s="375"/>
      <x:c r="WR13" s="375"/>
      <x:c r="WS13" s="375"/>
      <x:c r="WT13" s="375"/>
      <x:c r="WU13" s="375"/>
      <x:c r="WV13" s="375"/>
      <x:c r="WW13" s="375"/>
      <x:c r="WX13" s="375"/>
      <x:c r="WY13" s="375"/>
      <x:c r="WZ13" s="375"/>
      <x:c r="XA13" s="375"/>
      <x:c r="XB13" s="375"/>
      <x:c r="XC13" s="375"/>
      <x:c r="XD13" s="375"/>
      <x:c r="XE13" s="375"/>
      <x:c r="XF13" s="375"/>
      <x:c r="XG13" s="375"/>
      <x:c r="XH13" s="375"/>
      <x:c r="XI13" s="375"/>
      <x:c r="XJ13" s="375"/>
      <x:c r="XK13" s="375"/>
      <x:c r="XL13" s="375"/>
      <x:c r="XM13" s="375"/>
      <x:c r="XN13" s="375"/>
      <x:c r="XO13" s="375"/>
      <x:c r="XP13" s="375"/>
      <x:c r="XQ13" s="375"/>
      <x:c r="XR13" s="375"/>
      <x:c r="XS13" s="375"/>
      <x:c r="XT13" s="375"/>
      <x:c r="XU13" s="375"/>
      <x:c r="XV13" s="375"/>
      <x:c r="XW13" s="375"/>
      <x:c r="XX13" s="375"/>
      <x:c r="XY13" s="375"/>
      <x:c r="XZ13" s="375"/>
      <x:c r="YA13" s="375"/>
      <x:c r="YB13" s="375"/>
      <x:c r="YC13" s="375"/>
      <x:c r="YD13" s="375"/>
      <x:c r="YE13" s="375"/>
      <x:c r="YF13" s="375"/>
      <x:c r="YG13" s="375"/>
      <x:c r="YH13" s="375"/>
      <x:c r="YI13" s="375"/>
      <x:c r="YJ13" s="375"/>
      <x:c r="YK13" s="375"/>
      <x:c r="YL13" s="375"/>
      <x:c r="YM13" s="375"/>
      <x:c r="YN13" s="375"/>
      <x:c r="YO13" s="375"/>
      <x:c r="YP13" s="375"/>
      <x:c r="YQ13" s="375"/>
      <x:c r="YR13" s="375"/>
      <x:c r="YS13" s="375"/>
      <x:c r="YT13" s="375"/>
      <x:c r="YU13" s="375"/>
      <x:c r="YV13" s="375"/>
      <x:c r="YW13" s="375"/>
      <x:c r="YX13" s="375"/>
      <x:c r="YY13" s="375"/>
      <x:c r="YZ13" s="375"/>
      <x:c r="ZA13" s="375"/>
      <x:c r="ZB13" s="375"/>
      <x:c r="ZC13" s="375"/>
      <x:c r="ZD13" s="375"/>
      <x:c r="ZE13" s="375"/>
      <x:c r="ZF13" s="375"/>
      <x:c r="ZG13" s="375"/>
      <x:c r="ZH13" s="375"/>
      <x:c r="ZI13" s="375"/>
      <x:c r="ZJ13" s="375"/>
      <x:c r="ZK13" s="375"/>
      <x:c r="ZL13" s="375"/>
      <x:c r="ZM13" s="375"/>
      <x:c r="ZN13" s="375"/>
      <x:c r="ZO13" s="375"/>
      <x:c r="ZP13" s="375"/>
      <x:c r="ZQ13" s="375"/>
      <x:c r="ZR13" s="375"/>
      <x:c r="ZS13" s="375"/>
      <x:c r="ZT13" s="375"/>
      <x:c r="ZU13" s="375"/>
      <x:c r="ZV13" s="375"/>
      <x:c r="ZW13" s="375"/>
      <x:c r="ZX13" s="375"/>
      <x:c r="ZY13" s="375"/>
      <x:c r="ZZ13" s="375"/>
      <x:c r="AAA13" s="375"/>
      <x:c r="AAB13" s="375"/>
      <x:c r="AAC13" s="375"/>
      <x:c r="AAD13" s="375"/>
      <x:c r="AAE13" s="375"/>
      <x:c r="AAF13" s="375"/>
      <x:c r="AAG13" s="375"/>
      <x:c r="AAH13" s="375"/>
      <x:c r="AAI13" s="375"/>
      <x:c r="AAJ13" s="375"/>
      <x:c r="AAK13" s="375"/>
      <x:c r="AAL13" s="375"/>
      <x:c r="AAM13" s="375"/>
      <x:c r="AAN13" s="375"/>
      <x:c r="AAO13" s="375"/>
      <x:c r="AAP13" s="375"/>
      <x:c r="AAQ13" s="375"/>
      <x:c r="AAR13" s="375"/>
      <x:c r="AAS13" s="375"/>
      <x:c r="AAT13" s="375"/>
      <x:c r="AAU13" s="375"/>
      <x:c r="AAV13" s="375"/>
      <x:c r="AAW13" s="375"/>
      <x:c r="AAX13" s="375"/>
      <x:c r="AAY13" s="375"/>
      <x:c r="AAZ13" s="375"/>
      <x:c r="ABA13" s="375"/>
      <x:c r="ABB13" s="375"/>
      <x:c r="ABC13" s="375"/>
      <x:c r="ABD13" s="375"/>
      <x:c r="ABE13" s="375"/>
      <x:c r="ABF13" s="375"/>
      <x:c r="ABG13" s="375"/>
      <x:c r="ABH13" s="375"/>
      <x:c r="ABI13" s="375"/>
      <x:c r="ABJ13" s="375"/>
      <x:c r="ABK13" s="375"/>
      <x:c r="ABL13" s="375"/>
      <x:c r="ABM13" s="375"/>
      <x:c r="ABN13" s="375"/>
      <x:c r="ABO13" s="375"/>
      <x:c r="ABP13" s="375"/>
      <x:c r="ABQ13" s="375"/>
      <x:c r="ABR13" s="375"/>
      <x:c r="ABS13" s="375"/>
      <x:c r="ABT13" s="375"/>
      <x:c r="ABU13" s="375"/>
      <x:c r="ABV13" s="375"/>
      <x:c r="ABW13" s="375"/>
      <x:c r="ABX13" s="375"/>
      <x:c r="ABY13" s="375"/>
      <x:c r="ABZ13" s="375"/>
      <x:c r="ACA13" s="375"/>
      <x:c r="ACB13" s="375"/>
      <x:c r="ACC13" s="375"/>
      <x:c r="ACD13" s="375"/>
      <x:c r="ACE13" s="375"/>
      <x:c r="ACF13" s="375"/>
      <x:c r="ACG13" s="375"/>
      <x:c r="ACH13" s="375"/>
      <x:c r="ACI13" s="375"/>
      <x:c r="ACJ13" s="375"/>
      <x:c r="ACK13" s="375"/>
      <x:c r="ACL13" s="375"/>
      <x:c r="ACM13" s="375"/>
      <x:c r="ACN13" s="375"/>
      <x:c r="ACO13" s="375"/>
      <x:c r="ACP13" s="375"/>
      <x:c r="ACQ13" s="375"/>
      <x:c r="ACR13" s="375"/>
      <x:c r="ACS13" s="375"/>
      <x:c r="ACT13" s="375"/>
      <x:c r="ACU13" s="375"/>
      <x:c r="ACV13" s="375"/>
      <x:c r="ACW13" s="375"/>
      <x:c r="ACX13" s="375"/>
      <x:c r="ACY13" s="375"/>
      <x:c r="ACZ13" s="375"/>
      <x:c r="ADA13" s="375"/>
      <x:c r="ADB13" s="375"/>
      <x:c r="ADC13" s="375"/>
      <x:c r="ADD13" s="375"/>
      <x:c r="ADE13" s="375"/>
      <x:c r="ADF13" s="375"/>
      <x:c r="ADG13" s="375"/>
      <x:c r="ADH13" s="375"/>
      <x:c r="ADI13" s="375"/>
      <x:c r="ADJ13" s="375"/>
      <x:c r="ADK13" s="375"/>
      <x:c r="ADL13" s="375"/>
      <x:c r="ADM13" s="375"/>
      <x:c r="ADN13" s="375"/>
      <x:c r="ADO13" s="375"/>
      <x:c r="ADP13" s="375"/>
      <x:c r="ADQ13" s="375"/>
      <x:c r="ADR13" s="375"/>
      <x:c r="ADS13" s="375"/>
      <x:c r="ADT13" s="375"/>
      <x:c r="ADU13" s="375"/>
      <x:c r="ADV13" s="375"/>
      <x:c r="ADW13" s="375"/>
      <x:c r="ADX13" s="375"/>
      <x:c r="ADY13" s="375"/>
      <x:c r="ADZ13" s="375"/>
      <x:c r="AEA13" s="375"/>
      <x:c r="AEB13" s="375"/>
      <x:c r="AEC13" s="375"/>
      <x:c r="AED13" s="375"/>
      <x:c r="AEE13" s="375"/>
      <x:c r="AEF13" s="375"/>
      <x:c r="AEG13" s="375"/>
      <x:c r="AEH13" s="375"/>
      <x:c r="AEI13" s="375"/>
      <x:c r="AEJ13" s="375"/>
      <x:c r="AEK13" s="375"/>
      <x:c r="AEL13" s="375"/>
      <x:c r="AEM13" s="375"/>
      <x:c r="AEN13" s="375"/>
      <x:c r="AEO13" s="375"/>
      <x:c r="AEP13" s="375"/>
      <x:c r="AEQ13" s="375"/>
      <x:c r="AER13" s="375"/>
      <x:c r="AES13" s="375"/>
      <x:c r="AET13" s="375"/>
      <x:c r="AEU13" s="375"/>
      <x:c r="AEV13" s="375"/>
      <x:c r="AEW13" s="375"/>
      <x:c r="AEX13" s="375"/>
      <x:c r="AEY13" s="375"/>
      <x:c r="AEZ13" s="375"/>
      <x:c r="AFA13" s="375"/>
      <x:c r="AFB13" s="375"/>
      <x:c r="AFC13" s="375"/>
      <x:c r="AFD13" s="375"/>
      <x:c r="AFE13" s="375"/>
      <x:c r="AFF13" s="375"/>
      <x:c r="AFG13" s="375"/>
      <x:c r="AFH13" s="375"/>
      <x:c r="AFI13" s="375"/>
      <x:c r="AFJ13" s="375"/>
      <x:c r="AFK13" s="375"/>
      <x:c r="AFL13" s="375"/>
      <x:c r="AFM13" s="375"/>
      <x:c r="AFN13" s="375"/>
      <x:c r="AFO13" s="375"/>
      <x:c r="AFP13" s="375"/>
      <x:c r="AFQ13" s="375"/>
      <x:c r="AFR13" s="375"/>
      <x:c r="AFS13" s="375"/>
      <x:c r="AFT13" s="375"/>
      <x:c r="AFU13" s="375"/>
      <x:c r="AFV13" s="375"/>
      <x:c r="AFW13" s="375"/>
      <x:c r="AFX13" s="375"/>
      <x:c r="AFY13" s="375"/>
      <x:c r="AFZ13" s="375"/>
      <x:c r="AGA13" s="375"/>
      <x:c r="AGB13" s="375"/>
      <x:c r="AGC13" s="375"/>
      <x:c r="AGD13" s="375"/>
      <x:c r="AGE13" s="375"/>
      <x:c r="AGF13" s="375"/>
      <x:c r="AGG13" s="375"/>
      <x:c r="AGH13" s="375"/>
      <x:c r="AGI13" s="375"/>
      <x:c r="AGJ13" s="375"/>
      <x:c r="AGK13" s="375"/>
      <x:c r="AGL13" s="375"/>
      <x:c r="AGM13" s="375"/>
      <x:c r="AGN13" s="375"/>
      <x:c r="AGO13" s="375"/>
      <x:c r="AGP13" s="375"/>
      <x:c r="AGQ13" s="375"/>
      <x:c r="AGR13" s="375"/>
      <x:c r="AGS13" s="375"/>
      <x:c r="AGT13" s="375"/>
      <x:c r="AGU13" s="375"/>
      <x:c r="AGV13" s="375"/>
      <x:c r="AGW13" s="375"/>
      <x:c r="AGX13" s="375"/>
      <x:c r="AGY13" s="375"/>
      <x:c r="AGZ13" s="375"/>
      <x:c r="AHA13" s="375"/>
      <x:c r="AHB13" s="375"/>
      <x:c r="AHC13" s="375"/>
      <x:c r="AHD13" s="375"/>
      <x:c r="AHE13" s="375"/>
      <x:c r="AHF13" s="375"/>
      <x:c r="AHG13" s="375"/>
      <x:c r="AHH13" s="375"/>
      <x:c r="AHI13" s="375"/>
      <x:c r="AHJ13" s="375"/>
      <x:c r="AHK13" s="375"/>
      <x:c r="AHL13" s="375"/>
      <x:c r="AHM13" s="375"/>
      <x:c r="AHN13" s="375"/>
      <x:c r="AHO13" s="375"/>
      <x:c r="AHP13" s="375"/>
      <x:c r="AHQ13" s="375"/>
      <x:c r="AHR13" s="375"/>
      <x:c r="AHS13" s="375"/>
      <x:c r="AHT13" s="375"/>
      <x:c r="AHU13" s="375"/>
      <x:c r="AHV13" s="375"/>
      <x:c r="AHW13" s="375"/>
      <x:c r="AHX13" s="375"/>
      <x:c r="AHY13" s="375"/>
      <x:c r="AHZ13" s="375"/>
      <x:c r="AIA13" s="375"/>
      <x:c r="AIB13" s="375"/>
      <x:c r="AIC13" s="375"/>
      <x:c r="AID13" s="375"/>
      <x:c r="AIE13" s="375"/>
      <x:c r="AIF13" s="375"/>
      <x:c r="AIG13" s="375"/>
      <x:c r="AIH13" s="375"/>
      <x:c r="AII13" s="375"/>
      <x:c r="AIJ13" s="375"/>
      <x:c r="AIK13" s="375"/>
      <x:c r="AIL13" s="375"/>
      <x:c r="AIM13" s="375"/>
      <x:c r="AIN13" s="375"/>
      <x:c r="AIO13" s="375"/>
      <x:c r="AIP13" s="375"/>
      <x:c r="AIQ13" s="375"/>
      <x:c r="AIR13" s="375"/>
      <x:c r="AIS13" s="375"/>
      <x:c r="AIT13" s="375"/>
      <x:c r="AIU13" s="375"/>
      <x:c r="AIV13" s="375"/>
      <x:c r="AIW13" s="375"/>
      <x:c r="AIX13" s="375"/>
      <x:c r="AIY13" s="375"/>
      <x:c r="AIZ13" s="375"/>
      <x:c r="AJA13" s="375"/>
      <x:c r="AJB13" s="375"/>
      <x:c r="AJC13" s="375"/>
      <x:c r="AJD13" s="375"/>
      <x:c r="AJE13" s="375"/>
      <x:c r="AJF13" s="375"/>
      <x:c r="AJG13" s="375"/>
      <x:c r="AJH13" s="375"/>
      <x:c r="AJI13" s="375"/>
      <x:c r="AJJ13" s="375"/>
      <x:c r="AJK13" s="375"/>
      <x:c r="AJL13" s="375"/>
      <x:c r="AJM13" s="375"/>
      <x:c r="AJN13" s="375"/>
      <x:c r="AJO13" s="375"/>
      <x:c r="AJP13" s="375"/>
      <x:c r="AJQ13" s="375"/>
      <x:c r="AJR13" s="375"/>
      <x:c r="AJS13" s="375"/>
      <x:c r="AJT13" s="375"/>
      <x:c r="AJU13" s="375"/>
      <x:c r="AJV13" s="375"/>
      <x:c r="AJW13" s="375"/>
      <x:c r="AJX13" s="375"/>
      <x:c r="AJY13" s="375"/>
      <x:c r="AJZ13" s="375"/>
      <x:c r="AKA13" s="375"/>
      <x:c r="AKB13" s="375"/>
      <x:c r="AKC13" s="375"/>
      <x:c r="AKD13" s="375"/>
      <x:c r="AKE13" s="375"/>
      <x:c r="AKF13" s="375"/>
      <x:c r="AKG13" s="375"/>
      <x:c r="AKH13" s="375"/>
      <x:c r="AKI13" s="375"/>
      <x:c r="AKJ13" s="375"/>
      <x:c r="AKK13" s="375"/>
      <x:c r="AKL13" s="375"/>
      <x:c r="AKM13" s="375"/>
      <x:c r="AKN13" s="375"/>
      <x:c r="AKO13" s="375"/>
      <x:c r="AKP13" s="375"/>
      <x:c r="AKQ13" s="375"/>
      <x:c r="AKR13" s="375"/>
      <x:c r="AKS13" s="375"/>
      <x:c r="AKT13" s="375"/>
      <x:c r="AKU13" s="375"/>
      <x:c r="AKV13" s="375"/>
      <x:c r="AKW13" s="375"/>
      <x:c r="AKX13" s="375"/>
      <x:c r="AKY13" s="375"/>
      <x:c r="AKZ13" s="375"/>
      <x:c r="ALA13" s="375"/>
      <x:c r="ALB13" s="375"/>
      <x:c r="ALC13" s="375"/>
      <x:c r="ALD13" s="375"/>
      <x:c r="ALE13" s="375"/>
      <x:c r="ALF13" s="375"/>
      <x:c r="ALG13" s="375"/>
      <x:c r="ALH13" s="375"/>
      <x:c r="ALI13" s="375"/>
      <x:c r="ALJ13" s="375"/>
      <x:c r="ALK13" s="375"/>
      <x:c r="ALL13" s="375"/>
      <x:c r="ALM13" s="375"/>
      <x:c r="ALN13" s="375"/>
      <x:c r="ALO13" s="375"/>
      <x:c r="ALP13" s="375"/>
      <x:c r="ALQ13" s="375"/>
      <x:c r="ALR13" s="375"/>
      <x:c r="ALS13" s="375"/>
      <x:c r="ALT13" s="375"/>
      <x:c r="ALU13" s="375"/>
      <x:c r="ALV13" s="375"/>
      <x:c r="ALW13" s="375"/>
      <x:c r="ALX13" s="375"/>
      <x:c r="ALY13" s="375"/>
      <x:c r="ALZ13" s="375"/>
      <x:c r="AMA13" s="375"/>
      <x:c r="AMB13" s="375"/>
      <x:c r="AMC13" s="375"/>
      <x:c r="AMD13" s="375"/>
      <x:c r="AME13" s="375"/>
      <x:c r="AMF13" s="375"/>
      <x:c r="AMG13" s="375"/>
      <x:c r="AMH13" s="375"/>
      <x:c r="AMI13" s="375"/>
      <x:c r="AMJ13" s="375"/>
      <x:c r="AMK13" s="375"/>
    </x:row>
    <x:row r="14" ht="38" hidden="0" customHeight="1">
      <x:c r="A14" s="375" t="str">
        <x:v>01-yurina-A1-n-6</x:v>
      </x:c>
      <x:c r="B14" s="375" t="str">
        <x:v>yurina</x:v>
      </x:c>
      <x:c r="C14" s="375" t="str">
        <x:v>A1</x:v>
      </x:c>
      <x:c r="D14" s="375" t="str">
        <x:v>01-yurina-o-n-6</x:v>
      </x:c>
      <x:c r="E14" s="375" t="str">
        <x:v>癇癪玉</x:v>
      </x:c>
      <x:c r="F14" s="375" t="str">
        <x:v>かんしゃくだま </x:v>
      </x:c>
      <x:c r="G14" s="375" t="str">
        <x:v>掌心雷</x:v>
      </x:c>
      <x:c r="H14" s="375" t="str">
        <x:v>暴砂雷</x:v>
      </x:c>
      <x:c r="I14" s="375"/>
      <x:c r="J14" s="375" t="str">
        <x:v>콩알탄</x:v>
      </x:c>
      <x:c r="K14" s="375" t="str">
        <x:v>Outrage</x:v>
      </x:c>
      <x:c r="L14" s="375"/>
      <x:c r="M14" s="375" t="str">
        <x:v>通常札</x:v>
      </x:c>
      <x:c r="N14" s="375"/>
      <x:c r="O14" s="375"/>
      <x:c r="P14" s="375"/>
      <x:c r="Q14" s="375"/>
      <x:c r="R14" s="375" t="str">
        <x:v>付与</x:v>
      </x:c>
      <x:c r="S14" s="375" t="str">
        <x:v>対応</x:v>
      </x:c>
      <x:c r="T14" s="375"/>
      <x:c r="U14" s="383"/>
      <x:c r="V14" s="382"/>
      <x:c r="W14" s="383"/>
      <x:c r="X14" s="382" t="n">
        <x:v>1</x:v>
      </x:c>
      <x:c r="Y14" s="382"/>
      <x:c r="Z14" s="382"/>
      <x:c r="AA14" s="382"/>
      <x:c r="AB14" s="385"/>
      <x:c r="AC14" s="385"/>
      <x:c r="AD14" s="386"/>
      <x:c r="AE14" s="440" t="str">
        <x:v>【破棄時】攻撃『適正距離0-4、1/-、対応不可、【攻撃後】相手を畏縮させる』を行う。</x:v>
      </x:c>
      <x:c r="AF14" s="441"/>
      <x:c r="AG14" s="444" t="str">
        <x:v>【破弃时】进行一次“攻击距离0-4、伤害1/-、不可被对应、【攻击后】令对手畏缩”的攻击。</x:v>
      </x:c>
      <x:c r="AH14" s="442"/>
      <x:c r="AI14" s="440" t="str">
        <x:v>【破弃时】进行一次“攻击距离0-4 伤害1/- 不可被对应，【攻击后】对手畏缩”的攻击。</x:v>
      </x:c>
      <x:c r="AJ14" s="440"/>
      <x:c r="AK14" s="444" t="str">
        <x:v>【파기시】공격『적정거리0-4、1/-、대응불가、【공격후】상대를 위축시킨다』를 행한다.</x:v>
      </x:c>
      <x:c r="AL14" s="440"/>
      <x:c r="AM14" s="444" t="str">
        <x:v>Disenchant: You attack with "Range: 0-4, Damage: 1/-, No Reactions, After Attack: Flinch your opponent."</x:v>
      </x:c>
      <x:c r="AN14" s="440"/>
      <x:c r="AO14" s="439"/>
      <x:c r="AP14" s="439"/>
      <x:c r="AQ14" s="439"/>
      <x:c r="AR14" s="439"/>
      <x:c r="AS14" s="439"/>
      <x:c r="AT14" s="378" t="str">
        <x:f>IF(A14="", "","'"&amp;A14&amp;"': {megami: '"&amp;B14&amp;"'"&amp;IF(C14&lt;&gt;"",", anotherID: '"&amp;C14&amp;"', replace: '"&amp;D14&amp;"'","")&amp;", name: '"&amp;SUBSTITUTE(E14,"'","\'")&amp;"', nameEn: '"&amp;SUBSTITUTE(K14,"'","\'")&amp;"', nameZh: '"&amp;SUBSTITUTE(G14,"'","\'")&amp;"', nameZhG13: '"&amp;SUBSTITUTE(H14,"'","\'")&amp;"', nameKo: '"&amp;SUBSTITUTE(J14,"'","\'")&amp;"', ruby: '"&amp;F14&amp;"', rubyEn: '"&amp;L14&amp;IF(I14&lt;&gt;"", "', rubyZh: '"&amp;I14, "")&amp;"', baseType: '"&amp;IF(M14="通常札","normal",IF(M14="切札","special",IF(M14="追加札","extra",IF(M14="transform","transform",IF(M14="嵐","storm",IF(M14="兵員","troop",IF(M14="構想","plan",IF(M14="メインパーツ","mainParts",IF(M14="カスタムパーツ","customParts",IF(M14="運命","fate",IF(M14="仮想樹","virtualTree","")))))))))))&amp;"'"&amp;IF(N14="○",", extra: true","")&amp;IF(O14&lt;&gt;"",", extraFrom: '"&amp;O14&amp;"'","")&amp;IF(P14&lt;&gt;"",", exchangableTo: '"&amp;P14&amp;"'","")&amp;IF(Q14="○",", poison: true","")&amp;IF(R14&lt;&gt;"", ", type: '"&amp;IF(R14="攻撃","attack",IF(R14="行動","action",IF(R14="不定","variable",IF(R14="対応","reaction",IF(R14="全力","fullpower",IF(R14="付与","enhance",IF(R14="transform","transform","")))))))&amp;"'", "")&amp;IF(S14&lt;&gt;"",", subType: '"&amp;IF(S14="攻撃","attack",IF(S14="行動","action",IF(S14="不定","variable",IF(S14="対応","reaction",IF(S14="全力","fullpower",IF(S14="付与","enhance",IF(S14="transform","transform","")))))))&amp;"'","")&amp;""&amp;IF(T14&lt;&gt;"",", range: '"&amp;T14&amp;"'","")&amp;IF(V14&lt;&gt;"",", damage: '"&amp;V14&amp;"'","")&amp;IF(X14&lt;&gt;"",", capacity: '"&amp;X14&amp;"'","")&amp;IF(Y14&lt;&gt;"",", growth: "&amp;Y14&amp;"","")&amp;IF(Z14&lt;&gt;"",", cost: '"&amp;Z14&amp;"'","")&amp;", text: '"&amp;SUBSTITUTE(SUBSTITUTE(AE14, CHAR(13), ""),CHAR(10),"\n")&amp;IF(AF14&lt;&gt;"", "', textAdditional: '"&amp;SUBSTITUTE(SUBSTITUTE(AF14, CHAR(13), ""),CHAR(10),"\n"), "")&amp;"', textZh: '"&amp;SUBSTITUTE(SUBSTITUTE(SUBSTITUTE(AG14, CHAR(13), ""),CHAR(10),"\n"),"'","\'")&amp;"', textZhG13: '"&amp;SUBSTITUTE(SUBSTITUTE(SUBSTITUTE(AI14, CHAR(13), ""),CHAR(10),"\n"),"'","\'")&amp;IF(AH14&lt;&gt;"", "', textZhAdditional: '"&amp;SUBSTITUTE(SUBSTITUTE(AH14, CHAR(13), ""),CHAR(10),"\n"), "")&amp;IF(AK14&lt;&gt;"", "', textZhG13Additional: '"&amp;SUBSTITUTE(SUBSTITUTE(AK14, CHAR(13), ""),CHAR(10),"\n"), "")&amp;"', textKo: '"&amp;SUBSTITUTE(SUBSTITUTE(SUBSTITUTE(AM14, CHAR(13), ""),CHAR(10),"\n"),"'","\'")&amp;IF(AM14&lt;&gt;"", "', textKoAdditional: '"&amp;SUBSTITUTE(SUBSTITUTE(AM14, CHAR(13), ""),CHAR(10),"\n"), "")&amp;"', textEn: '"&amp;SUBSTITUTE(SUBSTITUTE(SUBSTITUTE(AM14, CHAR(13), ""),CHAR(10),"\n"),"'","\'")&amp;IF(AN14&lt;&gt;"", "', textEnAdditional: '"&amp;SUBSTITUTE(SUBSTITUTE(AN14, CHAR(13), ""),CHAR(10),"\n"), "")&amp;"'"&amp;IF(AB14="○",", sealable: true","")&amp;IF(AC14="○",", removable: true","")&amp;IF(AA14="○",", lie: true","")&amp;IF(AD14="○",", investable: true","")&amp;"},")</x:f>
        <x:v>'01-yurina-A1-n-6': {megami: 'yurina', anotherID: 'A1', replace: '01-yurina-o-n-6', name: '癇癪玉', nameEn: 'Outrage', nameZh: '掌心雷', nameZhG13: '暴砂雷', nameKo: '콩알탄', ruby: 'かんしゃくだま ', rubyEn: '', baseType: 'normal', type: 'enhance', subType: 'reaction', capacity: '1', text: '【破棄時】攻撃『適正距離0-4、1/-、対応不可、【攻撃後】相手を畏縮させる』を行う。', textZh: '【破弃时】进行一次“攻击距离0-4、伤害1/-、不可被对应、【攻击后】令对手畏缩”的攻击。', textZhG13: '【破弃时】进行一次“攻击距离0-4 伤害1/- 不可被对应，【攻击后】对手畏缩”的攻击。', textZhG13Additional: '【파기시】공격『적정거리0-4、1/-、대응불가、【공격후】상대를 위축시킨다』를 행한다.', textKo: 'Disenchant: You attack with "Range: 0-4, Damage: 1/-, No Reactions, After Attack: Flinch your opponent."', textKoAdditional: 'Disenchant: You attack with "Range: 0-4, Damage: 1/-, No Reactions, After Attack: Flinch your opponent."', textEn: 'Disenchant: You attack with "Range: 0-4, Damage: 1/-, No Reactions, After Attack: Flinch your opponent."'},</x:v>
      </x:c>
      <x:c r="AU14" s="379" t="str">
        <x:f>IF($A14&lt;&gt;"", "    /** 《"&amp;$E14&amp;"》 */ export const "&amp;SUBSTITUTE(UPPER(IF(MID($A14, 3, 1)="-", RIGHT($A14,LEN($A14)-3), $A14)), "-", "_")&amp;": TCardId = '"&amp;$A14&amp;"';", "")</x:f>
        <x:v>    /** 《癇癪玉》 */ export const YURINA_A1_N_6: TCardId = '01-yurina-A1-n-6';</x:v>
      </x:c>
      <x:c r="AV14" s="380" t="str">
        <x:f>IF($A15&lt;&gt;"", "    | '"&amp;$A15&amp;"'", "")</x:f>
        <x:v>    | '01-yurina-A1-s-2'</x:v>
      </x:c>
      <x:c r="AW14" s="381"/>
      <x:c r="AX14" s="381"/>
      <x:c r="AY14" s="381"/>
      <x:c r="AZ14" s="381"/>
      <x:c r="BA14" s="381"/>
      <x:c r="BB14" s="381"/>
      <x:c r="BC14" s="381"/>
      <x:c r="BD14" s="381"/>
      <x:c r="BE14" s="381"/>
      <x:c r="BF14" s="381"/>
      <x:c r="BG14" s="381"/>
      <x:c r="BH14" s="381"/>
      <x:c r="BI14" s="381"/>
      <x:c r="BJ14" s="381"/>
      <x:c r="BK14" s="381"/>
      <x:c r="BL14" s="381"/>
      <x:c r="BM14" s="381"/>
      <x:c r="BN14" s="381"/>
      <x:c r="BO14" s="381"/>
      <x:c r="BP14" s="381"/>
      <x:c r="BQ14" s="375"/>
      <x:c r="BR14" s="375"/>
      <x:c r="BS14" s="375"/>
      <x:c r="BT14" s="375"/>
      <x:c r="BU14" s="375"/>
      <x:c r="BV14" s="375"/>
      <x:c r="BW14" s="375"/>
      <x:c r="BX14" s="375"/>
      <x:c r="BY14" s="375"/>
      <x:c r="BZ14" s="375"/>
      <x:c r="CA14" s="375"/>
      <x:c r="CB14" s="375"/>
      <x:c r="CC14" s="375"/>
      <x:c r="CD14" s="375"/>
      <x:c r="CE14" s="375"/>
      <x:c r="CF14" s="375"/>
      <x:c r="CG14" s="375"/>
      <x:c r="CH14" s="375"/>
      <x:c r="CI14" s="375"/>
      <x:c r="CJ14" s="375"/>
      <x:c r="CK14" s="375"/>
      <x:c r="CL14" s="375"/>
      <x:c r="CM14" s="375"/>
      <x:c r="CN14" s="375"/>
      <x:c r="CO14" s="375"/>
      <x:c r="CP14" s="375"/>
      <x:c r="CQ14" s="375"/>
      <x:c r="CR14" s="375"/>
      <x:c r="CS14" s="375"/>
      <x:c r="CT14" s="375"/>
      <x:c r="CU14" s="375"/>
      <x:c r="CV14" s="375"/>
      <x:c r="CW14" s="375"/>
      <x:c r="CX14" s="375"/>
      <x:c r="CY14" s="375"/>
      <x:c r="CZ14" s="375"/>
      <x:c r="DA14" s="375"/>
      <x:c r="DB14" s="375"/>
      <x:c r="DC14" s="375"/>
      <x:c r="DD14" s="375"/>
      <x:c r="DE14" s="375"/>
      <x:c r="DF14" s="375"/>
      <x:c r="DG14" s="375"/>
      <x:c r="DH14" s="375"/>
      <x:c r="DI14" s="375"/>
      <x:c r="DJ14" s="375"/>
      <x:c r="DK14" s="375"/>
      <x:c r="DL14" s="375"/>
      <x:c r="DM14" s="375"/>
      <x:c r="DN14" s="375"/>
      <x:c r="DO14" s="375"/>
      <x:c r="DP14" s="375"/>
      <x:c r="DQ14" s="375"/>
      <x:c r="DR14" s="375"/>
      <x:c r="DS14" s="375"/>
      <x:c r="DT14" s="375"/>
      <x:c r="DU14" s="375"/>
      <x:c r="DV14" s="375"/>
      <x:c r="DW14" s="375"/>
      <x:c r="DX14" s="375"/>
      <x:c r="DY14" s="375"/>
      <x:c r="DZ14" s="375"/>
      <x:c r="EA14" s="375"/>
      <x:c r="EB14" s="375"/>
      <x:c r="EC14" s="375"/>
      <x:c r="ED14" s="375"/>
      <x:c r="EE14" s="375"/>
      <x:c r="EF14" s="375"/>
      <x:c r="EG14" s="375"/>
      <x:c r="EH14" s="375"/>
      <x:c r="EI14" s="375"/>
      <x:c r="EJ14" s="375"/>
      <x:c r="EK14" s="375"/>
      <x:c r="EL14" s="375"/>
      <x:c r="EM14" s="375"/>
      <x:c r="EN14" s="375"/>
      <x:c r="EO14" s="375"/>
      <x:c r="EP14" s="375"/>
      <x:c r="EQ14" s="375"/>
      <x:c r="ER14" s="375"/>
      <x:c r="ES14" s="375"/>
      <x:c r="ET14" s="375"/>
      <x:c r="EU14" s="375"/>
      <x:c r="EV14" s="375"/>
      <x:c r="EW14" s="375"/>
      <x:c r="EX14" s="375"/>
      <x:c r="EY14" s="375"/>
      <x:c r="EZ14" s="375"/>
      <x:c r="FA14" s="375"/>
      <x:c r="FB14" s="375"/>
      <x:c r="FC14" s="375"/>
      <x:c r="FD14" s="375"/>
      <x:c r="FE14" s="375"/>
      <x:c r="FF14" s="375"/>
      <x:c r="FG14" s="375"/>
      <x:c r="FH14" s="375"/>
      <x:c r="FI14" s="375"/>
      <x:c r="FJ14" s="375"/>
      <x:c r="FK14" s="375"/>
      <x:c r="FL14" s="375"/>
      <x:c r="FM14" s="375"/>
      <x:c r="FN14" s="375"/>
      <x:c r="FO14" s="375"/>
      <x:c r="FP14" s="375"/>
      <x:c r="FQ14" s="375"/>
      <x:c r="FR14" s="375"/>
      <x:c r="FS14" s="375"/>
      <x:c r="FT14" s="375"/>
      <x:c r="FU14" s="375"/>
      <x:c r="FV14" s="375"/>
      <x:c r="FW14" s="375"/>
      <x:c r="FX14" s="375"/>
      <x:c r="FY14" s="375"/>
      <x:c r="FZ14" s="375"/>
      <x:c r="GA14" s="375"/>
      <x:c r="GB14" s="375"/>
      <x:c r="GC14" s="375"/>
      <x:c r="GD14" s="375"/>
      <x:c r="GE14" s="375"/>
      <x:c r="GF14" s="375"/>
      <x:c r="GG14" s="375"/>
      <x:c r="GH14" s="375"/>
      <x:c r="GI14" s="375"/>
      <x:c r="GJ14" s="375"/>
      <x:c r="GK14" s="375"/>
      <x:c r="GL14" s="375"/>
      <x:c r="GM14" s="375"/>
      <x:c r="GN14" s="375"/>
      <x:c r="GO14" s="375"/>
      <x:c r="GP14" s="375"/>
      <x:c r="GQ14" s="375"/>
      <x:c r="GR14" s="375"/>
      <x:c r="GS14" s="375"/>
      <x:c r="GT14" s="375"/>
      <x:c r="GU14" s="375"/>
      <x:c r="GV14" s="375"/>
      <x:c r="GW14" s="375"/>
      <x:c r="GX14" s="375"/>
      <x:c r="GY14" s="375"/>
      <x:c r="GZ14" s="375"/>
      <x:c r="HA14" s="375"/>
      <x:c r="HB14" s="375"/>
      <x:c r="HC14" s="375"/>
      <x:c r="HD14" s="375"/>
      <x:c r="HE14" s="375"/>
      <x:c r="HF14" s="375"/>
      <x:c r="HG14" s="375"/>
      <x:c r="HH14" s="375"/>
      <x:c r="HI14" s="375"/>
      <x:c r="HJ14" s="375"/>
      <x:c r="HK14" s="375"/>
      <x:c r="HL14" s="375"/>
      <x:c r="HM14" s="375"/>
      <x:c r="HN14" s="375"/>
      <x:c r="HO14" s="375"/>
      <x:c r="HP14" s="375"/>
      <x:c r="HQ14" s="375"/>
      <x:c r="HR14" s="375"/>
      <x:c r="HS14" s="375"/>
      <x:c r="HT14" s="375"/>
      <x:c r="HU14" s="375"/>
      <x:c r="HV14" s="375"/>
      <x:c r="HW14" s="375"/>
      <x:c r="HX14" s="375"/>
      <x:c r="HY14" s="375"/>
      <x:c r="HZ14" s="375"/>
      <x:c r="IA14" s="375"/>
      <x:c r="IB14" s="375"/>
      <x:c r="IC14" s="375"/>
      <x:c r="ID14" s="375"/>
      <x:c r="IE14" s="375"/>
      <x:c r="IF14" s="375"/>
      <x:c r="IG14" s="375"/>
      <x:c r="IH14" s="375"/>
      <x:c r="II14" s="375"/>
      <x:c r="IJ14" s="375"/>
      <x:c r="IK14" s="375"/>
      <x:c r="IL14" s="375"/>
      <x:c r="IM14" s="375"/>
      <x:c r="IN14" s="375"/>
      <x:c r="IO14" s="375"/>
      <x:c r="IP14" s="375"/>
      <x:c r="IQ14" s="375"/>
      <x:c r="IR14" s="375"/>
      <x:c r="IS14" s="375"/>
      <x:c r="IT14" s="375"/>
      <x:c r="IU14" s="375"/>
      <x:c r="IV14" s="375"/>
      <x:c r="IW14" s="375"/>
      <x:c r="IX14" s="375"/>
      <x:c r="IY14" s="375"/>
      <x:c r="IZ14" s="375"/>
      <x:c r="JA14" s="375"/>
      <x:c r="JB14" s="375"/>
      <x:c r="JC14" s="375"/>
      <x:c r="JD14" s="375"/>
      <x:c r="JE14" s="375"/>
      <x:c r="JF14" s="375"/>
      <x:c r="JG14" s="375"/>
      <x:c r="JH14" s="375"/>
      <x:c r="JI14" s="375"/>
      <x:c r="JJ14" s="375"/>
      <x:c r="JK14" s="375"/>
      <x:c r="JL14" s="375"/>
      <x:c r="JM14" s="375"/>
      <x:c r="JN14" s="375"/>
      <x:c r="JO14" s="375"/>
      <x:c r="JP14" s="375"/>
      <x:c r="JQ14" s="375"/>
      <x:c r="JR14" s="375"/>
      <x:c r="JS14" s="375"/>
      <x:c r="JT14" s="375"/>
      <x:c r="JU14" s="375"/>
      <x:c r="JV14" s="375"/>
      <x:c r="JW14" s="375"/>
      <x:c r="JX14" s="375"/>
      <x:c r="JY14" s="375"/>
      <x:c r="JZ14" s="375"/>
      <x:c r="KA14" s="375"/>
      <x:c r="KB14" s="375"/>
      <x:c r="KC14" s="375"/>
      <x:c r="KD14" s="375"/>
      <x:c r="KE14" s="375"/>
      <x:c r="KF14" s="375"/>
      <x:c r="KG14" s="375"/>
      <x:c r="KH14" s="375"/>
      <x:c r="KI14" s="375"/>
      <x:c r="KJ14" s="375"/>
      <x:c r="KK14" s="375"/>
      <x:c r="KL14" s="375"/>
      <x:c r="KM14" s="375"/>
      <x:c r="KN14" s="375"/>
      <x:c r="KO14" s="375"/>
      <x:c r="KP14" s="375"/>
      <x:c r="KQ14" s="375"/>
      <x:c r="KR14" s="375"/>
      <x:c r="KS14" s="375"/>
      <x:c r="KT14" s="375"/>
      <x:c r="KU14" s="375"/>
      <x:c r="KV14" s="375"/>
      <x:c r="KW14" s="375"/>
      <x:c r="KX14" s="375"/>
      <x:c r="KY14" s="375"/>
      <x:c r="KZ14" s="375"/>
      <x:c r="LA14" s="375"/>
      <x:c r="LB14" s="375"/>
      <x:c r="LC14" s="375"/>
      <x:c r="LD14" s="375"/>
      <x:c r="LE14" s="375"/>
      <x:c r="LF14" s="375"/>
      <x:c r="LG14" s="375"/>
      <x:c r="LH14" s="375"/>
      <x:c r="LI14" s="375"/>
      <x:c r="LJ14" s="375"/>
      <x:c r="LK14" s="375"/>
      <x:c r="LL14" s="375"/>
      <x:c r="LM14" s="375"/>
      <x:c r="LN14" s="375"/>
      <x:c r="LO14" s="375"/>
      <x:c r="LP14" s="375"/>
      <x:c r="LQ14" s="375"/>
      <x:c r="LR14" s="375"/>
      <x:c r="LS14" s="375"/>
      <x:c r="LT14" s="375"/>
      <x:c r="LU14" s="375"/>
      <x:c r="LV14" s="375"/>
      <x:c r="LW14" s="375"/>
      <x:c r="LX14" s="375"/>
      <x:c r="LY14" s="375"/>
      <x:c r="LZ14" s="375"/>
      <x:c r="MA14" s="375"/>
      <x:c r="MB14" s="375"/>
      <x:c r="MC14" s="375"/>
      <x:c r="MD14" s="375"/>
      <x:c r="ME14" s="375"/>
      <x:c r="MF14" s="375"/>
      <x:c r="MG14" s="375"/>
      <x:c r="MH14" s="375"/>
      <x:c r="MI14" s="375"/>
      <x:c r="MJ14" s="375"/>
      <x:c r="MK14" s="375"/>
      <x:c r="ML14" s="375"/>
      <x:c r="MM14" s="375"/>
      <x:c r="MN14" s="375"/>
      <x:c r="MO14" s="375"/>
      <x:c r="MP14" s="375"/>
      <x:c r="MQ14" s="375"/>
      <x:c r="MR14" s="375"/>
      <x:c r="MS14" s="375"/>
      <x:c r="MT14" s="375"/>
      <x:c r="MU14" s="375"/>
      <x:c r="MV14" s="375"/>
      <x:c r="MW14" s="375"/>
      <x:c r="MX14" s="375"/>
      <x:c r="MY14" s="375"/>
      <x:c r="MZ14" s="375"/>
      <x:c r="NA14" s="375"/>
      <x:c r="NB14" s="375"/>
      <x:c r="NC14" s="375"/>
      <x:c r="ND14" s="375"/>
      <x:c r="NE14" s="375"/>
      <x:c r="NF14" s="375"/>
      <x:c r="NG14" s="375"/>
      <x:c r="NH14" s="375"/>
      <x:c r="NI14" s="375"/>
      <x:c r="NJ14" s="375"/>
      <x:c r="NK14" s="375"/>
      <x:c r="NL14" s="375"/>
      <x:c r="NM14" s="375"/>
      <x:c r="NN14" s="375"/>
      <x:c r="NO14" s="375"/>
      <x:c r="NP14" s="375"/>
      <x:c r="NQ14" s="375"/>
      <x:c r="NR14" s="375"/>
      <x:c r="NS14" s="375"/>
      <x:c r="NT14" s="375"/>
      <x:c r="NU14" s="375"/>
      <x:c r="NV14" s="375"/>
      <x:c r="NW14" s="375"/>
      <x:c r="NX14" s="375"/>
      <x:c r="NY14" s="375"/>
      <x:c r="NZ14" s="375"/>
      <x:c r="OA14" s="375"/>
      <x:c r="OB14" s="375"/>
      <x:c r="OC14" s="375"/>
      <x:c r="OD14" s="375"/>
      <x:c r="OE14" s="375"/>
      <x:c r="OF14" s="375"/>
      <x:c r="OG14" s="375"/>
      <x:c r="OH14" s="375"/>
      <x:c r="OI14" s="375"/>
      <x:c r="OJ14" s="375"/>
      <x:c r="OK14" s="375"/>
      <x:c r="OL14" s="375"/>
      <x:c r="OM14" s="375"/>
      <x:c r="ON14" s="375"/>
      <x:c r="OO14" s="375"/>
      <x:c r="OP14" s="375"/>
      <x:c r="OQ14" s="375"/>
      <x:c r="OR14" s="375"/>
      <x:c r="OS14" s="375"/>
      <x:c r="OT14" s="375"/>
      <x:c r="OU14" s="375"/>
      <x:c r="OV14" s="375"/>
      <x:c r="OW14" s="375"/>
      <x:c r="OX14" s="375"/>
      <x:c r="OY14" s="375"/>
      <x:c r="OZ14" s="375"/>
      <x:c r="PA14" s="375"/>
      <x:c r="PB14" s="375"/>
      <x:c r="PC14" s="375"/>
      <x:c r="PD14" s="375"/>
      <x:c r="PE14" s="375"/>
      <x:c r="PF14" s="375"/>
      <x:c r="PG14" s="375"/>
      <x:c r="PH14" s="375"/>
      <x:c r="PI14" s="375"/>
      <x:c r="PJ14" s="375"/>
      <x:c r="PK14" s="375"/>
      <x:c r="PL14" s="375"/>
      <x:c r="PM14" s="375"/>
      <x:c r="PN14" s="375"/>
      <x:c r="PO14" s="375"/>
      <x:c r="PP14" s="375"/>
      <x:c r="PQ14" s="375"/>
      <x:c r="PR14" s="375"/>
      <x:c r="PS14" s="375"/>
      <x:c r="PT14" s="375"/>
      <x:c r="PU14" s="375"/>
      <x:c r="PV14" s="375"/>
      <x:c r="PW14" s="375"/>
      <x:c r="PX14" s="375"/>
      <x:c r="PY14" s="375"/>
      <x:c r="PZ14" s="375"/>
      <x:c r="QA14" s="375"/>
      <x:c r="QB14" s="375"/>
      <x:c r="QC14" s="375"/>
      <x:c r="QD14" s="375"/>
      <x:c r="QE14" s="375"/>
      <x:c r="QF14" s="375"/>
      <x:c r="QG14" s="375"/>
      <x:c r="QH14" s="375"/>
      <x:c r="QI14" s="375"/>
      <x:c r="QJ14" s="375"/>
      <x:c r="QK14" s="375"/>
      <x:c r="QL14" s="375"/>
      <x:c r="QM14" s="375"/>
      <x:c r="QN14" s="375"/>
      <x:c r="QO14" s="375"/>
      <x:c r="QP14" s="375"/>
      <x:c r="QQ14" s="375"/>
      <x:c r="QR14" s="375"/>
      <x:c r="QS14" s="375"/>
      <x:c r="QT14" s="375"/>
      <x:c r="QU14" s="375"/>
      <x:c r="QV14" s="375"/>
      <x:c r="QW14" s="375"/>
      <x:c r="QX14" s="375"/>
      <x:c r="QY14" s="375"/>
      <x:c r="QZ14" s="375"/>
      <x:c r="RA14" s="375"/>
      <x:c r="RB14" s="375"/>
      <x:c r="RC14" s="375"/>
      <x:c r="RD14" s="375"/>
      <x:c r="RE14" s="375"/>
      <x:c r="RF14" s="375"/>
      <x:c r="RG14" s="375"/>
      <x:c r="RH14" s="375"/>
      <x:c r="RI14" s="375"/>
      <x:c r="RJ14" s="375"/>
      <x:c r="RK14" s="375"/>
      <x:c r="RL14" s="375"/>
      <x:c r="RM14" s="375"/>
      <x:c r="RN14" s="375"/>
      <x:c r="RO14" s="375"/>
      <x:c r="RP14" s="375"/>
      <x:c r="RQ14" s="375"/>
      <x:c r="RR14" s="375"/>
      <x:c r="RS14" s="375"/>
      <x:c r="RT14" s="375"/>
      <x:c r="RU14" s="375"/>
      <x:c r="RV14" s="375"/>
      <x:c r="RW14" s="375"/>
      <x:c r="RX14" s="375"/>
      <x:c r="RY14" s="375"/>
      <x:c r="RZ14" s="375"/>
      <x:c r="SA14" s="375"/>
      <x:c r="SB14" s="375"/>
      <x:c r="SC14" s="375"/>
      <x:c r="SD14" s="375"/>
      <x:c r="SE14" s="375"/>
      <x:c r="SF14" s="375"/>
      <x:c r="SG14" s="375"/>
      <x:c r="SH14" s="375"/>
      <x:c r="SI14" s="375"/>
      <x:c r="SJ14" s="375"/>
      <x:c r="SK14" s="375"/>
      <x:c r="SL14" s="375"/>
      <x:c r="SM14" s="375"/>
      <x:c r="SN14" s="375"/>
      <x:c r="SO14" s="375"/>
      <x:c r="SP14" s="375"/>
      <x:c r="SQ14" s="375"/>
      <x:c r="SR14" s="375"/>
      <x:c r="SS14" s="375"/>
      <x:c r="ST14" s="375"/>
      <x:c r="SU14" s="375"/>
      <x:c r="SV14" s="375"/>
      <x:c r="SW14" s="375"/>
      <x:c r="SX14" s="375"/>
      <x:c r="SY14" s="375"/>
      <x:c r="SZ14" s="375"/>
      <x:c r="TA14" s="375"/>
      <x:c r="TB14" s="375"/>
      <x:c r="TC14" s="375"/>
      <x:c r="TD14" s="375"/>
      <x:c r="TE14" s="375"/>
      <x:c r="TF14" s="375"/>
      <x:c r="TG14" s="375"/>
      <x:c r="TH14" s="375"/>
      <x:c r="TI14" s="375"/>
      <x:c r="TJ14" s="375"/>
      <x:c r="TK14" s="375"/>
      <x:c r="TL14" s="375"/>
      <x:c r="TM14" s="375"/>
      <x:c r="TN14" s="375"/>
      <x:c r="TO14" s="375"/>
      <x:c r="TP14" s="375"/>
      <x:c r="TQ14" s="375"/>
      <x:c r="TR14" s="375"/>
      <x:c r="TS14" s="375"/>
      <x:c r="TT14" s="375"/>
      <x:c r="TU14" s="375"/>
      <x:c r="TV14" s="375"/>
      <x:c r="TW14" s="375"/>
      <x:c r="TX14" s="375"/>
      <x:c r="TY14" s="375"/>
      <x:c r="TZ14" s="375"/>
      <x:c r="UA14" s="375"/>
      <x:c r="UB14" s="375"/>
      <x:c r="UC14" s="375"/>
      <x:c r="UD14" s="375"/>
      <x:c r="UE14" s="375"/>
      <x:c r="UF14" s="375"/>
      <x:c r="UG14" s="375"/>
      <x:c r="UH14" s="375"/>
      <x:c r="UI14" s="375"/>
      <x:c r="UJ14" s="375"/>
      <x:c r="UK14" s="375"/>
      <x:c r="UL14" s="375"/>
      <x:c r="UM14" s="375"/>
      <x:c r="UN14" s="375"/>
      <x:c r="UO14" s="375"/>
      <x:c r="UP14" s="375"/>
      <x:c r="UQ14" s="375"/>
      <x:c r="UR14" s="375"/>
      <x:c r="US14" s="375"/>
      <x:c r="UT14" s="375"/>
      <x:c r="UU14" s="375"/>
      <x:c r="UV14" s="375"/>
      <x:c r="UW14" s="375"/>
      <x:c r="UX14" s="375"/>
      <x:c r="UY14" s="375"/>
      <x:c r="UZ14" s="375"/>
      <x:c r="VA14" s="375"/>
      <x:c r="VB14" s="375"/>
      <x:c r="VC14" s="375"/>
      <x:c r="VD14" s="375"/>
      <x:c r="VE14" s="375"/>
      <x:c r="VF14" s="375"/>
      <x:c r="VG14" s="375"/>
      <x:c r="VH14" s="375"/>
      <x:c r="VI14" s="375"/>
      <x:c r="VJ14" s="375"/>
      <x:c r="VK14" s="375"/>
      <x:c r="VL14" s="375"/>
      <x:c r="VM14" s="375"/>
      <x:c r="VN14" s="375"/>
      <x:c r="VO14" s="375"/>
      <x:c r="VP14" s="375"/>
      <x:c r="VQ14" s="375"/>
      <x:c r="VR14" s="375"/>
      <x:c r="VS14" s="375"/>
      <x:c r="VT14" s="375"/>
      <x:c r="VU14" s="375"/>
      <x:c r="VV14" s="375"/>
      <x:c r="VW14" s="375"/>
      <x:c r="VX14" s="375"/>
      <x:c r="VY14" s="375"/>
      <x:c r="VZ14" s="375"/>
      <x:c r="WA14" s="375"/>
      <x:c r="WB14" s="375"/>
      <x:c r="WC14" s="375"/>
      <x:c r="WD14" s="375"/>
      <x:c r="WE14" s="375"/>
      <x:c r="WF14" s="375"/>
      <x:c r="WG14" s="375"/>
      <x:c r="WH14" s="375"/>
      <x:c r="WI14" s="375"/>
      <x:c r="WJ14" s="375"/>
      <x:c r="WK14" s="375"/>
      <x:c r="WL14" s="375"/>
      <x:c r="WM14" s="375"/>
      <x:c r="WN14" s="375"/>
      <x:c r="WO14" s="375"/>
      <x:c r="WP14" s="375"/>
      <x:c r="WQ14" s="375"/>
      <x:c r="WR14" s="375"/>
      <x:c r="WS14" s="375"/>
      <x:c r="WT14" s="375"/>
      <x:c r="WU14" s="375"/>
      <x:c r="WV14" s="375"/>
      <x:c r="WW14" s="375"/>
      <x:c r="WX14" s="375"/>
      <x:c r="WY14" s="375"/>
      <x:c r="WZ14" s="375"/>
      <x:c r="XA14" s="375"/>
      <x:c r="XB14" s="375"/>
      <x:c r="XC14" s="375"/>
      <x:c r="XD14" s="375"/>
      <x:c r="XE14" s="375"/>
      <x:c r="XF14" s="375"/>
      <x:c r="XG14" s="375"/>
      <x:c r="XH14" s="375"/>
      <x:c r="XI14" s="375"/>
      <x:c r="XJ14" s="375"/>
      <x:c r="XK14" s="375"/>
      <x:c r="XL14" s="375"/>
      <x:c r="XM14" s="375"/>
      <x:c r="XN14" s="375"/>
      <x:c r="XO14" s="375"/>
      <x:c r="XP14" s="375"/>
      <x:c r="XQ14" s="375"/>
      <x:c r="XR14" s="375"/>
      <x:c r="XS14" s="375"/>
      <x:c r="XT14" s="375"/>
      <x:c r="XU14" s="375"/>
      <x:c r="XV14" s="375"/>
      <x:c r="XW14" s="375"/>
      <x:c r="XX14" s="375"/>
      <x:c r="XY14" s="375"/>
      <x:c r="XZ14" s="375"/>
      <x:c r="YA14" s="375"/>
      <x:c r="YB14" s="375"/>
      <x:c r="YC14" s="375"/>
      <x:c r="YD14" s="375"/>
      <x:c r="YE14" s="375"/>
      <x:c r="YF14" s="375"/>
      <x:c r="YG14" s="375"/>
      <x:c r="YH14" s="375"/>
      <x:c r="YI14" s="375"/>
      <x:c r="YJ14" s="375"/>
      <x:c r="YK14" s="375"/>
      <x:c r="YL14" s="375"/>
      <x:c r="YM14" s="375"/>
      <x:c r="YN14" s="375"/>
      <x:c r="YO14" s="375"/>
      <x:c r="YP14" s="375"/>
      <x:c r="YQ14" s="375"/>
      <x:c r="YR14" s="375"/>
      <x:c r="YS14" s="375"/>
      <x:c r="YT14" s="375"/>
      <x:c r="YU14" s="375"/>
      <x:c r="YV14" s="375"/>
      <x:c r="YW14" s="375"/>
      <x:c r="YX14" s="375"/>
      <x:c r="YY14" s="375"/>
      <x:c r="YZ14" s="375"/>
      <x:c r="ZA14" s="375"/>
      <x:c r="ZB14" s="375"/>
      <x:c r="ZC14" s="375"/>
      <x:c r="ZD14" s="375"/>
      <x:c r="ZE14" s="375"/>
      <x:c r="ZF14" s="375"/>
      <x:c r="ZG14" s="375"/>
      <x:c r="ZH14" s="375"/>
      <x:c r="ZI14" s="375"/>
      <x:c r="ZJ14" s="375"/>
      <x:c r="ZK14" s="375"/>
      <x:c r="ZL14" s="375"/>
      <x:c r="ZM14" s="375"/>
      <x:c r="ZN14" s="375"/>
      <x:c r="ZO14" s="375"/>
      <x:c r="ZP14" s="375"/>
      <x:c r="ZQ14" s="375"/>
      <x:c r="ZR14" s="375"/>
      <x:c r="ZS14" s="375"/>
      <x:c r="ZT14" s="375"/>
      <x:c r="ZU14" s="375"/>
      <x:c r="ZV14" s="375"/>
      <x:c r="ZW14" s="375"/>
      <x:c r="ZX14" s="375"/>
      <x:c r="ZY14" s="375"/>
      <x:c r="ZZ14" s="375"/>
      <x:c r="AAA14" s="375"/>
      <x:c r="AAB14" s="375"/>
      <x:c r="AAC14" s="375"/>
      <x:c r="AAD14" s="375"/>
      <x:c r="AAE14" s="375"/>
      <x:c r="AAF14" s="375"/>
      <x:c r="AAG14" s="375"/>
      <x:c r="AAH14" s="375"/>
      <x:c r="AAI14" s="375"/>
      <x:c r="AAJ14" s="375"/>
      <x:c r="AAK14" s="375"/>
      <x:c r="AAL14" s="375"/>
      <x:c r="AAM14" s="375"/>
      <x:c r="AAN14" s="375"/>
      <x:c r="AAO14" s="375"/>
      <x:c r="AAP14" s="375"/>
      <x:c r="AAQ14" s="375"/>
      <x:c r="AAR14" s="375"/>
      <x:c r="AAS14" s="375"/>
      <x:c r="AAT14" s="375"/>
      <x:c r="AAU14" s="375"/>
      <x:c r="AAV14" s="375"/>
      <x:c r="AAW14" s="375"/>
      <x:c r="AAX14" s="375"/>
      <x:c r="AAY14" s="375"/>
      <x:c r="AAZ14" s="375"/>
      <x:c r="ABA14" s="375"/>
      <x:c r="ABB14" s="375"/>
      <x:c r="ABC14" s="375"/>
      <x:c r="ABD14" s="375"/>
      <x:c r="ABE14" s="375"/>
      <x:c r="ABF14" s="375"/>
      <x:c r="ABG14" s="375"/>
      <x:c r="ABH14" s="375"/>
      <x:c r="ABI14" s="375"/>
      <x:c r="ABJ14" s="375"/>
      <x:c r="ABK14" s="375"/>
      <x:c r="ABL14" s="375"/>
      <x:c r="ABM14" s="375"/>
      <x:c r="ABN14" s="375"/>
      <x:c r="ABO14" s="375"/>
      <x:c r="ABP14" s="375"/>
      <x:c r="ABQ14" s="375"/>
      <x:c r="ABR14" s="375"/>
      <x:c r="ABS14" s="375"/>
      <x:c r="ABT14" s="375"/>
      <x:c r="ABU14" s="375"/>
      <x:c r="ABV14" s="375"/>
      <x:c r="ABW14" s="375"/>
      <x:c r="ABX14" s="375"/>
      <x:c r="ABY14" s="375"/>
      <x:c r="ABZ14" s="375"/>
      <x:c r="ACA14" s="375"/>
      <x:c r="ACB14" s="375"/>
      <x:c r="ACC14" s="375"/>
      <x:c r="ACD14" s="375"/>
      <x:c r="ACE14" s="375"/>
      <x:c r="ACF14" s="375"/>
      <x:c r="ACG14" s="375"/>
      <x:c r="ACH14" s="375"/>
      <x:c r="ACI14" s="375"/>
      <x:c r="ACJ14" s="375"/>
      <x:c r="ACK14" s="375"/>
      <x:c r="ACL14" s="375"/>
      <x:c r="ACM14" s="375"/>
      <x:c r="ACN14" s="375"/>
      <x:c r="ACO14" s="375"/>
      <x:c r="ACP14" s="375"/>
      <x:c r="ACQ14" s="375"/>
      <x:c r="ACR14" s="375"/>
      <x:c r="ACS14" s="375"/>
      <x:c r="ACT14" s="375"/>
      <x:c r="ACU14" s="375"/>
      <x:c r="ACV14" s="375"/>
      <x:c r="ACW14" s="375"/>
      <x:c r="ACX14" s="375"/>
      <x:c r="ACY14" s="375"/>
      <x:c r="ACZ14" s="375"/>
      <x:c r="ADA14" s="375"/>
      <x:c r="ADB14" s="375"/>
      <x:c r="ADC14" s="375"/>
      <x:c r="ADD14" s="375"/>
      <x:c r="ADE14" s="375"/>
      <x:c r="ADF14" s="375"/>
      <x:c r="ADG14" s="375"/>
      <x:c r="ADH14" s="375"/>
      <x:c r="ADI14" s="375"/>
      <x:c r="ADJ14" s="375"/>
      <x:c r="ADK14" s="375"/>
      <x:c r="ADL14" s="375"/>
      <x:c r="ADM14" s="375"/>
      <x:c r="ADN14" s="375"/>
      <x:c r="ADO14" s="375"/>
      <x:c r="ADP14" s="375"/>
      <x:c r="ADQ14" s="375"/>
      <x:c r="ADR14" s="375"/>
      <x:c r="ADS14" s="375"/>
      <x:c r="ADT14" s="375"/>
      <x:c r="ADU14" s="375"/>
      <x:c r="ADV14" s="375"/>
      <x:c r="ADW14" s="375"/>
      <x:c r="ADX14" s="375"/>
      <x:c r="ADY14" s="375"/>
      <x:c r="ADZ14" s="375"/>
      <x:c r="AEA14" s="375"/>
      <x:c r="AEB14" s="375"/>
      <x:c r="AEC14" s="375"/>
      <x:c r="AED14" s="375"/>
      <x:c r="AEE14" s="375"/>
      <x:c r="AEF14" s="375"/>
      <x:c r="AEG14" s="375"/>
      <x:c r="AEH14" s="375"/>
      <x:c r="AEI14" s="375"/>
      <x:c r="AEJ14" s="375"/>
      <x:c r="AEK14" s="375"/>
      <x:c r="AEL14" s="375"/>
      <x:c r="AEM14" s="375"/>
      <x:c r="AEN14" s="375"/>
      <x:c r="AEO14" s="375"/>
      <x:c r="AEP14" s="375"/>
      <x:c r="AEQ14" s="375"/>
      <x:c r="AER14" s="375"/>
      <x:c r="AES14" s="375"/>
      <x:c r="AET14" s="375"/>
      <x:c r="AEU14" s="375"/>
      <x:c r="AEV14" s="375"/>
      <x:c r="AEW14" s="375"/>
      <x:c r="AEX14" s="375"/>
      <x:c r="AEY14" s="375"/>
      <x:c r="AEZ14" s="375"/>
      <x:c r="AFA14" s="375"/>
      <x:c r="AFB14" s="375"/>
      <x:c r="AFC14" s="375"/>
      <x:c r="AFD14" s="375"/>
      <x:c r="AFE14" s="375"/>
      <x:c r="AFF14" s="375"/>
      <x:c r="AFG14" s="375"/>
      <x:c r="AFH14" s="375"/>
      <x:c r="AFI14" s="375"/>
      <x:c r="AFJ14" s="375"/>
      <x:c r="AFK14" s="375"/>
      <x:c r="AFL14" s="375"/>
      <x:c r="AFM14" s="375"/>
      <x:c r="AFN14" s="375"/>
      <x:c r="AFO14" s="375"/>
      <x:c r="AFP14" s="375"/>
      <x:c r="AFQ14" s="375"/>
      <x:c r="AFR14" s="375"/>
      <x:c r="AFS14" s="375"/>
      <x:c r="AFT14" s="375"/>
      <x:c r="AFU14" s="375"/>
      <x:c r="AFV14" s="375"/>
      <x:c r="AFW14" s="375"/>
      <x:c r="AFX14" s="375"/>
      <x:c r="AFY14" s="375"/>
      <x:c r="AFZ14" s="375"/>
      <x:c r="AGA14" s="375"/>
      <x:c r="AGB14" s="375"/>
      <x:c r="AGC14" s="375"/>
      <x:c r="AGD14" s="375"/>
      <x:c r="AGE14" s="375"/>
      <x:c r="AGF14" s="375"/>
      <x:c r="AGG14" s="375"/>
      <x:c r="AGH14" s="375"/>
      <x:c r="AGI14" s="375"/>
      <x:c r="AGJ14" s="375"/>
      <x:c r="AGK14" s="375"/>
      <x:c r="AGL14" s="375"/>
      <x:c r="AGM14" s="375"/>
      <x:c r="AGN14" s="375"/>
      <x:c r="AGO14" s="375"/>
      <x:c r="AGP14" s="375"/>
      <x:c r="AGQ14" s="375"/>
      <x:c r="AGR14" s="375"/>
      <x:c r="AGS14" s="375"/>
      <x:c r="AGT14" s="375"/>
      <x:c r="AGU14" s="375"/>
      <x:c r="AGV14" s="375"/>
      <x:c r="AGW14" s="375"/>
      <x:c r="AGX14" s="375"/>
      <x:c r="AGY14" s="375"/>
      <x:c r="AGZ14" s="375"/>
      <x:c r="AHA14" s="375"/>
      <x:c r="AHB14" s="375"/>
      <x:c r="AHC14" s="375"/>
      <x:c r="AHD14" s="375"/>
      <x:c r="AHE14" s="375"/>
      <x:c r="AHF14" s="375"/>
      <x:c r="AHG14" s="375"/>
      <x:c r="AHH14" s="375"/>
      <x:c r="AHI14" s="375"/>
      <x:c r="AHJ14" s="375"/>
      <x:c r="AHK14" s="375"/>
      <x:c r="AHL14" s="375"/>
      <x:c r="AHM14" s="375"/>
      <x:c r="AHN14" s="375"/>
      <x:c r="AHO14" s="375"/>
      <x:c r="AHP14" s="375"/>
      <x:c r="AHQ14" s="375"/>
      <x:c r="AHR14" s="375"/>
      <x:c r="AHS14" s="375"/>
      <x:c r="AHT14" s="375"/>
      <x:c r="AHU14" s="375"/>
      <x:c r="AHV14" s="375"/>
      <x:c r="AHW14" s="375"/>
      <x:c r="AHX14" s="375"/>
      <x:c r="AHY14" s="375"/>
      <x:c r="AHZ14" s="375"/>
      <x:c r="AIA14" s="375"/>
      <x:c r="AIB14" s="375"/>
      <x:c r="AIC14" s="375"/>
      <x:c r="AID14" s="375"/>
      <x:c r="AIE14" s="375"/>
      <x:c r="AIF14" s="375"/>
      <x:c r="AIG14" s="375"/>
      <x:c r="AIH14" s="375"/>
      <x:c r="AII14" s="375"/>
      <x:c r="AIJ14" s="375"/>
      <x:c r="AIK14" s="375"/>
      <x:c r="AIL14" s="375"/>
      <x:c r="AIM14" s="375"/>
      <x:c r="AIN14" s="375"/>
      <x:c r="AIO14" s="375"/>
      <x:c r="AIP14" s="375"/>
      <x:c r="AIQ14" s="375"/>
      <x:c r="AIR14" s="375"/>
      <x:c r="AIS14" s="375"/>
      <x:c r="AIT14" s="375"/>
      <x:c r="AIU14" s="375"/>
      <x:c r="AIV14" s="375"/>
      <x:c r="AIW14" s="375"/>
      <x:c r="AIX14" s="375"/>
      <x:c r="AIY14" s="375"/>
      <x:c r="AIZ14" s="375"/>
      <x:c r="AJA14" s="375"/>
      <x:c r="AJB14" s="375"/>
      <x:c r="AJC14" s="375"/>
      <x:c r="AJD14" s="375"/>
      <x:c r="AJE14" s="375"/>
      <x:c r="AJF14" s="375"/>
      <x:c r="AJG14" s="375"/>
      <x:c r="AJH14" s="375"/>
      <x:c r="AJI14" s="375"/>
      <x:c r="AJJ14" s="375"/>
      <x:c r="AJK14" s="375"/>
      <x:c r="AJL14" s="375"/>
      <x:c r="AJM14" s="375"/>
      <x:c r="AJN14" s="375"/>
      <x:c r="AJO14" s="375"/>
      <x:c r="AJP14" s="375"/>
      <x:c r="AJQ14" s="375"/>
      <x:c r="AJR14" s="375"/>
      <x:c r="AJS14" s="375"/>
      <x:c r="AJT14" s="375"/>
      <x:c r="AJU14" s="375"/>
      <x:c r="AJV14" s="375"/>
      <x:c r="AJW14" s="375"/>
      <x:c r="AJX14" s="375"/>
      <x:c r="AJY14" s="375"/>
      <x:c r="AJZ14" s="375"/>
      <x:c r="AKA14" s="375"/>
      <x:c r="AKB14" s="375"/>
      <x:c r="AKC14" s="375"/>
      <x:c r="AKD14" s="375"/>
      <x:c r="AKE14" s="375"/>
      <x:c r="AKF14" s="375"/>
      <x:c r="AKG14" s="375"/>
      <x:c r="AKH14" s="375"/>
      <x:c r="AKI14" s="375"/>
      <x:c r="AKJ14" s="375"/>
      <x:c r="AKK14" s="375"/>
      <x:c r="AKL14" s="375"/>
      <x:c r="AKM14" s="375"/>
      <x:c r="AKN14" s="375"/>
      <x:c r="AKO14" s="375"/>
      <x:c r="AKP14" s="375"/>
      <x:c r="AKQ14" s="375"/>
      <x:c r="AKR14" s="375"/>
      <x:c r="AKS14" s="375"/>
      <x:c r="AKT14" s="375"/>
      <x:c r="AKU14" s="375"/>
      <x:c r="AKV14" s="375"/>
      <x:c r="AKW14" s="375"/>
      <x:c r="AKX14" s="375"/>
      <x:c r="AKY14" s="375"/>
      <x:c r="AKZ14" s="375"/>
      <x:c r="ALA14" s="375"/>
      <x:c r="ALB14" s="375"/>
      <x:c r="ALC14" s="375"/>
      <x:c r="ALD14" s="375"/>
      <x:c r="ALE14" s="375"/>
      <x:c r="ALF14" s="375"/>
      <x:c r="ALG14" s="375"/>
      <x:c r="ALH14" s="375"/>
      <x:c r="ALI14" s="375"/>
      <x:c r="ALJ14" s="375"/>
      <x:c r="ALK14" s="375"/>
      <x:c r="ALL14" s="375"/>
      <x:c r="ALM14" s="375"/>
      <x:c r="ALN14" s="375"/>
      <x:c r="ALO14" s="375"/>
      <x:c r="ALP14" s="375"/>
      <x:c r="ALQ14" s="375"/>
      <x:c r="ALR14" s="375"/>
      <x:c r="ALS14" s="375"/>
      <x:c r="ALT14" s="375"/>
      <x:c r="ALU14" s="375"/>
      <x:c r="ALV14" s="375"/>
      <x:c r="ALW14" s="375"/>
      <x:c r="ALX14" s="375"/>
      <x:c r="ALY14" s="375"/>
      <x:c r="ALZ14" s="375"/>
      <x:c r="AMA14" s="375"/>
      <x:c r="AMB14" s="375"/>
      <x:c r="AMC14" s="375"/>
      <x:c r="AMD14" s="375"/>
      <x:c r="AME14" s="375"/>
      <x:c r="AMF14" s="375"/>
      <x:c r="AMG14" s="375"/>
      <x:c r="AMH14" s="375"/>
      <x:c r="AMI14" s="375"/>
      <x:c r="AMJ14" s="375"/>
      <x:c r="AMK14" s="375"/>
    </x:row>
    <x:row r="15" ht="68" hidden="0" customHeight="1">
      <x:c r="A15" s="375" t="str">
        <x:v>01-yurina-A1-s-2</x:v>
      </x:c>
      <x:c r="B15" s="375" t="str">
        <x:v>yurina</x:v>
      </x:c>
      <x:c r="C15" s="375" t="str">
        <x:v>A1</x:v>
      </x:c>
      <x:c r="D15" s="375" t="str">
        <x:v>01-yurina-o-s-2</x:v>
      </x:c>
      <x:c r="E15" s="375" t="str">
        <x:v>不完全浦波嵐</x:v>
      </x:c>
      <x:c r="F15" s="375" t="str">
        <x:v>ふかんぜんうらなみあらし</x:v>
      </x:c>
      <x:c r="G15" s="375" t="str">
        <x:v>不完全浦波岚</x:v>
      </x:c>
      <x:c r="H15" s="375" t="str">
        <x:v>不完全浦波岚</x:v>
      </x:c>
      <x:c r="I15" s="375"/>
      <x:c r="J15" s="375" t="str">
        <x:v>불완전 해안에 파랑 일며</x:v>
      </x:c>
      <x:c r="K15" s="375" t="str">
        <x:v>Imperfect Uranami Storm</x:v>
      </x:c>
      <x:c r="L15" s="375"/>
      <x:c r="M15" s="375" t="str">
        <x:v>切札</x:v>
      </x:c>
      <x:c r="N15" s="375"/>
      <x:c r="O15" s="375"/>
      <x:c r="P15" s="375"/>
      <x:c r="Q15" s="375"/>
      <x:c r="R15" s="375" t="str">
        <x:v>攻撃</x:v>
      </x:c>
      <x:c r="S15" s="375" t="str">
        <x:v>対応</x:v>
      </x:c>
      <x:c r="T15" s="375" t="str">
        <x:v>0-10</x:v>
      </x:c>
      <x:c r="U15" s="383"/>
      <x:c r="V15" s="382" t="str">
        <x:v>3/-</x:v>
      </x:c>
      <x:c r="W15" s="383"/>
      <x:c r="X15" s="382"/>
      <x:c r="Y15" s="382"/>
      <x:c r="Z15" s="382" t="n">
        <x:v>5</x:v>
      </x:c>
      <x:c r="AA15" s="382"/>
      <x:c r="AB15" s="385"/>
      <x:c r="AC15" s="385"/>
      <x:c r="AD15" s="386"/>
      <x:c r="AE15" s="440" t="str">
        <x:v>終端
【攻撃後】対応した《攻撃》は-3/+0となる。</x:v>
      </x:c>
      <x:c r="AF15" s="441"/>
      <x:c r="AG15" s="489" t="str">
        <x:v>终端
【攻击后】被对应的《攻击》得-3/+0。</x:v>
      </x:c>
      <x:c r="AH15" s="442"/>
      <x:c r="AI15" s="488" t="str">
        <x:v>终端
【攻击后】被对应的《攻击》获得-3/+0。</x:v>
      </x:c>
      <x:c r="AJ15" s="440"/>
      <x:c r="AK15" s="489" t="str">
        <x:v>종단
【공격후】대응한 《공격》은 -3/+0이 된다.</x:v>
      </x:c>
      <x:c r="AL15" s="440"/>
      <x:c r="AM15" s="489" t="str">
        <x:v>Terminal
After Attack: The attack this card was played as a Reaction to gets -3/+0.</x:v>
      </x:c>
      <x:c r="AN15" s="440"/>
      <x:c r="AO15" s="439"/>
      <x:c r="AP15" s="439"/>
      <x:c r="AQ15" s="439"/>
      <x:c r="AR15" s="439"/>
      <x:c r="AS15" s="439"/>
      <x:c r="AT15" s="378" t="str">
        <x:f>IF(A15="", "","'"&amp;A15&amp;"': {megami: '"&amp;B15&amp;"'"&amp;IF(C15&lt;&gt;"",", anotherID: '"&amp;C15&amp;"', replace: '"&amp;D15&amp;"'","")&amp;", name: '"&amp;SUBSTITUTE(E15,"'","\'")&amp;"', nameEn: '"&amp;SUBSTITUTE(K15,"'","\'")&amp;"', nameZh: '"&amp;SUBSTITUTE(G15,"'","\'")&amp;"', nameZhG14: '"&amp;SUBSTITUTE(H15,"'","\'")&amp;"', nameKo: '"&amp;SUBSTITUTE(J15,"'","\'")&amp;"', ruby: '"&amp;F15&amp;"', rubyEn: '"&amp;L15&amp;IF(I15&lt;&gt;"", "', rubyZh: '"&amp;I15, "")&amp;"', baseType: '"&amp;IF(M15="通常札","normal",IF(M15="切札","special",IF(M15="追加札","extra",IF(M15="transform","transform",IF(M15="嵐","storm",IF(M15="兵員","troop",IF(M15="構想","plan",IF(M15="メインパーツ","mainParts",IF(M15="カスタムパーツ","customParts",IF(M15="運命","fate",IF(M15="仮想樹","virtualTree","")))))))))))&amp;"'"&amp;IF(N15="○",", extra: true","")&amp;IF(O15&lt;&gt;"",", extraFrom: '"&amp;O15&amp;"'","")&amp;IF(P15&lt;&gt;"",", exchangableTo: '"&amp;P15&amp;"'","")&amp;IF(Q15="○",", poison: true","")&amp;IF(R15&lt;&gt;"", ", type: '"&amp;IF(R15="攻撃","attack",IF(R15="行動","action",IF(R15="不定","variable",IF(R15="対応","reaction",IF(R15="全力","fullpower",IF(R15="付与","enhance",IF(R15="transform","transform","")))))))&amp;"'", "")&amp;IF(S15&lt;&gt;"",", subType: '"&amp;IF(S15="攻撃","attack",IF(S15="行動","action",IF(S15="不定","variable",IF(S15="対応","reaction",IF(S15="全力","fullpower",IF(S15="付与","enhance",IF(S15="transform","transform","")))))))&amp;"'","")&amp;""&amp;IF(T15&lt;&gt;"",", range: '"&amp;T15&amp;"'","")&amp;IF(V15&lt;&gt;"",", damage: '"&amp;V15&amp;"'","")&amp;IF(X15&lt;&gt;"",", capacity: '"&amp;X15&amp;"'","")&amp;IF(Y15&lt;&gt;"",", growth: "&amp;Y15&amp;"","")&amp;IF(Z15&lt;&gt;"",", cost: '"&amp;Z15&amp;"'","")&amp;", text: '"&amp;SUBSTITUTE(SUBSTITUTE(AE15, CHAR(13), ""),CHAR(10),"\n")&amp;IF(AF15&lt;&gt;"", "', textAdditional: '"&amp;SUBSTITUTE(SUBSTITUTE(AF15, CHAR(13), ""),CHAR(10),"\n"), "")&amp;"', textZh: '"&amp;SUBSTITUTE(SUBSTITUTE(SUBSTITUTE(AG15, CHAR(13), ""),CHAR(10),"\n"),"'","\'")&amp;"', textZhG14: '"&amp;SUBSTITUTE(SUBSTITUTE(SUBSTITUTE(AI15, CHAR(13), ""),CHAR(10),"\n"),"'","\'")&amp;IF(AH15&lt;&gt;"", "', textZhAdditional: '"&amp;SUBSTITUTE(SUBSTITUTE(AH15, CHAR(13), ""),CHAR(10),"\n"), "")&amp;IF(AK15&lt;&gt;"", "', textZhG14Additional: '"&amp;SUBSTITUTE(SUBSTITUTE(AK15, CHAR(13), ""),CHAR(10),"\n"), "")&amp;"', textKo: '"&amp;SUBSTITUTE(SUBSTITUTE(SUBSTITUTE(AM15, CHAR(13), ""),CHAR(10),"\n"),"'","\'")&amp;IF(AM15&lt;&gt;"", "', textKoAdditional: '"&amp;SUBSTITUTE(SUBSTITUTE(AM15, CHAR(13), ""),CHAR(10),"\n"), "")&amp;"', textEn: '"&amp;SUBSTITUTE(SUBSTITUTE(SUBSTITUTE(AM15, CHAR(13), ""),CHAR(10),"\n"),"'","\'")&amp;IF(AN15&lt;&gt;"", "', textEnAdditional: '"&amp;SUBSTITUTE(SUBSTITUTE(AN15, CHAR(13), ""),CHAR(10),"\n"), "")&amp;"'"&amp;IF(AB15="○",", sealable: true","")&amp;IF(AC15="○",", removable: true","")&amp;IF(AA15="○",", lie: true","")&amp;IF(AD15="○",", investable: true","")&amp;"},")</x:f>
        <x:v>'01-yurina-A1-s-2': {megami: 'yurina', anotherID: 'A1', replace: '01-yurina-o-s-2', name: '不完全浦波嵐', nameEn: 'Imperfect Uranami Storm', nameZh: '不完全浦波岚', nameZhG14: '不完全浦波岚', nameKo: '불완전 해안에 파랑 일며', ruby: 'ふかんぜんうらなみあらし', rubyEn: '', baseType: 'special', type: 'attack', subType: 'reaction', range: '0-10', damage: '3/-', cost: '5', text: '終端\n【攻撃後】対応した《攻撃》は-3/+0となる。', textZh: '终端\n【攻击后】被对应的《攻击》得-3/+0。', textZhG14: '终端\n【攻击后】被对应的《攻击》获得-3/+0。', textZhG14Additional: '종단\n【공격후】대응한 《공격》은 -3/+0이 된다.', textKo: 'Terminal\n\nAfter Attack: The attack this card was played as a Reaction to gets -3/+0.', textKoAdditional: 'Terminal\n\nAfter Attack: The attack this card was played as a Reaction to gets -3/+0.', textEn: 'Terminal\n\nAfter Attack: The attack this card was played as a Reaction to gets -3/+0.'},</x:v>
      </x:c>
      <x:c r="AU15" s="379" t="str">
        <x:f>IF($A15&lt;&gt;"", "    /** 《"&amp;$E15&amp;"》 */ export const "&amp;SUBSTITUTE(UPPER(IF(MID($A15, 3, 1)="-", RIGHT($A15,LEN($A15)-3), $A15)), "-", "_")&amp;": TCardId = '"&amp;$A15&amp;"';", "")</x:f>
        <x:v>    /** 《不完全浦波嵐》 */ export const YURINA_A1_S_2: TCardId = '01-yurina-A1-s-2';</x:v>
      </x:c>
      <x:c r="AV15" s="380" t="str">
        <x:f>IF($A16&lt;&gt;"", "    | '"&amp;$A16&amp;"'", "")</x:f>
        <x:v>    | '01-yurina-A2-n-3'</x:v>
      </x:c>
      <x:c r="AW15" s="381"/>
      <x:c r="AX15" s="381"/>
      <x:c r="AY15" s="381"/>
      <x:c r="AZ15" s="381"/>
      <x:c r="BA15" s="381"/>
      <x:c r="BB15" s="381"/>
      <x:c r="BC15" s="381"/>
      <x:c r="BD15" s="381"/>
      <x:c r="BE15" s="381"/>
      <x:c r="BF15" s="381"/>
      <x:c r="BG15" s="381"/>
      <x:c r="BH15" s="381"/>
      <x:c r="BI15" s="381"/>
      <x:c r="BJ15" s="381"/>
      <x:c r="BK15" s="381"/>
      <x:c r="BL15" s="381"/>
      <x:c r="BM15" s="381"/>
      <x:c r="BN15" s="381"/>
      <x:c r="BO15" s="381"/>
      <x:c r="BP15" s="381"/>
      <x:c r="BQ15" s="375"/>
      <x:c r="BR15" s="375"/>
      <x:c r="BS15" s="375"/>
      <x:c r="BT15" s="375"/>
      <x:c r="BU15" s="375"/>
      <x:c r="BV15" s="375"/>
      <x:c r="BW15" s="375"/>
      <x:c r="BX15" s="375"/>
      <x:c r="BY15" s="375"/>
      <x:c r="BZ15" s="375"/>
      <x:c r="CA15" s="375"/>
      <x:c r="CB15" s="375"/>
      <x:c r="CC15" s="375"/>
      <x:c r="CD15" s="375"/>
      <x:c r="CE15" s="375"/>
      <x:c r="CF15" s="375"/>
      <x:c r="CG15" s="375"/>
      <x:c r="CH15" s="375"/>
      <x:c r="CI15" s="375"/>
      <x:c r="CJ15" s="375"/>
      <x:c r="CK15" s="375"/>
      <x:c r="CL15" s="375"/>
      <x:c r="CM15" s="375"/>
      <x:c r="CN15" s="375"/>
      <x:c r="CO15" s="375"/>
      <x:c r="CP15" s="375"/>
      <x:c r="CQ15" s="375"/>
      <x:c r="CR15" s="375"/>
      <x:c r="CS15" s="375"/>
      <x:c r="CT15" s="375"/>
      <x:c r="CU15" s="375"/>
      <x:c r="CV15" s="375"/>
      <x:c r="CW15" s="375"/>
      <x:c r="CX15" s="375"/>
      <x:c r="CY15" s="375"/>
      <x:c r="CZ15" s="375"/>
      <x:c r="DA15" s="375"/>
      <x:c r="DB15" s="375"/>
      <x:c r="DC15" s="375"/>
      <x:c r="DD15" s="375"/>
      <x:c r="DE15" s="375"/>
      <x:c r="DF15" s="375"/>
      <x:c r="DG15" s="375"/>
      <x:c r="DH15" s="375"/>
      <x:c r="DI15" s="375"/>
      <x:c r="DJ15" s="375"/>
      <x:c r="DK15" s="375"/>
      <x:c r="DL15" s="375"/>
      <x:c r="DM15" s="375"/>
      <x:c r="DN15" s="375"/>
      <x:c r="DO15" s="375"/>
      <x:c r="DP15" s="375"/>
      <x:c r="DQ15" s="375"/>
      <x:c r="DR15" s="375"/>
      <x:c r="DS15" s="375"/>
      <x:c r="DT15" s="375"/>
      <x:c r="DU15" s="375"/>
      <x:c r="DV15" s="375"/>
      <x:c r="DW15" s="375"/>
      <x:c r="DX15" s="375"/>
      <x:c r="DY15" s="375"/>
      <x:c r="DZ15" s="375"/>
      <x:c r="EA15" s="375"/>
      <x:c r="EB15" s="375"/>
      <x:c r="EC15" s="375"/>
      <x:c r="ED15" s="375"/>
      <x:c r="EE15" s="375"/>
      <x:c r="EF15" s="375"/>
      <x:c r="EG15" s="375"/>
      <x:c r="EH15" s="375"/>
      <x:c r="EI15" s="375"/>
      <x:c r="EJ15" s="375"/>
      <x:c r="EK15" s="375"/>
      <x:c r="EL15" s="375"/>
      <x:c r="EM15" s="375"/>
      <x:c r="EN15" s="375"/>
      <x:c r="EO15" s="375"/>
      <x:c r="EP15" s="375"/>
      <x:c r="EQ15" s="375"/>
      <x:c r="ER15" s="375"/>
      <x:c r="ES15" s="375"/>
      <x:c r="ET15" s="375"/>
      <x:c r="EU15" s="375"/>
      <x:c r="EV15" s="375"/>
      <x:c r="EW15" s="375"/>
      <x:c r="EX15" s="375"/>
      <x:c r="EY15" s="375"/>
      <x:c r="EZ15" s="375"/>
      <x:c r="FA15" s="375"/>
      <x:c r="FB15" s="375"/>
      <x:c r="FC15" s="375"/>
      <x:c r="FD15" s="375"/>
      <x:c r="FE15" s="375"/>
      <x:c r="FF15" s="375"/>
      <x:c r="FG15" s="375"/>
      <x:c r="FH15" s="375"/>
      <x:c r="FI15" s="375"/>
      <x:c r="FJ15" s="375"/>
      <x:c r="FK15" s="375"/>
      <x:c r="FL15" s="375"/>
      <x:c r="FM15" s="375"/>
      <x:c r="FN15" s="375"/>
      <x:c r="FO15" s="375"/>
      <x:c r="FP15" s="375"/>
      <x:c r="FQ15" s="375"/>
      <x:c r="FR15" s="375"/>
      <x:c r="FS15" s="375"/>
      <x:c r="FT15" s="375"/>
      <x:c r="FU15" s="375"/>
      <x:c r="FV15" s="375"/>
      <x:c r="FW15" s="375"/>
      <x:c r="FX15" s="375"/>
      <x:c r="FY15" s="375"/>
      <x:c r="FZ15" s="375"/>
      <x:c r="GA15" s="375"/>
      <x:c r="GB15" s="375"/>
      <x:c r="GC15" s="375"/>
      <x:c r="GD15" s="375"/>
      <x:c r="GE15" s="375"/>
      <x:c r="GF15" s="375"/>
      <x:c r="GG15" s="375"/>
      <x:c r="GH15" s="375"/>
      <x:c r="GI15" s="375"/>
      <x:c r="GJ15" s="375"/>
      <x:c r="GK15" s="375"/>
      <x:c r="GL15" s="375"/>
      <x:c r="GM15" s="375"/>
      <x:c r="GN15" s="375"/>
      <x:c r="GO15" s="375"/>
      <x:c r="GP15" s="375"/>
      <x:c r="GQ15" s="375"/>
      <x:c r="GR15" s="375"/>
      <x:c r="GS15" s="375"/>
      <x:c r="GT15" s="375"/>
      <x:c r="GU15" s="375"/>
      <x:c r="GV15" s="375"/>
      <x:c r="GW15" s="375"/>
      <x:c r="GX15" s="375"/>
      <x:c r="GY15" s="375"/>
      <x:c r="GZ15" s="375"/>
      <x:c r="HA15" s="375"/>
      <x:c r="HB15" s="375"/>
      <x:c r="HC15" s="375"/>
      <x:c r="HD15" s="375"/>
      <x:c r="HE15" s="375"/>
      <x:c r="HF15" s="375"/>
      <x:c r="HG15" s="375"/>
      <x:c r="HH15" s="375"/>
      <x:c r="HI15" s="375"/>
      <x:c r="HJ15" s="375"/>
      <x:c r="HK15" s="375"/>
      <x:c r="HL15" s="375"/>
      <x:c r="HM15" s="375"/>
      <x:c r="HN15" s="375"/>
      <x:c r="HO15" s="375"/>
      <x:c r="HP15" s="375"/>
      <x:c r="HQ15" s="375"/>
      <x:c r="HR15" s="375"/>
      <x:c r="HS15" s="375"/>
      <x:c r="HT15" s="375"/>
      <x:c r="HU15" s="375"/>
      <x:c r="HV15" s="375"/>
      <x:c r="HW15" s="375"/>
      <x:c r="HX15" s="375"/>
      <x:c r="HY15" s="375"/>
      <x:c r="HZ15" s="375"/>
      <x:c r="IA15" s="375"/>
      <x:c r="IB15" s="375"/>
      <x:c r="IC15" s="375"/>
      <x:c r="ID15" s="375"/>
      <x:c r="IE15" s="375"/>
      <x:c r="IF15" s="375"/>
      <x:c r="IG15" s="375"/>
      <x:c r="IH15" s="375"/>
      <x:c r="II15" s="375"/>
      <x:c r="IJ15" s="375"/>
      <x:c r="IK15" s="375"/>
      <x:c r="IL15" s="375"/>
      <x:c r="IM15" s="375"/>
      <x:c r="IN15" s="375"/>
      <x:c r="IO15" s="375"/>
      <x:c r="IP15" s="375"/>
      <x:c r="IQ15" s="375"/>
      <x:c r="IR15" s="375"/>
      <x:c r="IS15" s="375"/>
      <x:c r="IT15" s="375"/>
      <x:c r="IU15" s="375"/>
      <x:c r="IV15" s="375"/>
      <x:c r="IW15" s="375"/>
      <x:c r="IX15" s="375"/>
      <x:c r="IY15" s="375"/>
      <x:c r="IZ15" s="375"/>
      <x:c r="JA15" s="375"/>
      <x:c r="JB15" s="375"/>
      <x:c r="JC15" s="375"/>
      <x:c r="JD15" s="375"/>
      <x:c r="JE15" s="375"/>
      <x:c r="JF15" s="375"/>
      <x:c r="JG15" s="375"/>
      <x:c r="JH15" s="375"/>
      <x:c r="JI15" s="375"/>
      <x:c r="JJ15" s="375"/>
      <x:c r="JK15" s="375"/>
      <x:c r="JL15" s="375"/>
      <x:c r="JM15" s="375"/>
      <x:c r="JN15" s="375"/>
      <x:c r="JO15" s="375"/>
      <x:c r="JP15" s="375"/>
      <x:c r="JQ15" s="375"/>
      <x:c r="JR15" s="375"/>
      <x:c r="JS15" s="375"/>
      <x:c r="JT15" s="375"/>
      <x:c r="JU15" s="375"/>
      <x:c r="JV15" s="375"/>
      <x:c r="JW15" s="375"/>
      <x:c r="JX15" s="375"/>
      <x:c r="JY15" s="375"/>
      <x:c r="JZ15" s="375"/>
      <x:c r="KA15" s="375"/>
      <x:c r="KB15" s="375"/>
      <x:c r="KC15" s="375"/>
      <x:c r="KD15" s="375"/>
      <x:c r="KE15" s="375"/>
      <x:c r="KF15" s="375"/>
      <x:c r="KG15" s="375"/>
      <x:c r="KH15" s="375"/>
      <x:c r="KI15" s="375"/>
      <x:c r="KJ15" s="375"/>
      <x:c r="KK15" s="375"/>
      <x:c r="KL15" s="375"/>
      <x:c r="KM15" s="375"/>
      <x:c r="KN15" s="375"/>
      <x:c r="KO15" s="375"/>
      <x:c r="KP15" s="375"/>
      <x:c r="KQ15" s="375"/>
      <x:c r="KR15" s="375"/>
      <x:c r="KS15" s="375"/>
      <x:c r="KT15" s="375"/>
      <x:c r="KU15" s="375"/>
      <x:c r="KV15" s="375"/>
      <x:c r="KW15" s="375"/>
      <x:c r="KX15" s="375"/>
      <x:c r="KY15" s="375"/>
      <x:c r="KZ15" s="375"/>
      <x:c r="LA15" s="375"/>
      <x:c r="LB15" s="375"/>
      <x:c r="LC15" s="375"/>
      <x:c r="LD15" s="375"/>
      <x:c r="LE15" s="375"/>
      <x:c r="LF15" s="375"/>
      <x:c r="LG15" s="375"/>
      <x:c r="LH15" s="375"/>
      <x:c r="LI15" s="375"/>
      <x:c r="LJ15" s="375"/>
      <x:c r="LK15" s="375"/>
      <x:c r="LL15" s="375"/>
      <x:c r="LM15" s="375"/>
      <x:c r="LN15" s="375"/>
      <x:c r="LO15" s="375"/>
      <x:c r="LP15" s="375"/>
      <x:c r="LQ15" s="375"/>
      <x:c r="LR15" s="375"/>
      <x:c r="LS15" s="375"/>
      <x:c r="LT15" s="375"/>
      <x:c r="LU15" s="375"/>
      <x:c r="LV15" s="375"/>
      <x:c r="LW15" s="375"/>
      <x:c r="LX15" s="375"/>
      <x:c r="LY15" s="375"/>
      <x:c r="LZ15" s="375"/>
      <x:c r="MA15" s="375"/>
      <x:c r="MB15" s="375"/>
      <x:c r="MC15" s="375"/>
      <x:c r="MD15" s="375"/>
      <x:c r="ME15" s="375"/>
      <x:c r="MF15" s="375"/>
      <x:c r="MG15" s="375"/>
      <x:c r="MH15" s="375"/>
      <x:c r="MI15" s="375"/>
      <x:c r="MJ15" s="375"/>
      <x:c r="MK15" s="375"/>
      <x:c r="ML15" s="375"/>
      <x:c r="MM15" s="375"/>
      <x:c r="MN15" s="375"/>
      <x:c r="MO15" s="375"/>
      <x:c r="MP15" s="375"/>
      <x:c r="MQ15" s="375"/>
      <x:c r="MR15" s="375"/>
      <x:c r="MS15" s="375"/>
      <x:c r="MT15" s="375"/>
      <x:c r="MU15" s="375"/>
      <x:c r="MV15" s="375"/>
      <x:c r="MW15" s="375"/>
      <x:c r="MX15" s="375"/>
      <x:c r="MY15" s="375"/>
      <x:c r="MZ15" s="375"/>
      <x:c r="NA15" s="375"/>
      <x:c r="NB15" s="375"/>
      <x:c r="NC15" s="375"/>
      <x:c r="ND15" s="375"/>
      <x:c r="NE15" s="375"/>
      <x:c r="NF15" s="375"/>
      <x:c r="NG15" s="375"/>
      <x:c r="NH15" s="375"/>
      <x:c r="NI15" s="375"/>
      <x:c r="NJ15" s="375"/>
      <x:c r="NK15" s="375"/>
      <x:c r="NL15" s="375"/>
      <x:c r="NM15" s="375"/>
      <x:c r="NN15" s="375"/>
      <x:c r="NO15" s="375"/>
      <x:c r="NP15" s="375"/>
      <x:c r="NQ15" s="375"/>
      <x:c r="NR15" s="375"/>
      <x:c r="NS15" s="375"/>
      <x:c r="NT15" s="375"/>
      <x:c r="NU15" s="375"/>
      <x:c r="NV15" s="375"/>
      <x:c r="NW15" s="375"/>
      <x:c r="NX15" s="375"/>
      <x:c r="NY15" s="375"/>
      <x:c r="NZ15" s="375"/>
      <x:c r="OA15" s="375"/>
      <x:c r="OB15" s="375"/>
      <x:c r="OC15" s="375"/>
      <x:c r="OD15" s="375"/>
      <x:c r="OE15" s="375"/>
      <x:c r="OF15" s="375"/>
      <x:c r="OG15" s="375"/>
      <x:c r="OH15" s="375"/>
      <x:c r="OI15" s="375"/>
      <x:c r="OJ15" s="375"/>
      <x:c r="OK15" s="375"/>
      <x:c r="OL15" s="375"/>
      <x:c r="OM15" s="375"/>
      <x:c r="ON15" s="375"/>
      <x:c r="OO15" s="375"/>
      <x:c r="OP15" s="375"/>
      <x:c r="OQ15" s="375"/>
      <x:c r="OR15" s="375"/>
      <x:c r="OS15" s="375"/>
      <x:c r="OT15" s="375"/>
      <x:c r="OU15" s="375"/>
      <x:c r="OV15" s="375"/>
      <x:c r="OW15" s="375"/>
      <x:c r="OX15" s="375"/>
      <x:c r="OY15" s="375"/>
      <x:c r="OZ15" s="375"/>
      <x:c r="PA15" s="375"/>
      <x:c r="PB15" s="375"/>
      <x:c r="PC15" s="375"/>
      <x:c r="PD15" s="375"/>
      <x:c r="PE15" s="375"/>
      <x:c r="PF15" s="375"/>
      <x:c r="PG15" s="375"/>
      <x:c r="PH15" s="375"/>
      <x:c r="PI15" s="375"/>
      <x:c r="PJ15" s="375"/>
      <x:c r="PK15" s="375"/>
      <x:c r="PL15" s="375"/>
      <x:c r="PM15" s="375"/>
      <x:c r="PN15" s="375"/>
      <x:c r="PO15" s="375"/>
      <x:c r="PP15" s="375"/>
      <x:c r="PQ15" s="375"/>
      <x:c r="PR15" s="375"/>
      <x:c r="PS15" s="375"/>
      <x:c r="PT15" s="375"/>
      <x:c r="PU15" s="375"/>
      <x:c r="PV15" s="375"/>
      <x:c r="PW15" s="375"/>
      <x:c r="PX15" s="375"/>
      <x:c r="PY15" s="375"/>
      <x:c r="PZ15" s="375"/>
      <x:c r="QA15" s="375"/>
      <x:c r="QB15" s="375"/>
      <x:c r="QC15" s="375"/>
      <x:c r="QD15" s="375"/>
      <x:c r="QE15" s="375"/>
      <x:c r="QF15" s="375"/>
      <x:c r="QG15" s="375"/>
      <x:c r="QH15" s="375"/>
      <x:c r="QI15" s="375"/>
      <x:c r="QJ15" s="375"/>
      <x:c r="QK15" s="375"/>
      <x:c r="QL15" s="375"/>
      <x:c r="QM15" s="375"/>
      <x:c r="QN15" s="375"/>
      <x:c r="QO15" s="375"/>
      <x:c r="QP15" s="375"/>
      <x:c r="QQ15" s="375"/>
      <x:c r="QR15" s="375"/>
      <x:c r="QS15" s="375"/>
      <x:c r="QT15" s="375"/>
      <x:c r="QU15" s="375"/>
      <x:c r="QV15" s="375"/>
      <x:c r="QW15" s="375"/>
      <x:c r="QX15" s="375"/>
      <x:c r="QY15" s="375"/>
      <x:c r="QZ15" s="375"/>
      <x:c r="RA15" s="375"/>
      <x:c r="RB15" s="375"/>
      <x:c r="RC15" s="375"/>
      <x:c r="RD15" s="375"/>
      <x:c r="RE15" s="375"/>
      <x:c r="RF15" s="375"/>
      <x:c r="RG15" s="375"/>
      <x:c r="RH15" s="375"/>
      <x:c r="RI15" s="375"/>
      <x:c r="RJ15" s="375"/>
      <x:c r="RK15" s="375"/>
      <x:c r="RL15" s="375"/>
      <x:c r="RM15" s="375"/>
      <x:c r="RN15" s="375"/>
      <x:c r="RO15" s="375"/>
      <x:c r="RP15" s="375"/>
      <x:c r="RQ15" s="375"/>
      <x:c r="RR15" s="375"/>
      <x:c r="RS15" s="375"/>
      <x:c r="RT15" s="375"/>
      <x:c r="RU15" s="375"/>
      <x:c r="RV15" s="375"/>
      <x:c r="RW15" s="375"/>
      <x:c r="RX15" s="375"/>
      <x:c r="RY15" s="375"/>
      <x:c r="RZ15" s="375"/>
      <x:c r="SA15" s="375"/>
      <x:c r="SB15" s="375"/>
      <x:c r="SC15" s="375"/>
      <x:c r="SD15" s="375"/>
      <x:c r="SE15" s="375"/>
      <x:c r="SF15" s="375"/>
      <x:c r="SG15" s="375"/>
      <x:c r="SH15" s="375"/>
      <x:c r="SI15" s="375"/>
      <x:c r="SJ15" s="375"/>
      <x:c r="SK15" s="375"/>
      <x:c r="SL15" s="375"/>
      <x:c r="SM15" s="375"/>
      <x:c r="SN15" s="375"/>
      <x:c r="SO15" s="375"/>
      <x:c r="SP15" s="375"/>
      <x:c r="SQ15" s="375"/>
      <x:c r="SR15" s="375"/>
      <x:c r="SS15" s="375"/>
      <x:c r="ST15" s="375"/>
      <x:c r="SU15" s="375"/>
      <x:c r="SV15" s="375"/>
      <x:c r="SW15" s="375"/>
      <x:c r="SX15" s="375"/>
      <x:c r="SY15" s="375"/>
      <x:c r="SZ15" s="375"/>
      <x:c r="TA15" s="375"/>
      <x:c r="TB15" s="375"/>
      <x:c r="TC15" s="375"/>
      <x:c r="TD15" s="375"/>
      <x:c r="TE15" s="375"/>
      <x:c r="TF15" s="375"/>
      <x:c r="TG15" s="375"/>
      <x:c r="TH15" s="375"/>
      <x:c r="TI15" s="375"/>
      <x:c r="TJ15" s="375"/>
      <x:c r="TK15" s="375"/>
      <x:c r="TL15" s="375"/>
      <x:c r="TM15" s="375"/>
      <x:c r="TN15" s="375"/>
      <x:c r="TO15" s="375"/>
      <x:c r="TP15" s="375"/>
      <x:c r="TQ15" s="375"/>
      <x:c r="TR15" s="375"/>
      <x:c r="TS15" s="375"/>
      <x:c r="TT15" s="375"/>
      <x:c r="TU15" s="375"/>
      <x:c r="TV15" s="375"/>
      <x:c r="TW15" s="375"/>
      <x:c r="TX15" s="375"/>
      <x:c r="TY15" s="375"/>
      <x:c r="TZ15" s="375"/>
      <x:c r="UA15" s="375"/>
      <x:c r="UB15" s="375"/>
      <x:c r="UC15" s="375"/>
      <x:c r="UD15" s="375"/>
      <x:c r="UE15" s="375"/>
      <x:c r="UF15" s="375"/>
      <x:c r="UG15" s="375"/>
      <x:c r="UH15" s="375"/>
      <x:c r="UI15" s="375"/>
      <x:c r="UJ15" s="375"/>
      <x:c r="UK15" s="375"/>
      <x:c r="UL15" s="375"/>
      <x:c r="UM15" s="375"/>
      <x:c r="UN15" s="375"/>
      <x:c r="UO15" s="375"/>
      <x:c r="UP15" s="375"/>
      <x:c r="UQ15" s="375"/>
      <x:c r="UR15" s="375"/>
      <x:c r="US15" s="375"/>
      <x:c r="UT15" s="375"/>
      <x:c r="UU15" s="375"/>
      <x:c r="UV15" s="375"/>
      <x:c r="UW15" s="375"/>
      <x:c r="UX15" s="375"/>
      <x:c r="UY15" s="375"/>
      <x:c r="UZ15" s="375"/>
      <x:c r="VA15" s="375"/>
      <x:c r="VB15" s="375"/>
      <x:c r="VC15" s="375"/>
      <x:c r="VD15" s="375"/>
      <x:c r="VE15" s="375"/>
      <x:c r="VF15" s="375"/>
      <x:c r="VG15" s="375"/>
      <x:c r="VH15" s="375"/>
      <x:c r="VI15" s="375"/>
      <x:c r="VJ15" s="375"/>
      <x:c r="VK15" s="375"/>
      <x:c r="VL15" s="375"/>
      <x:c r="VM15" s="375"/>
      <x:c r="VN15" s="375"/>
      <x:c r="VO15" s="375"/>
      <x:c r="VP15" s="375"/>
      <x:c r="VQ15" s="375"/>
      <x:c r="VR15" s="375"/>
      <x:c r="VS15" s="375"/>
      <x:c r="VT15" s="375"/>
      <x:c r="VU15" s="375"/>
      <x:c r="VV15" s="375"/>
      <x:c r="VW15" s="375"/>
      <x:c r="VX15" s="375"/>
      <x:c r="VY15" s="375"/>
      <x:c r="VZ15" s="375"/>
      <x:c r="WA15" s="375"/>
      <x:c r="WB15" s="375"/>
      <x:c r="WC15" s="375"/>
      <x:c r="WD15" s="375"/>
      <x:c r="WE15" s="375"/>
      <x:c r="WF15" s="375"/>
      <x:c r="WG15" s="375"/>
      <x:c r="WH15" s="375"/>
      <x:c r="WI15" s="375"/>
      <x:c r="WJ15" s="375"/>
      <x:c r="WK15" s="375"/>
      <x:c r="WL15" s="375"/>
      <x:c r="WM15" s="375"/>
      <x:c r="WN15" s="375"/>
      <x:c r="WO15" s="375"/>
      <x:c r="WP15" s="375"/>
      <x:c r="WQ15" s="375"/>
      <x:c r="WR15" s="375"/>
      <x:c r="WS15" s="375"/>
      <x:c r="WT15" s="375"/>
      <x:c r="WU15" s="375"/>
      <x:c r="WV15" s="375"/>
      <x:c r="WW15" s="375"/>
      <x:c r="WX15" s="375"/>
      <x:c r="WY15" s="375"/>
      <x:c r="WZ15" s="375"/>
      <x:c r="XA15" s="375"/>
      <x:c r="XB15" s="375"/>
      <x:c r="XC15" s="375"/>
      <x:c r="XD15" s="375"/>
      <x:c r="XE15" s="375"/>
      <x:c r="XF15" s="375"/>
      <x:c r="XG15" s="375"/>
      <x:c r="XH15" s="375"/>
      <x:c r="XI15" s="375"/>
      <x:c r="XJ15" s="375"/>
      <x:c r="XK15" s="375"/>
      <x:c r="XL15" s="375"/>
      <x:c r="XM15" s="375"/>
      <x:c r="XN15" s="375"/>
      <x:c r="XO15" s="375"/>
      <x:c r="XP15" s="375"/>
      <x:c r="XQ15" s="375"/>
      <x:c r="XR15" s="375"/>
      <x:c r="XS15" s="375"/>
      <x:c r="XT15" s="375"/>
      <x:c r="XU15" s="375"/>
      <x:c r="XV15" s="375"/>
      <x:c r="XW15" s="375"/>
      <x:c r="XX15" s="375"/>
      <x:c r="XY15" s="375"/>
      <x:c r="XZ15" s="375"/>
      <x:c r="YA15" s="375"/>
      <x:c r="YB15" s="375"/>
      <x:c r="YC15" s="375"/>
      <x:c r="YD15" s="375"/>
      <x:c r="YE15" s="375"/>
      <x:c r="YF15" s="375"/>
      <x:c r="YG15" s="375"/>
      <x:c r="YH15" s="375"/>
      <x:c r="YI15" s="375"/>
      <x:c r="YJ15" s="375"/>
      <x:c r="YK15" s="375"/>
      <x:c r="YL15" s="375"/>
      <x:c r="YM15" s="375"/>
      <x:c r="YN15" s="375"/>
      <x:c r="YO15" s="375"/>
      <x:c r="YP15" s="375"/>
      <x:c r="YQ15" s="375"/>
      <x:c r="YR15" s="375"/>
      <x:c r="YS15" s="375"/>
      <x:c r="YT15" s="375"/>
      <x:c r="YU15" s="375"/>
      <x:c r="YV15" s="375"/>
      <x:c r="YW15" s="375"/>
      <x:c r="YX15" s="375"/>
      <x:c r="YY15" s="375"/>
      <x:c r="YZ15" s="375"/>
      <x:c r="ZA15" s="375"/>
      <x:c r="ZB15" s="375"/>
      <x:c r="ZC15" s="375"/>
      <x:c r="ZD15" s="375"/>
      <x:c r="ZE15" s="375"/>
      <x:c r="ZF15" s="375"/>
      <x:c r="ZG15" s="375"/>
      <x:c r="ZH15" s="375"/>
      <x:c r="ZI15" s="375"/>
      <x:c r="ZJ15" s="375"/>
      <x:c r="ZK15" s="375"/>
      <x:c r="ZL15" s="375"/>
      <x:c r="ZM15" s="375"/>
      <x:c r="ZN15" s="375"/>
      <x:c r="ZO15" s="375"/>
      <x:c r="ZP15" s="375"/>
      <x:c r="ZQ15" s="375"/>
      <x:c r="ZR15" s="375"/>
      <x:c r="ZS15" s="375"/>
      <x:c r="ZT15" s="375"/>
      <x:c r="ZU15" s="375"/>
      <x:c r="ZV15" s="375"/>
      <x:c r="ZW15" s="375"/>
      <x:c r="ZX15" s="375"/>
      <x:c r="ZY15" s="375"/>
      <x:c r="ZZ15" s="375"/>
      <x:c r="AAA15" s="375"/>
      <x:c r="AAB15" s="375"/>
      <x:c r="AAC15" s="375"/>
      <x:c r="AAD15" s="375"/>
      <x:c r="AAE15" s="375"/>
      <x:c r="AAF15" s="375"/>
      <x:c r="AAG15" s="375"/>
      <x:c r="AAH15" s="375"/>
      <x:c r="AAI15" s="375"/>
      <x:c r="AAJ15" s="375"/>
      <x:c r="AAK15" s="375"/>
      <x:c r="AAL15" s="375"/>
      <x:c r="AAM15" s="375"/>
      <x:c r="AAN15" s="375"/>
      <x:c r="AAO15" s="375"/>
      <x:c r="AAP15" s="375"/>
      <x:c r="AAQ15" s="375"/>
      <x:c r="AAR15" s="375"/>
      <x:c r="AAS15" s="375"/>
      <x:c r="AAT15" s="375"/>
      <x:c r="AAU15" s="375"/>
      <x:c r="AAV15" s="375"/>
      <x:c r="AAW15" s="375"/>
      <x:c r="AAX15" s="375"/>
      <x:c r="AAY15" s="375"/>
      <x:c r="AAZ15" s="375"/>
      <x:c r="ABA15" s="375"/>
      <x:c r="ABB15" s="375"/>
      <x:c r="ABC15" s="375"/>
      <x:c r="ABD15" s="375"/>
      <x:c r="ABE15" s="375"/>
      <x:c r="ABF15" s="375"/>
      <x:c r="ABG15" s="375"/>
      <x:c r="ABH15" s="375"/>
      <x:c r="ABI15" s="375"/>
      <x:c r="ABJ15" s="375"/>
      <x:c r="ABK15" s="375"/>
      <x:c r="ABL15" s="375"/>
      <x:c r="ABM15" s="375"/>
      <x:c r="ABN15" s="375"/>
      <x:c r="ABO15" s="375"/>
      <x:c r="ABP15" s="375"/>
      <x:c r="ABQ15" s="375"/>
      <x:c r="ABR15" s="375"/>
      <x:c r="ABS15" s="375"/>
      <x:c r="ABT15" s="375"/>
      <x:c r="ABU15" s="375"/>
      <x:c r="ABV15" s="375"/>
      <x:c r="ABW15" s="375"/>
      <x:c r="ABX15" s="375"/>
      <x:c r="ABY15" s="375"/>
      <x:c r="ABZ15" s="375"/>
      <x:c r="ACA15" s="375"/>
      <x:c r="ACB15" s="375"/>
      <x:c r="ACC15" s="375"/>
      <x:c r="ACD15" s="375"/>
      <x:c r="ACE15" s="375"/>
      <x:c r="ACF15" s="375"/>
      <x:c r="ACG15" s="375"/>
      <x:c r="ACH15" s="375"/>
      <x:c r="ACI15" s="375"/>
      <x:c r="ACJ15" s="375"/>
      <x:c r="ACK15" s="375"/>
      <x:c r="ACL15" s="375"/>
      <x:c r="ACM15" s="375"/>
      <x:c r="ACN15" s="375"/>
      <x:c r="ACO15" s="375"/>
      <x:c r="ACP15" s="375"/>
      <x:c r="ACQ15" s="375"/>
      <x:c r="ACR15" s="375"/>
      <x:c r="ACS15" s="375"/>
      <x:c r="ACT15" s="375"/>
      <x:c r="ACU15" s="375"/>
      <x:c r="ACV15" s="375"/>
      <x:c r="ACW15" s="375"/>
      <x:c r="ACX15" s="375"/>
      <x:c r="ACY15" s="375"/>
      <x:c r="ACZ15" s="375"/>
      <x:c r="ADA15" s="375"/>
      <x:c r="ADB15" s="375"/>
      <x:c r="ADC15" s="375"/>
      <x:c r="ADD15" s="375"/>
      <x:c r="ADE15" s="375"/>
      <x:c r="ADF15" s="375"/>
      <x:c r="ADG15" s="375"/>
      <x:c r="ADH15" s="375"/>
      <x:c r="ADI15" s="375"/>
      <x:c r="ADJ15" s="375"/>
      <x:c r="ADK15" s="375"/>
      <x:c r="ADL15" s="375"/>
      <x:c r="ADM15" s="375"/>
      <x:c r="ADN15" s="375"/>
      <x:c r="ADO15" s="375"/>
      <x:c r="ADP15" s="375"/>
      <x:c r="ADQ15" s="375"/>
      <x:c r="ADR15" s="375"/>
      <x:c r="ADS15" s="375"/>
      <x:c r="ADT15" s="375"/>
      <x:c r="ADU15" s="375"/>
      <x:c r="ADV15" s="375"/>
      <x:c r="ADW15" s="375"/>
      <x:c r="ADX15" s="375"/>
      <x:c r="ADY15" s="375"/>
      <x:c r="ADZ15" s="375"/>
      <x:c r="AEA15" s="375"/>
      <x:c r="AEB15" s="375"/>
      <x:c r="AEC15" s="375"/>
      <x:c r="AED15" s="375"/>
      <x:c r="AEE15" s="375"/>
      <x:c r="AEF15" s="375"/>
      <x:c r="AEG15" s="375"/>
      <x:c r="AEH15" s="375"/>
      <x:c r="AEI15" s="375"/>
      <x:c r="AEJ15" s="375"/>
      <x:c r="AEK15" s="375"/>
      <x:c r="AEL15" s="375"/>
      <x:c r="AEM15" s="375"/>
      <x:c r="AEN15" s="375"/>
      <x:c r="AEO15" s="375"/>
      <x:c r="AEP15" s="375"/>
      <x:c r="AEQ15" s="375"/>
      <x:c r="AER15" s="375"/>
      <x:c r="AES15" s="375"/>
      <x:c r="AET15" s="375"/>
      <x:c r="AEU15" s="375"/>
      <x:c r="AEV15" s="375"/>
      <x:c r="AEW15" s="375"/>
      <x:c r="AEX15" s="375"/>
      <x:c r="AEY15" s="375"/>
      <x:c r="AEZ15" s="375"/>
      <x:c r="AFA15" s="375"/>
      <x:c r="AFB15" s="375"/>
      <x:c r="AFC15" s="375"/>
      <x:c r="AFD15" s="375"/>
      <x:c r="AFE15" s="375"/>
      <x:c r="AFF15" s="375"/>
      <x:c r="AFG15" s="375"/>
      <x:c r="AFH15" s="375"/>
      <x:c r="AFI15" s="375"/>
      <x:c r="AFJ15" s="375"/>
      <x:c r="AFK15" s="375"/>
      <x:c r="AFL15" s="375"/>
      <x:c r="AFM15" s="375"/>
      <x:c r="AFN15" s="375"/>
      <x:c r="AFO15" s="375"/>
      <x:c r="AFP15" s="375"/>
      <x:c r="AFQ15" s="375"/>
      <x:c r="AFR15" s="375"/>
      <x:c r="AFS15" s="375"/>
      <x:c r="AFT15" s="375"/>
      <x:c r="AFU15" s="375"/>
      <x:c r="AFV15" s="375"/>
      <x:c r="AFW15" s="375"/>
      <x:c r="AFX15" s="375"/>
      <x:c r="AFY15" s="375"/>
      <x:c r="AFZ15" s="375"/>
      <x:c r="AGA15" s="375"/>
      <x:c r="AGB15" s="375"/>
      <x:c r="AGC15" s="375"/>
      <x:c r="AGD15" s="375"/>
      <x:c r="AGE15" s="375"/>
      <x:c r="AGF15" s="375"/>
      <x:c r="AGG15" s="375"/>
      <x:c r="AGH15" s="375"/>
      <x:c r="AGI15" s="375"/>
      <x:c r="AGJ15" s="375"/>
      <x:c r="AGK15" s="375"/>
      <x:c r="AGL15" s="375"/>
      <x:c r="AGM15" s="375"/>
      <x:c r="AGN15" s="375"/>
      <x:c r="AGO15" s="375"/>
      <x:c r="AGP15" s="375"/>
      <x:c r="AGQ15" s="375"/>
      <x:c r="AGR15" s="375"/>
      <x:c r="AGS15" s="375"/>
      <x:c r="AGT15" s="375"/>
      <x:c r="AGU15" s="375"/>
      <x:c r="AGV15" s="375"/>
      <x:c r="AGW15" s="375"/>
      <x:c r="AGX15" s="375"/>
      <x:c r="AGY15" s="375"/>
      <x:c r="AGZ15" s="375"/>
      <x:c r="AHA15" s="375"/>
      <x:c r="AHB15" s="375"/>
      <x:c r="AHC15" s="375"/>
      <x:c r="AHD15" s="375"/>
      <x:c r="AHE15" s="375"/>
      <x:c r="AHF15" s="375"/>
      <x:c r="AHG15" s="375"/>
      <x:c r="AHH15" s="375"/>
      <x:c r="AHI15" s="375"/>
      <x:c r="AHJ15" s="375"/>
      <x:c r="AHK15" s="375"/>
      <x:c r="AHL15" s="375"/>
      <x:c r="AHM15" s="375"/>
      <x:c r="AHN15" s="375"/>
      <x:c r="AHO15" s="375"/>
      <x:c r="AHP15" s="375"/>
      <x:c r="AHQ15" s="375"/>
      <x:c r="AHR15" s="375"/>
      <x:c r="AHS15" s="375"/>
      <x:c r="AHT15" s="375"/>
      <x:c r="AHU15" s="375"/>
      <x:c r="AHV15" s="375"/>
      <x:c r="AHW15" s="375"/>
      <x:c r="AHX15" s="375"/>
      <x:c r="AHY15" s="375"/>
      <x:c r="AHZ15" s="375"/>
      <x:c r="AIA15" s="375"/>
      <x:c r="AIB15" s="375"/>
      <x:c r="AIC15" s="375"/>
      <x:c r="AID15" s="375"/>
      <x:c r="AIE15" s="375"/>
      <x:c r="AIF15" s="375"/>
      <x:c r="AIG15" s="375"/>
      <x:c r="AIH15" s="375"/>
      <x:c r="AII15" s="375"/>
      <x:c r="AIJ15" s="375"/>
      <x:c r="AIK15" s="375"/>
      <x:c r="AIL15" s="375"/>
      <x:c r="AIM15" s="375"/>
      <x:c r="AIN15" s="375"/>
      <x:c r="AIO15" s="375"/>
      <x:c r="AIP15" s="375"/>
      <x:c r="AIQ15" s="375"/>
      <x:c r="AIR15" s="375"/>
      <x:c r="AIS15" s="375"/>
      <x:c r="AIT15" s="375"/>
      <x:c r="AIU15" s="375"/>
      <x:c r="AIV15" s="375"/>
      <x:c r="AIW15" s="375"/>
      <x:c r="AIX15" s="375"/>
      <x:c r="AIY15" s="375"/>
      <x:c r="AIZ15" s="375"/>
      <x:c r="AJA15" s="375"/>
      <x:c r="AJB15" s="375"/>
      <x:c r="AJC15" s="375"/>
      <x:c r="AJD15" s="375"/>
      <x:c r="AJE15" s="375"/>
      <x:c r="AJF15" s="375"/>
      <x:c r="AJG15" s="375"/>
      <x:c r="AJH15" s="375"/>
      <x:c r="AJI15" s="375"/>
      <x:c r="AJJ15" s="375"/>
      <x:c r="AJK15" s="375"/>
      <x:c r="AJL15" s="375"/>
      <x:c r="AJM15" s="375"/>
      <x:c r="AJN15" s="375"/>
      <x:c r="AJO15" s="375"/>
      <x:c r="AJP15" s="375"/>
      <x:c r="AJQ15" s="375"/>
      <x:c r="AJR15" s="375"/>
      <x:c r="AJS15" s="375"/>
      <x:c r="AJT15" s="375"/>
      <x:c r="AJU15" s="375"/>
      <x:c r="AJV15" s="375"/>
      <x:c r="AJW15" s="375"/>
      <x:c r="AJX15" s="375"/>
      <x:c r="AJY15" s="375"/>
      <x:c r="AJZ15" s="375"/>
      <x:c r="AKA15" s="375"/>
      <x:c r="AKB15" s="375"/>
      <x:c r="AKC15" s="375"/>
      <x:c r="AKD15" s="375"/>
      <x:c r="AKE15" s="375"/>
      <x:c r="AKF15" s="375"/>
      <x:c r="AKG15" s="375"/>
      <x:c r="AKH15" s="375"/>
      <x:c r="AKI15" s="375"/>
      <x:c r="AKJ15" s="375"/>
      <x:c r="AKK15" s="375"/>
      <x:c r="AKL15" s="375"/>
      <x:c r="AKM15" s="375"/>
      <x:c r="AKN15" s="375"/>
      <x:c r="AKO15" s="375"/>
      <x:c r="AKP15" s="375"/>
      <x:c r="AKQ15" s="375"/>
      <x:c r="AKR15" s="375"/>
      <x:c r="AKS15" s="375"/>
      <x:c r="AKT15" s="375"/>
      <x:c r="AKU15" s="375"/>
      <x:c r="AKV15" s="375"/>
      <x:c r="AKW15" s="375"/>
      <x:c r="AKX15" s="375"/>
      <x:c r="AKY15" s="375"/>
      <x:c r="AKZ15" s="375"/>
      <x:c r="ALA15" s="375"/>
      <x:c r="ALB15" s="375"/>
      <x:c r="ALC15" s="375"/>
      <x:c r="ALD15" s="375"/>
      <x:c r="ALE15" s="375"/>
      <x:c r="ALF15" s="375"/>
      <x:c r="ALG15" s="375"/>
      <x:c r="ALH15" s="375"/>
      <x:c r="ALI15" s="375"/>
      <x:c r="ALJ15" s="375"/>
      <x:c r="ALK15" s="375"/>
      <x:c r="ALL15" s="375"/>
      <x:c r="ALM15" s="375"/>
      <x:c r="ALN15" s="375"/>
      <x:c r="ALO15" s="375"/>
      <x:c r="ALP15" s="375"/>
      <x:c r="ALQ15" s="375"/>
      <x:c r="ALR15" s="375"/>
      <x:c r="ALS15" s="375"/>
      <x:c r="ALT15" s="375"/>
      <x:c r="ALU15" s="375"/>
      <x:c r="ALV15" s="375"/>
      <x:c r="ALW15" s="375"/>
      <x:c r="ALX15" s="375"/>
      <x:c r="ALY15" s="375"/>
      <x:c r="ALZ15" s="375"/>
      <x:c r="AMA15" s="375"/>
      <x:c r="AMB15" s="375"/>
      <x:c r="AMC15" s="375"/>
      <x:c r="AMD15" s="375"/>
      <x:c r="AME15" s="375"/>
      <x:c r="AMF15" s="375"/>
      <x:c r="AMG15" s="375"/>
      <x:c r="AMH15" s="375"/>
      <x:c r="AMI15" s="375"/>
      <x:c r="AMJ15" s="375"/>
      <x:c r="AMK15" s="375"/>
    </x:row>
    <x:row r="16" ht="68" hidden="0" customHeight="1">
      <x:c r="A16" s="375" t="str">
        <x:v>01-yurina-A2-n-3</x:v>
      </x:c>
      <x:c r="B16" s="375" t="str">
        <x:v>yurina</x:v>
      </x:c>
      <x:c r="C16" s="375" t="str">
        <x:v>A2</x:v>
      </x:c>
      <x:c r="D16" s="375" t="str">
        <x:v>01-yurina-o-n-3</x:v>
      </x:c>
      <x:c r="E16" s="375" t="str">
        <x:v>問答</x:v>
      </x:c>
      <x:c r="F16" s="375" t="str">
        <x:v>もんどう</x:v>
      </x:c>
      <x:c r="G16" s="375" t="str">
        <x:v>问答</x:v>
      </x:c>
      <x:c r="H16" s="375" t="str">
        <x:v>问与答</x:v>
      </x:c>
      <x:c r="I16" s="375"/>
      <x:c r="J16" s="375" t="str">
        <x:v>문답</x:v>
      </x:c>
      <x:c r="K16" s="375" t="str">
        <x:v>Appeal</x:v>
      </x:c>
      <x:c r="L16" s="375"/>
      <x:c r="M16" s="375" t="str">
        <x:v>通常札</x:v>
      </x:c>
      <x:c r="N16" s="375"/>
      <x:c r="O16" s="375"/>
      <x:c r="P16" s="375"/>
      <x:c r="Q16" s="375"/>
      <x:c r="R16" s="375" t="str">
        <x:v>攻撃</x:v>
      </x:c>
      <x:c r="S16" s="375"/>
      <x:c r="T16" s="375" t="str">
        <x:v>2-5</x:v>
      </x:c>
      <x:c r="U16" s="383"/>
      <x:c r="V16" s="382" t="str">
        <x:v>3/0</x:v>
      </x:c>
      <x:c r="W16" s="383"/>
      <x:c r="X16" s="382"/>
      <x:c r="Y16" s="382"/>
      <x:c r="Z16" s="382"/>
      <x:c r="AA16" s="382"/>
      <x:c r="AB16" s="385"/>
      <x:c r="AC16" s="385"/>
      <x:c r="AD16" s="386"/>
      <x:c r="AE16" s="440" t="str">
        <x:v>【攻撃後】相手がライフへのダメージを選んだならば、相手の山札の上から3枚を伏せ札にして、あなたは基本動作を1回行い、相手は同じ基本動作を可能ならば行う。</x:v>
      </x:c>
      <x:c r="AF16" s="441"/>
      <x:c r="AG16" s="489" t="str">
        <x:v>【攻击后】若对手选择由装承受此次伤害，则盖伏对手牌库顶的3张牌，你进行1次基本动作，对手如果可以的话则进行相同的基本动作。</x:v>
      </x:c>
      <x:c r="AH16" s="442"/>
      <x:c r="AI16" s="488" t="str">
        <x:v>【攻击后】若对手选择由命承受此次伤害，则盖伏对手牌库顶的3张牌，执行1次基本动作，然后若对手能够执行该基本动作，则对手也如此做。</x:v>
      </x:c>
      <x:c r="AJ16" s="440"/>
      <x:c r="AK16" s="489" t="str">
        <x:v>【공격후】상대가 라이프로의 데미지를 선택했다면, 상대의 패산 위의 3장을 덮은 패로 만든 뒤, 당신은 기본동작을 1회 수행하고 상대도 동일한 기본동작을 가능하면 수행한다.</x:v>
      </x:c>
      <x:c r="AL16" s="440"/>
      <x:c r="AM16" s="489" t="str">
        <x:v>After Attack: If your opponent chose to take damage to Life, put the top 3 cards of their deck into their discard pile, and you perform a basic action. Your opponent must also perform that basic action, if able.</x:v>
      </x:c>
      <x:c r="AN16" s="440"/>
      <x:c r="AO16" s="439"/>
      <x:c r="AP16" s="439"/>
      <x:c r="AQ16" s="439"/>
      <x:c r="AR16" s="439"/>
      <x:c r="AS16" s="439"/>
      <x:c r="AT16" s="378" t="str">
        <x:f>IF(A16="", "","'"&amp;A16&amp;"': {megami: '"&amp;B16&amp;"'"&amp;IF(C16&lt;&gt;"",", anotherID: '"&amp;C16&amp;"', replace: '"&amp;D16&amp;"'","")&amp;", name: '"&amp;SUBSTITUTE(E16,"'","\'")&amp;"', nameEn: '"&amp;SUBSTITUTE(K16,"'","\'")&amp;"', nameZh: '"&amp;SUBSTITUTE(G16,"'","\'")&amp;"', nameZhG15: '"&amp;SUBSTITUTE(H16,"'","\'")&amp;"', nameKo: '"&amp;SUBSTITUTE(J16,"'","\'")&amp;"', ruby: '"&amp;F16&amp;"', rubyEn: '"&amp;L16&amp;IF(I16&lt;&gt;"", "', rubyZh: '"&amp;I16, "")&amp;"', baseType: '"&amp;IF(M16="通常札","normal",IF(M16="切札","special",IF(M16="追加札","extra",IF(M16="transform","transform",IF(M16="嵐","storm",IF(M16="兵員","troop",IF(M16="構想","plan",IF(M16="メインパーツ","mainParts",IF(M16="カスタムパーツ","customParts",IF(M16="運命","fate",IF(M16="仮想樹","virtualTree","")))))))))))&amp;"'"&amp;IF(N16="○",", extra: true","")&amp;IF(O16&lt;&gt;"",", extraFrom: '"&amp;O16&amp;"'","")&amp;IF(P16&lt;&gt;"",", exchangableTo: '"&amp;P16&amp;"'","")&amp;IF(Q16="○",", poison: true","")&amp;IF(R16&lt;&gt;"", ", type: '"&amp;IF(R16="攻撃","attack",IF(R16="行動","action",IF(R16="不定","variable",IF(R16="対応","reaction",IF(R16="全力","fullpower",IF(R16="付与","enhance",IF(R16="transform","transform","")))))))&amp;"'", "")&amp;IF(S16&lt;&gt;"",", subType: '"&amp;IF(S16="攻撃","attack",IF(S16="行動","action",IF(S16="不定","variable",IF(S16="対応","reaction",IF(S16="全力","fullpower",IF(S16="付与","enhance",IF(S16="transform","transform","")))))))&amp;"'","")&amp;""&amp;IF(T16&lt;&gt;"",", range: '"&amp;T16&amp;"'","")&amp;IF(V16&lt;&gt;"",", damage: '"&amp;V16&amp;"'","")&amp;IF(X16&lt;&gt;"",", capacity: '"&amp;X16&amp;"'","")&amp;IF(Y16&lt;&gt;"",", growth: "&amp;Y16&amp;"","")&amp;IF(Z16&lt;&gt;"",", cost: '"&amp;Z16&amp;"'","")&amp;", text: '"&amp;SUBSTITUTE(SUBSTITUTE(AE16, CHAR(13), ""),CHAR(10),"\n")&amp;IF(AF16&lt;&gt;"", "', textAdditional: '"&amp;SUBSTITUTE(SUBSTITUTE(AF16, CHAR(13), ""),CHAR(10),"\n"), "")&amp;"', textZh: '"&amp;SUBSTITUTE(SUBSTITUTE(SUBSTITUTE(AG16, CHAR(13), ""),CHAR(10),"\n"),"'","\'")&amp;"', textZhG15: '"&amp;SUBSTITUTE(SUBSTITUTE(SUBSTITUTE(AI16, CHAR(13), ""),CHAR(10),"\n"),"'","\'")&amp;IF(AH16&lt;&gt;"", "', textZhAdditional: '"&amp;SUBSTITUTE(SUBSTITUTE(AH16, CHAR(13), ""),CHAR(10),"\n"), "")&amp;IF(AK16&lt;&gt;"", "', textZhG15Additional: '"&amp;SUBSTITUTE(SUBSTITUTE(AK16, CHAR(13), ""),CHAR(10),"\n"), "")&amp;"', textKo: '"&amp;SUBSTITUTE(SUBSTITUTE(SUBSTITUTE(AM16, CHAR(13), ""),CHAR(10),"\n"),"'","\'")&amp;IF(AM16&lt;&gt;"", "', textKoAdditional: '"&amp;SUBSTITUTE(SUBSTITUTE(AM16, CHAR(13), ""),CHAR(10),"\n"), "")&amp;"', textEn: '"&amp;SUBSTITUTE(SUBSTITUTE(SUBSTITUTE(AM16, CHAR(13), ""),CHAR(10),"\n"),"'","\'")&amp;IF(AN16&lt;&gt;"", "', textEnAdditional: '"&amp;SUBSTITUTE(SUBSTITUTE(AN16, CHAR(13), ""),CHAR(10),"\n"), "")&amp;"'"&amp;IF(AB16="○",", sealable: true","")&amp;IF(AC16="○",", removable: true","")&amp;IF(AA16="○",", lie: true","")&amp;IF(AD16="○",", investable: true","")&amp;"},")</x:f>
        <x:v>'01-yurina-A2-n-3': {megami: 'yurina', anotherID: 'A2', replace: '01-yurina-o-n-3', name: '問答', nameEn: 'Appeal', nameZh: '问答', nameZhG15: '问与答', nameKo: '문답', ruby: 'もんどう', rubyEn: '', baseType: 'normal', type: 'attack', range: '2-5', damage: '3/0', text: '【攻撃後】相手がライフへのダメージを選んだならば、相手の山札の上から3枚を伏せ札にして、あなたは基本動作を1回行い、相手は同じ基本動作を可能ならば行う。', textZh: '【攻击后】若对手选择由装承受此次伤害，则盖伏对手牌库顶的3张牌，你进行1次基本动作，对手如果可以的话则进行相同的基本动作。', textZhG15: '【攻击后】若对手选择由命承受此次伤害，则盖伏对手牌库顶的3张牌，执行1次基本动作，然后若对手能够执行该基本动作，则对手也如此做。', textZhG15Additional: '【공격후】상대가 라이프로의 데미지를 선택했다면, 상대의 패산 위의 3장을 덮은 패로 만든 뒤, 당신은 기본동작을 1회 수행하고 상대도 동일한 기본동작을 가능하면 수행한다.', textKo: 'After Attack: If your opponent chose to take damage to Life, put the top 3 cards of their deck into their discard pile, and you perform a basic action. Your opponent must also perform that basic action, if able.', textKoAdditional: 'After Attack: If your opponent chose to take damage to Life, put the top 3 cards of their deck into their discard pile, and you perform a basic action. Your opponent must also perform that basic action, if able.', textEn: 'After Attack: If your opponent chose to take damage to Life, put the top 3 cards of their deck into their discard pile, and you perform a basic action. Your opponent must also perform that basic action, if able.'},</x:v>
      </x:c>
      <x:c r="AU16" s="379" t="str">
        <x:f>IF($A16&lt;&gt;"", "    /** 《"&amp;$E16&amp;"》 */ export const "&amp;SUBSTITUTE(UPPER(IF(MID($A16, 3, 1)="-", RIGHT($A16,LEN($A16)-3), $A16)), "-", "_")&amp;": TCardId = '"&amp;$A16&amp;"';", "")</x:f>
        <x:v>    /** 《問答》 */ export const YURINA_A2_N_3: TCardId = '01-yurina-A2-n-3';</x:v>
      </x:c>
      <x:c r="AV16" s="380" t="str">
        <x:f>IF($A17&lt;&gt;"", "    | '"&amp;$A17&amp;"'", "")</x:f>
        <x:v>    | '01-yurina-A2-n-7'</x:v>
      </x:c>
      <x:c r="AW16" s="381"/>
      <x:c r="AX16" s="381"/>
      <x:c r="AY16" s="381"/>
      <x:c r="AZ16" s="381"/>
      <x:c r="BA16" s="381"/>
      <x:c r="BB16" s="381"/>
      <x:c r="BC16" s="381"/>
      <x:c r="BD16" s="381"/>
      <x:c r="BE16" s="381"/>
      <x:c r="BF16" s="381"/>
      <x:c r="BG16" s="381"/>
      <x:c r="BH16" s="381"/>
      <x:c r="BI16" s="381"/>
      <x:c r="BJ16" s="381"/>
      <x:c r="BK16" s="381"/>
      <x:c r="BL16" s="381"/>
      <x:c r="BM16" s="381"/>
      <x:c r="BN16" s="381"/>
      <x:c r="BO16" s="381"/>
      <x:c r="BP16" s="381"/>
      <x:c r="BQ16" s="375"/>
      <x:c r="BR16" s="375"/>
      <x:c r="BS16" s="375"/>
      <x:c r="BT16" s="375"/>
      <x:c r="BU16" s="375"/>
      <x:c r="BV16" s="375"/>
      <x:c r="BW16" s="375"/>
      <x:c r="BX16" s="375"/>
      <x:c r="BY16" s="375"/>
      <x:c r="BZ16" s="375"/>
      <x:c r="CA16" s="375"/>
      <x:c r="CB16" s="375"/>
      <x:c r="CC16" s="375"/>
      <x:c r="CD16" s="375"/>
      <x:c r="CE16" s="375"/>
      <x:c r="CF16" s="375"/>
      <x:c r="CG16" s="375"/>
      <x:c r="CH16" s="375"/>
      <x:c r="CI16" s="375"/>
      <x:c r="CJ16" s="375"/>
      <x:c r="CK16" s="375"/>
      <x:c r="CL16" s="375"/>
      <x:c r="CM16" s="375"/>
      <x:c r="CN16" s="375"/>
      <x:c r="CO16" s="375"/>
      <x:c r="CP16" s="375"/>
      <x:c r="CQ16" s="375"/>
      <x:c r="CR16" s="375"/>
      <x:c r="CS16" s="375"/>
      <x:c r="CT16" s="375"/>
      <x:c r="CU16" s="375"/>
      <x:c r="CV16" s="375"/>
      <x:c r="CW16" s="375"/>
      <x:c r="CX16" s="375"/>
      <x:c r="CY16" s="375"/>
      <x:c r="CZ16" s="375"/>
      <x:c r="DA16" s="375"/>
      <x:c r="DB16" s="375"/>
      <x:c r="DC16" s="375"/>
      <x:c r="DD16" s="375"/>
      <x:c r="DE16" s="375"/>
      <x:c r="DF16" s="375"/>
      <x:c r="DG16" s="375"/>
      <x:c r="DH16" s="375"/>
      <x:c r="DI16" s="375"/>
      <x:c r="DJ16" s="375"/>
      <x:c r="DK16" s="375"/>
      <x:c r="DL16" s="375"/>
      <x:c r="DM16" s="375"/>
      <x:c r="DN16" s="375"/>
      <x:c r="DO16" s="375"/>
      <x:c r="DP16" s="375"/>
      <x:c r="DQ16" s="375"/>
      <x:c r="DR16" s="375"/>
      <x:c r="DS16" s="375"/>
      <x:c r="DT16" s="375"/>
      <x:c r="DU16" s="375"/>
      <x:c r="DV16" s="375"/>
      <x:c r="DW16" s="375"/>
      <x:c r="DX16" s="375"/>
      <x:c r="DY16" s="375"/>
      <x:c r="DZ16" s="375"/>
      <x:c r="EA16" s="375"/>
      <x:c r="EB16" s="375"/>
      <x:c r="EC16" s="375"/>
      <x:c r="ED16" s="375"/>
      <x:c r="EE16" s="375"/>
      <x:c r="EF16" s="375"/>
      <x:c r="EG16" s="375"/>
      <x:c r="EH16" s="375"/>
      <x:c r="EI16" s="375"/>
      <x:c r="EJ16" s="375"/>
      <x:c r="EK16" s="375"/>
      <x:c r="EL16" s="375"/>
      <x:c r="EM16" s="375"/>
      <x:c r="EN16" s="375"/>
      <x:c r="EO16" s="375"/>
      <x:c r="EP16" s="375"/>
      <x:c r="EQ16" s="375"/>
      <x:c r="ER16" s="375"/>
      <x:c r="ES16" s="375"/>
      <x:c r="ET16" s="375"/>
      <x:c r="EU16" s="375"/>
      <x:c r="EV16" s="375"/>
      <x:c r="EW16" s="375"/>
      <x:c r="EX16" s="375"/>
      <x:c r="EY16" s="375"/>
      <x:c r="EZ16" s="375"/>
      <x:c r="FA16" s="375"/>
      <x:c r="FB16" s="375"/>
      <x:c r="FC16" s="375"/>
      <x:c r="FD16" s="375"/>
      <x:c r="FE16" s="375"/>
      <x:c r="FF16" s="375"/>
      <x:c r="FG16" s="375"/>
      <x:c r="FH16" s="375"/>
      <x:c r="FI16" s="375"/>
      <x:c r="FJ16" s="375"/>
      <x:c r="FK16" s="375"/>
      <x:c r="FL16" s="375"/>
      <x:c r="FM16" s="375"/>
      <x:c r="FN16" s="375"/>
      <x:c r="FO16" s="375"/>
      <x:c r="FP16" s="375"/>
      <x:c r="FQ16" s="375"/>
      <x:c r="FR16" s="375"/>
      <x:c r="FS16" s="375"/>
      <x:c r="FT16" s="375"/>
      <x:c r="FU16" s="375"/>
      <x:c r="FV16" s="375"/>
      <x:c r="FW16" s="375"/>
      <x:c r="FX16" s="375"/>
      <x:c r="FY16" s="375"/>
      <x:c r="FZ16" s="375"/>
      <x:c r="GA16" s="375"/>
      <x:c r="GB16" s="375"/>
      <x:c r="GC16" s="375"/>
      <x:c r="GD16" s="375"/>
      <x:c r="GE16" s="375"/>
      <x:c r="GF16" s="375"/>
      <x:c r="GG16" s="375"/>
      <x:c r="GH16" s="375"/>
      <x:c r="GI16" s="375"/>
      <x:c r="GJ16" s="375"/>
      <x:c r="GK16" s="375"/>
      <x:c r="GL16" s="375"/>
      <x:c r="GM16" s="375"/>
      <x:c r="GN16" s="375"/>
      <x:c r="GO16" s="375"/>
      <x:c r="GP16" s="375"/>
      <x:c r="GQ16" s="375"/>
      <x:c r="GR16" s="375"/>
      <x:c r="GS16" s="375"/>
      <x:c r="GT16" s="375"/>
      <x:c r="GU16" s="375"/>
      <x:c r="GV16" s="375"/>
      <x:c r="GW16" s="375"/>
      <x:c r="GX16" s="375"/>
      <x:c r="GY16" s="375"/>
      <x:c r="GZ16" s="375"/>
      <x:c r="HA16" s="375"/>
      <x:c r="HB16" s="375"/>
      <x:c r="HC16" s="375"/>
      <x:c r="HD16" s="375"/>
      <x:c r="HE16" s="375"/>
      <x:c r="HF16" s="375"/>
      <x:c r="HG16" s="375"/>
      <x:c r="HH16" s="375"/>
      <x:c r="HI16" s="375"/>
      <x:c r="HJ16" s="375"/>
      <x:c r="HK16" s="375"/>
      <x:c r="HL16" s="375"/>
      <x:c r="HM16" s="375"/>
      <x:c r="HN16" s="375"/>
      <x:c r="HO16" s="375"/>
      <x:c r="HP16" s="375"/>
      <x:c r="HQ16" s="375"/>
      <x:c r="HR16" s="375"/>
      <x:c r="HS16" s="375"/>
      <x:c r="HT16" s="375"/>
      <x:c r="HU16" s="375"/>
      <x:c r="HV16" s="375"/>
      <x:c r="HW16" s="375"/>
      <x:c r="HX16" s="375"/>
      <x:c r="HY16" s="375"/>
      <x:c r="HZ16" s="375"/>
      <x:c r="IA16" s="375"/>
      <x:c r="IB16" s="375"/>
      <x:c r="IC16" s="375"/>
      <x:c r="ID16" s="375"/>
      <x:c r="IE16" s="375"/>
      <x:c r="IF16" s="375"/>
      <x:c r="IG16" s="375"/>
      <x:c r="IH16" s="375"/>
      <x:c r="II16" s="375"/>
      <x:c r="IJ16" s="375"/>
      <x:c r="IK16" s="375"/>
      <x:c r="IL16" s="375"/>
      <x:c r="IM16" s="375"/>
      <x:c r="IN16" s="375"/>
      <x:c r="IO16" s="375"/>
      <x:c r="IP16" s="375"/>
      <x:c r="IQ16" s="375"/>
      <x:c r="IR16" s="375"/>
      <x:c r="IS16" s="375"/>
      <x:c r="IT16" s="375"/>
      <x:c r="IU16" s="375"/>
      <x:c r="IV16" s="375"/>
      <x:c r="IW16" s="375"/>
      <x:c r="IX16" s="375"/>
      <x:c r="IY16" s="375"/>
      <x:c r="IZ16" s="375"/>
      <x:c r="JA16" s="375"/>
      <x:c r="JB16" s="375"/>
      <x:c r="JC16" s="375"/>
      <x:c r="JD16" s="375"/>
      <x:c r="JE16" s="375"/>
      <x:c r="JF16" s="375"/>
      <x:c r="JG16" s="375"/>
      <x:c r="JH16" s="375"/>
      <x:c r="JI16" s="375"/>
      <x:c r="JJ16" s="375"/>
      <x:c r="JK16" s="375"/>
      <x:c r="JL16" s="375"/>
      <x:c r="JM16" s="375"/>
      <x:c r="JN16" s="375"/>
      <x:c r="JO16" s="375"/>
      <x:c r="JP16" s="375"/>
      <x:c r="JQ16" s="375"/>
      <x:c r="JR16" s="375"/>
      <x:c r="JS16" s="375"/>
      <x:c r="JT16" s="375"/>
      <x:c r="JU16" s="375"/>
      <x:c r="JV16" s="375"/>
      <x:c r="JW16" s="375"/>
      <x:c r="JX16" s="375"/>
      <x:c r="JY16" s="375"/>
      <x:c r="JZ16" s="375"/>
      <x:c r="KA16" s="375"/>
      <x:c r="KB16" s="375"/>
      <x:c r="KC16" s="375"/>
      <x:c r="KD16" s="375"/>
      <x:c r="KE16" s="375"/>
      <x:c r="KF16" s="375"/>
      <x:c r="KG16" s="375"/>
      <x:c r="KH16" s="375"/>
      <x:c r="KI16" s="375"/>
      <x:c r="KJ16" s="375"/>
      <x:c r="KK16" s="375"/>
      <x:c r="KL16" s="375"/>
      <x:c r="KM16" s="375"/>
      <x:c r="KN16" s="375"/>
      <x:c r="KO16" s="375"/>
      <x:c r="KP16" s="375"/>
      <x:c r="KQ16" s="375"/>
      <x:c r="KR16" s="375"/>
      <x:c r="KS16" s="375"/>
      <x:c r="KT16" s="375"/>
      <x:c r="KU16" s="375"/>
      <x:c r="KV16" s="375"/>
      <x:c r="KW16" s="375"/>
      <x:c r="KX16" s="375"/>
      <x:c r="KY16" s="375"/>
      <x:c r="KZ16" s="375"/>
      <x:c r="LA16" s="375"/>
      <x:c r="LB16" s="375"/>
      <x:c r="LC16" s="375"/>
      <x:c r="LD16" s="375"/>
      <x:c r="LE16" s="375"/>
      <x:c r="LF16" s="375"/>
      <x:c r="LG16" s="375"/>
      <x:c r="LH16" s="375"/>
      <x:c r="LI16" s="375"/>
      <x:c r="LJ16" s="375"/>
      <x:c r="LK16" s="375"/>
      <x:c r="LL16" s="375"/>
      <x:c r="LM16" s="375"/>
      <x:c r="LN16" s="375"/>
      <x:c r="LO16" s="375"/>
      <x:c r="LP16" s="375"/>
      <x:c r="LQ16" s="375"/>
      <x:c r="LR16" s="375"/>
      <x:c r="LS16" s="375"/>
      <x:c r="LT16" s="375"/>
      <x:c r="LU16" s="375"/>
      <x:c r="LV16" s="375"/>
      <x:c r="LW16" s="375"/>
      <x:c r="LX16" s="375"/>
      <x:c r="LY16" s="375"/>
      <x:c r="LZ16" s="375"/>
      <x:c r="MA16" s="375"/>
      <x:c r="MB16" s="375"/>
      <x:c r="MC16" s="375"/>
      <x:c r="MD16" s="375"/>
      <x:c r="ME16" s="375"/>
      <x:c r="MF16" s="375"/>
      <x:c r="MG16" s="375"/>
      <x:c r="MH16" s="375"/>
      <x:c r="MI16" s="375"/>
      <x:c r="MJ16" s="375"/>
      <x:c r="MK16" s="375"/>
      <x:c r="ML16" s="375"/>
      <x:c r="MM16" s="375"/>
      <x:c r="MN16" s="375"/>
      <x:c r="MO16" s="375"/>
      <x:c r="MP16" s="375"/>
      <x:c r="MQ16" s="375"/>
      <x:c r="MR16" s="375"/>
      <x:c r="MS16" s="375"/>
      <x:c r="MT16" s="375"/>
      <x:c r="MU16" s="375"/>
      <x:c r="MV16" s="375"/>
      <x:c r="MW16" s="375"/>
      <x:c r="MX16" s="375"/>
      <x:c r="MY16" s="375"/>
      <x:c r="MZ16" s="375"/>
      <x:c r="NA16" s="375"/>
      <x:c r="NB16" s="375"/>
      <x:c r="NC16" s="375"/>
      <x:c r="ND16" s="375"/>
      <x:c r="NE16" s="375"/>
      <x:c r="NF16" s="375"/>
      <x:c r="NG16" s="375"/>
      <x:c r="NH16" s="375"/>
      <x:c r="NI16" s="375"/>
      <x:c r="NJ16" s="375"/>
      <x:c r="NK16" s="375"/>
      <x:c r="NL16" s="375"/>
      <x:c r="NM16" s="375"/>
      <x:c r="NN16" s="375"/>
      <x:c r="NO16" s="375"/>
      <x:c r="NP16" s="375"/>
      <x:c r="NQ16" s="375"/>
      <x:c r="NR16" s="375"/>
      <x:c r="NS16" s="375"/>
      <x:c r="NT16" s="375"/>
      <x:c r="NU16" s="375"/>
      <x:c r="NV16" s="375"/>
      <x:c r="NW16" s="375"/>
      <x:c r="NX16" s="375"/>
      <x:c r="NY16" s="375"/>
      <x:c r="NZ16" s="375"/>
      <x:c r="OA16" s="375"/>
      <x:c r="OB16" s="375"/>
      <x:c r="OC16" s="375"/>
      <x:c r="OD16" s="375"/>
      <x:c r="OE16" s="375"/>
      <x:c r="OF16" s="375"/>
      <x:c r="OG16" s="375"/>
      <x:c r="OH16" s="375"/>
      <x:c r="OI16" s="375"/>
      <x:c r="OJ16" s="375"/>
      <x:c r="OK16" s="375"/>
      <x:c r="OL16" s="375"/>
      <x:c r="OM16" s="375"/>
      <x:c r="ON16" s="375"/>
      <x:c r="OO16" s="375"/>
      <x:c r="OP16" s="375"/>
      <x:c r="OQ16" s="375"/>
      <x:c r="OR16" s="375"/>
      <x:c r="OS16" s="375"/>
      <x:c r="OT16" s="375"/>
      <x:c r="OU16" s="375"/>
      <x:c r="OV16" s="375"/>
      <x:c r="OW16" s="375"/>
      <x:c r="OX16" s="375"/>
      <x:c r="OY16" s="375"/>
      <x:c r="OZ16" s="375"/>
      <x:c r="PA16" s="375"/>
      <x:c r="PB16" s="375"/>
      <x:c r="PC16" s="375"/>
      <x:c r="PD16" s="375"/>
      <x:c r="PE16" s="375"/>
      <x:c r="PF16" s="375"/>
      <x:c r="PG16" s="375"/>
      <x:c r="PH16" s="375"/>
      <x:c r="PI16" s="375"/>
      <x:c r="PJ16" s="375"/>
      <x:c r="PK16" s="375"/>
      <x:c r="PL16" s="375"/>
      <x:c r="PM16" s="375"/>
      <x:c r="PN16" s="375"/>
      <x:c r="PO16" s="375"/>
      <x:c r="PP16" s="375"/>
      <x:c r="PQ16" s="375"/>
      <x:c r="PR16" s="375"/>
      <x:c r="PS16" s="375"/>
      <x:c r="PT16" s="375"/>
      <x:c r="PU16" s="375"/>
      <x:c r="PV16" s="375"/>
      <x:c r="PW16" s="375"/>
      <x:c r="PX16" s="375"/>
      <x:c r="PY16" s="375"/>
      <x:c r="PZ16" s="375"/>
      <x:c r="QA16" s="375"/>
      <x:c r="QB16" s="375"/>
      <x:c r="QC16" s="375"/>
      <x:c r="QD16" s="375"/>
      <x:c r="QE16" s="375"/>
      <x:c r="QF16" s="375"/>
      <x:c r="QG16" s="375"/>
      <x:c r="QH16" s="375"/>
      <x:c r="QI16" s="375"/>
      <x:c r="QJ16" s="375"/>
      <x:c r="QK16" s="375"/>
      <x:c r="QL16" s="375"/>
      <x:c r="QM16" s="375"/>
      <x:c r="QN16" s="375"/>
      <x:c r="QO16" s="375"/>
      <x:c r="QP16" s="375"/>
      <x:c r="QQ16" s="375"/>
      <x:c r="QR16" s="375"/>
      <x:c r="QS16" s="375"/>
      <x:c r="QT16" s="375"/>
      <x:c r="QU16" s="375"/>
      <x:c r="QV16" s="375"/>
      <x:c r="QW16" s="375"/>
      <x:c r="QX16" s="375"/>
      <x:c r="QY16" s="375"/>
      <x:c r="QZ16" s="375"/>
      <x:c r="RA16" s="375"/>
      <x:c r="RB16" s="375"/>
      <x:c r="RC16" s="375"/>
      <x:c r="RD16" s="375"/>
      <x:c r="RE16" s="375"/>
      <x:c r="RF16" s="375"/>
      <x:c r="RG16" s="375"/>
      <x:c r="RH16" s="375"/>
      <x:c r="RI16" s="375"/>
      <x:c r="RJ16" s="375"/>
      <x:c r="RK16" s="375"/>
      <x:c r="RL16" s="375"/>
      <x:c r="RM16" s="375"/>
      <x:c r="RN16" s="375"/>
      <x:c r="RO16" s="375"/>
      <x:c r="RP16" s="375"/>
      <x:c r="RQ16" s="375"/>
      <x:c r="RR16" s="375"/>
      <x:c r="RS16" s="375"/>
      <x:c r="RT16" s="375"/>
      <x:c r="RU16" s="375"/>
      <x:c r="RV16" s="375"/>
      <x:c r="RW16" s="375"/>
      <x:c r="RX16" s="375"/>
      <x:c r="RY16" s="375"/>
      <x:c r="RZ16" s="375"/>
      <x:c r="SA16" s="375"/>
      <x:c r="SB16" s="375"/>
      <x:c r="SC16" s="375"/>
      <x:c r="SD16" s="375"/>
      <x:c r="SE16" s="375"/>
      <x:c r="SF16" s="375"/>
      <x:c r="SG16" s="375"/>
      <x:c r="SH16" s="375"/>
      <x:c r="SI16" s="375"/>
      <x:c r="SJ16" s="375"/>
      <x:c r="SK16" s="375"/>
      <x:c r="SL16" s="375"/>
      <x:c r="SM16" s="375"/>
      <x:c r="SN16" s="375"/>
      <x:c r="SO16" s="375"/>
      <x:c r="SP16" s="375"/>
      <x:c r="SQ16" s="375"/>
      <x:c r="SR16" s="375"/>
      <x:c r="SS16" s="375"/>
      <x:c r="ST16" s="375"/>
      <x:c r="SU16" s="375"/>
      <x:c r="SV16" s="375"/>
      <x:c r="SW16" s="375"/>
      <x:c r="SX16" s="375"/>
      <x:c r="SY16" s="375"/>
      <x:c r="SZ16" s="375"/>
      <x:c r="TA16" s="375"/>
      <x:c r="TB16" s="375"/>
      <x:c r="TC16" s="375"/>
      <x:c r="TD16" s="375"/>
      <x:c r="TE16" s="375"/>
      <x:c r="TF16" s="375"/>
      <x:c r="TG16" s="375"/>
      <x:c r="TH16" s="375"/>
      <x:c r="TI16" s="375"/>
      <x:c r="TJ16" s="375"/>
      <x:c r="TK16" s="375"/>
      <x:c r="TL16" s="375"/>
      <x:c r="TM16" s="375"/>
      <x:c r="TN16" s="375"/>
      <x:c r="TO16" s="375"/>
      <x:c r="TP16" s="375"/>
      <x:c r="TQ16" s="375"/>
      <x:c r="TR16" s="375"/>
      <x:c r="TS16" s="375"/>
      <x:c r="TT16" s="375"/>
      <x:c r="TU16" s="375"/>
      <x:c r="TV16" s="375"/>
      <x:c r="TW16" s="375"/>
      <x:c r="TX16" s="375"/>
      <x:c r="TY16" s="375"/>
      <x:c r="TZ16" s="375"/>
      <x:c r="UA16" s="375"/>
      <x:c r="UB16" s="375"/>
      <x:c r="UC16" s="375"/>
      <x:c r="UD16" s="375"/>
      <x:c r="UE16" s="375"/>
      <x:c r="UF16" s="375"/>
      <x:c r="UG16" s="375"/>
      <x:c r="UH16" s="375"/>
      <x:c r="UI16" s="375"/>
      <x:c r="UJ16" s="375"/>
      <x:c r="UK16" s="375"/>
      <x:c r="UL16" s="375"/>
      <x:c r="UM16" s="375"/>
      <x:c r="UN16" s="375"/>
      <x:c r="UO16" s="375"/>
      <x:c r="UP16" s="375"/>
      <x:c r="UQ16" s="375"/>
      <x:c r="UR16" s="375"/>
      <x:c r="US16" s="375"/>
      <x:c r="UT16" s="375"/>
      <x:c r="UU16" s="375"/>
      <x:c r="UV16" s="375"/>
      <x:c r="UW16" s="375"/>
      <x:c r="UX16" s="375"/>
      <x:c r="UY16" s="375"/>
      <x:c r="UZ16" s="375"/>
      <x:c r="VA16" s="375"/>
      <x:c r="VB16" s="375"/>
      <x:c r="VC16" s="375"/>
      <x:c r="VD16" s="375"/>
      <x:c r="VE16" s="375"/>
      <x:c r="VF16" s="375"/>
      <x:c r="VG16" s="375"/>
      <x:c r="VH16" s="375"/>
      <x:c r="VI16" s="375"/>
      <x:c r="VJ16" s="375"/>
      <x:c r="VK16" s="375"/>
      <x:c r="VL16" s="375"/>
      <x:c r="VM16" s="375"/>
      <x:c r="VN16" s="375"/>
      <x:c r="VO16" s="375"/>
      <x:c r="VP16" s="375"/>
      <x:c r="VQ16" s="375"/>
      <x:c r="VR16" s="375"/>
      <x:c r="VS16" s="375"/>
      <x:c r="VT16" s="375"/>
      <x:c r="VU16" s="375"/>
      <x:c r="VV16" s="375"/>
      <x:c r="VW16" s="375"/>
      <x:c r="VX16" s="375"/>
      <x:c r="VY16" s="375"/>
      <x:c r="VZ16" s="375"/>
      <x:c r="WA16" s="375"/>
      <x:c r="WB16" s="375"/>
      <x:c r="WC16" s="375"/>
      <x:c r="WD16" s="375"/>
      <x:c r="WE16" s="375"/>
      <x:c r="WF16" s="375"/>
      <x:c r="WG16" s="375"/>
      <x:c r="WH16" s="375"/>
      <x:c r="WI16" s="375"/>
      <x:c r="WJ16" s="375"/>
      <x:c r="WK16" s="375"/>
      <x:c r="WL16" s="375"/>
      <x:c r="WM16" s="375"/>
      <x:c r="WN16" s="375"/>
      <x:c r="WO16" s="375"/>
      <x:c r="WP16" s="375"/>
      <x:c r="WQ16" s="375"/>
      <x:c r="WR16" s="375"/>
      <x:c r="WS16" s="375"/>
      <x:c r="WT16" s="375"/>
      <x:c r="WU16" s="375"/>
      <x:c r="WV16" s="375"/>
      <x:c r="WW16" s="375"/>
      <x:c r="WX16" s="375"/>
      <x:c r="WY16" s="375"/>
      <x:c r="WZ16" s="375"/>
      <x:c r="XA16" s="375"/>
      <x:c r="XB16" s="375"/>
      <x:c r="XC16" s="375"/>
      <x:c r="XD16" s="375"/>
      <x:c r="XE16" s="375"/>
      <x:c r="XF16" s="375"/>
      <x:c r="XG16" s="375"/>
      <x:c r="XH16" s="375"/>
      <x:c r="XI16" s="375"/>
      <x:c r="XJ16" s="375"/>
      <x:c r="XK16" s="375"/>
      <x:c r="XL16" s="375"/>
      <x:c r="XM16" s="375"/>
      <x:c r="XN16" s="375"/>
      <x:c r="XO16" s="375"/>
      <x:c r="XP16" s="375"/>
      <x:c r="XQ16" s="375"/>
      <x:c r="XR16" s="375"/>
      <x:c r="XS16" s="375"/>
      <x:c r="XT16" s="375"/>
      <x:c r="XU16" s="375"/>
      <x:c r="XV16" s="375"/>
      <x:c r="XW16" s="375"/>
      <x:c r="XX16" s="375"/>
      <x:c r="XY16" s="375"/>
      <x:c r="XZ16" s="375"/>
      <x:c r="YA16" s="375"/>
      <x:c r="YB16" s="375"/>
      <x:c r="YC16" s="375"/>
      <x:c r="YD16" s="375"/>
      <x:c r="YE16" s="375"/>
      <x:c r="YF16" s="375"/>
      <x:c r="YG16" s="375"/>
      <x:c r="YH16" s="375"/>
      <x:c r="YI16" s="375"/>
      <x:c r="YJ16" s="375"/>
      <x:c r="YK16" s="375"/>
      <x:c r="YL16" s="375"/>
      <x:c r="YM16" s="375"/>
      <x:c r="YN16" s="375"/>
      <x:c r="YO16" s="375"/>
      <x:c r="YP16" s="375"/>
      <x:c r="YQ16" s="375"/>
      <x:c r="YR16" s="375"/>
      <x:c r="YS16" s="375"/>
      <x:c r="YT16" s="375"/>
      <x:c r="YU16" s="375"/>
      <x:c r="YV16" s="375"/>
      <x:c r="YW16" s="375"/>
      <x:c r="YX16" s="375"/>
      <x:c r="YY16" s="375"/>
      <x:c r="YZ16" s="375"/>
      <x:c r="ZA16" s="375"/>
      <x:c r="ZB16" s="375"/>
      <x:c r="ZC16" s="375"/>
      <x:c r="ZD16" s="375"/>
      <x:c r="ZE16" s="375"/>
      <x:c r="ZF16" s="375"/>
      <x:c r="ZG16" s="375"/>
      <x:c r="ZH16" s="375"/>
      <x:c r="ZI16" s="375"/>
      <x:c r="ZJ16" s="375"/>
      <x:c r="ZK16" s="375"/>
      <x:c r="ZL16" s="375"/>
      <x:c r="ZM16" s="375"/>
      <x:c r="ZN16" s="375"/>
      <x:c r="ZO16" s="375"/>
      <x:c r="ZP16" s="375"/>
      <x:c r="ZQ16" s="375"/>
      <x:c r="ZR16" s="375"/>
      <x:c r="ZS16" s="375"/>
      <x:c r="ZT16" s="375"/>
      <x:c r="ZU16" s="375"/>
      <x:c r="ZV16" s="375"/>
      <x:c r="ZW16" s="375"/>
      <x:c r="ZX16" s="375"/>
      <x:c r="ZY16" s="375"/>
      <x:c r="ZZ16" s="375"/>
      <x:c r="AAA16" s="375"/>
      <x:c r="AAB16" s="375"/>
      <x:c r="AAC16" s="375"/>
      <x:c r="AAD16" s="375"/>
      <x:c r="AAE16" s="375"/>
      <x:c r="AAF16" s="375"/>
      <x:c r="AAG16" s="375"/>
      <x:c r="AAH16" s="375"/>
      <x:c r="AAI16" s="375"/>
      <x:c r="AAJ16" s="375"/>
      <x:c r="AAK16" s="375"/>
      <x:c r="AAL16" s="375"/>
      <x:c r="AAM16" s="375"/>
      <x:c r="AAN16" s="375"/>
      <x:c r="AAO16" s="375"/>
      <x:c r="AAP16" s="375"/>
      <x:c r="AAQ16" s="375"/>
      <x:c r="AAR16" s="375"/>
      <x:c r="AAS16" s="375"/>
      <x:c r="AAT16" s="375"/>
      <x:c r="AAU16" s="375"/>
      <x:c r="AAV16" s="375"/>
      <x:c r="AAW16" s="375"/>
      <x:c r="AAX16" s="375"/>
      <x:c r="AAY16" s="375"/>
      <x:c r="AAZ16" s="375"/>
      <x:c r="ABA16" s="375"/>
      <x:c r="ABB16" s="375"/>
      <x:c r="ABC16" s="375"/>
      <x:c r="ABD16" s="375"/>
      <x:c r="ABE16" s="375"/>
      <x:c r="ABF16" s="375"/>
      <x:c r="ABG16" s="375"/>
      <x:c r="ABH16" s="375"/>
      <x:c r="ABI16" s="375"/>
      <x:c r="ABJ16" s="375"/>
      <x:c r="ABK16" s="375"/>
      <x:c r="ABL16" s="375"/>
      <x:c r="ABM16" s="375"/>
      <x:c r="ABN16" s="375"/>
      <x:c r="ABO16" s="375"/>
      <x:c r="ABP16" s="375"/>
      <x:c r="ABQ16" s="375"/>
      <x:c r="ABR16" s="375"/>
      <x:c r="ABS16" s="375"/>
      <x:c r="ABT16" s="375"/>
      <x:c r="ABU16" s="375"/>
      <x:c r="ABV16" s="375"/>
      <x:c r="ABW16" s="375"/>
      <x:c r="ABX16" s="375"/>
      <x:c r="ABY16" s="375"/>
      <x:c r="ABZ16" s="375"/>
      <x:c r="ACA16" s="375"/>
      <x:c r="ACB16" s="375"/>
      <x:c r="ACC16" s="375"/>
      <x:c r="ACD16" s="375"/>
      <x:c r="ACE16" s="375"/>
      <x:c r="ACF16" s="375"/>
      <x:c r="ACG16" s="375"/>
      <x:c r="ACH16" s="375"/>
      <x:c r="ACI16" s="375"/>
      <x:c r="ACJ16" s="375"/>
      <x:c r="ACK16" s="375"/>
      <x:c r="ACL16" s="375"/>
      <x:c r="ACM16" s="375"/>
      <x:c r="ACN16" s="375"/>
      <x:c r="ACO16" s="375"/>
      <x:c r="ACP16" s="375"/>
      <x:c r="ACQ16" s="375"/>
      <x:c r="ACR16" s="375"/>
      <x:c r="ACS16" s="375"/>
      <x:c r="ACT16" s="375"/>
      <x:c r="ACU16" s="375"/>
      <x:c r="ACV16" s="375"/>
      <x:c r="ACW16" s="375"/>
      <x:c r="ACX16" s="375"/>
      <x:c r="ACY16" s="375"/>
      <x:c r="ACZ16" s="375"/>
      <x:c r="ADA16" s="375"/>
      <x:c r="ADB16" s="375"/>
      <x:c r="ADC16" s="375"/>
      <x:c r="ADD16" s="375"/>
      <x:c r="ADE16" s="375"/>
      <x:c r="ADF16" s="375"/>
      <x:c r="ADG16" s="375"/>
      <x:c r="ADH16" s="375"/>
      <x:c r="ADI16" s="375"/>
      <x:c r="ADJ16" s="375"/>
      <x:c r="ADK16" s="375"/>
      <x:c r="ADL16" s="375"/>
      <x:c r="ADM16" s="375"/>
      <x:c r="ADN16" s="375"/>
      <x:c r="ADO16" s="375"/>
      <x:c r="ADP16" s="375"/>
      <x:c r="ADQ16" s="375"/>
      <x:c r="ADR16" s="375"/>
      <x:c r="ADS16" s="375"/>
      <x:c r="ADT16" s="375"/>
      <x:c r="ADU16" s="375"/>
      <x:c r="ADV16" s="375"/>
      <x:c r="ADW16" s="375"/>
      <x:c r="ADX16" s="375"/>
      <x:c r="ADY16" s="375"/>
      <x:c r="ADZ16" s="375"/>
      <x:c r="AEA16" s="375"/>
      <x:c r="AEB16" s="375"/>
      <x:c r="AEC16" s="375"/>
      <x:c r="AED16" s="375"/>
      <x:c r="AEE16" s="375"/>
      <x:c r="AEF16" s="375"/>
      <x:c r="AEG16" s="375"/>
      <x:c r="AEH16" s="375"/>
      <x:c r="AEI16" s="375"/>
      <x:c r="AEJ16" s="375"/>
      <x:c r="AEK16" s="375"/>
      <x:c r="AEL16" s="375"/>
      <x:c r="AEM16" s="375"/>
      <x:c r="AEN16" s="375"/>
      <x:c r="AEO16" s="375"/>
      <x:c r="AEP16" s="375"/>
      <x:c r="AEQ16" s="375"/>
      <x:c r="AER16" s="375"/>
      <x:c r="AES16" s="375"/>
      <x:c r="AET16" s="375"/>
      <x:c r="AEU16" s="375"/>
      <x:c r="AEV16" s="375"/>
      <x:c r="AEW16" s="375"/>
      <x:c r="AEX16" s="375"/>
      <x:c r="AEY16" s="375"/>
      <x:c r="AEZ16" s="375"/>
      <x:c r="AFA16" s="375"/>
      <x:c r="AFB16" s="375"/>
      <x:c r="AFC16" s="375"/>
      <x:c r="AFD16" s="375"/>
      <x:c r="AFE16" s="375"/>
      <x:c r="AFF16" s="375"/>
      <x:c r="AFG16" s="375"/>
      <x:c r="AFH16" s="375"/>
      <x:c r="AFI16" s="375"/>
      <x:c r="AFJ16" s="375"/>
      <x:c r="AFK16" s="375"/>
      <x:c r="AFL16" s="375"/>
      <x:c r="AFM16" s="375"/>
      <x:c r="AFN16" s="375"/>
      <x:c r="AFO16" s="375"/>
      <x:c r="AFP16" s="375"/>
      <x:c r="AFQ16" s="375"/>
      <x:c r="AFR16" s="375"/>
      <x:c r="AFS16" s="375"/>
      <x:c r="AFT16" s="375"/>
      <x:c r="AFU16" s="375"/>
      <x:c r="AFV16" s="375"/>
      <x:c r="AFW16" s="375"/>
      <x:c r="AFX16" s="375"/>
      <x:c r="AFY16" s="375"/>
      <x:c r="AFZ16" s="375"/>
      <x:c r="AGA16" s="375"/>
      <x:c r="AGB16" s="375"/>
      <x:c r="AGC16" s="375"/>
      <x:c r="AGD16" s="375"/>
      <x:c r="AGE16" s="375"/>
      <x:c r="AGF16" s="375"/>
      <x:c r="AGG16" s="375"/>
      <x:c r="AGH16" s="375"/>
      <x:c r="AGI16" s="375"/>
      <x:c r="AGJ16" s="375"/>
      <x:c r="AGK16" s="375"/>
      <x:c r="AGL16" s="375"/>
      <x:c r="AGM16" s="375"/>
      <x:c r="AGN16" s="375"/>
      <x:c r="AGO16" s="375"/>
      <x:c r="AGP16" s="375"/>
      <x:c r="AGQ16" s="375"/>
      <x:c r="AGR16" s="375"/>
      <x:c r="AGS16" s="375"/>
      <x:c r="AGT16" s="375"/>
      <x:c r="AGU16" s="375"/>
      <x:c r="AGV16" s="375"/>
      <x:c r="AGW16" s="375"/>
      <x:c r="AGX16" s="375"/>
      <x:c r="AGY16" s="375"/>
      <x:c r="AGZ16" s="375"/>
      <x:c r="AHA16" s="375"/>
      <x:c r="AHB16" s="375"/>
      <x:c r="AHC16" s="375"/>
      <x:c r="AHD16" s="375"/>
      <x:c r="AHE16" s="375"/>
      <x:c r="AHF16" s="375"/>
      <x:c r="AHG16" s="375"/>
      <x:c r="AHH16" s="375"/>
      <x:c r="AHI16" s="375"/>
      <x:c r="AHJ16" s="375"/>
      <x:c r="AHK16" s="375"/>
      <x:c r="AHL16" s="375"/>
      <x:c r="AHM16" s="375"/>
      <x:c r="AHN16" s="375"/>
      <x:c r="AHO16" s="375"/>
      <x:c r="AHP16" s="375"/>
      <x:c r="AHQ16" s="375"/>
      <x:c r="AHR16" s="375"/>
      <x:c r="AHS16" s="375"/>
      <x:c r="AHT16" s="375"/>
      <x:c r="AHU16" s="375"/>
      <x:c r="AHV16" s="375"/>
      <x:c r="AHW16" s="375"/>
      <x:c r="AHX16" s="375"/>
      <x:c r="AHY16" s="375"/>
      <x:c r="AHZ16" s="375"/>
      <x:c r="AIA16" s="375"/>
      <x:c r="AIB16" s="375"/>
      <x:c r="AIC16" s="375"/>
      <x:c r="AID16" s="375"/>
      <x:c r="AIE16" s="375"/>
      <x:c r="AIF16" s="375"/>
      <x:c r="AIG16" s="375"/>
      <x:c r="AIH16" s="375"/>
      <x:c r="AII16" s="375"/>
      <x:c r="AIJ16" s="375"/>
      <x:c r="AIK16" s="375"/>
      <x:c r="AIL16" s="375"/>
      <x:c r="AIM16" s="375"/>
      <x:c r="AIN16" s="375"/>
      <x:c r="AIO16" s="375"/>
      <x:c r="AIP16" s="375"/>
      <x:c r="AIQ16" s="375"/>
      <x:c r="AIR16" s="375"/>
      <x:c r="AIS16" s="375"/>
      <x:c r="AIT16" s="375"/>
      <x:c r="AIU16" s="375"/>
      <x:c r="AIV16" s="375"/>
      <x:c r="AIW16" s="375"/>
      <x:c r="AIX16" s="375"/>
      <x:c r="AIY16" s="375"/>
      <x:c r="AIZ16" s="375"/>
      <x:c r="AJA16" s="375"/>
      <x:c r="AJB16" s="375"/>
      <x:c r="AJC16" s="375"/>
      <x:c r="AJD16" s="375"/>
      <x:c r="AJE16" s="375"/>
      <x:c r="AJF16" s="375"/>
      <x:c r="AJG16" s="375"/>
      <x:c r="AJH16" s="375"/>
      <x:c r="AJI16" s="375"/>
      <x:c r="AJJ16" s="375"/>
      <x:c r="AJK16" s="375"/>
      <x:c r="AJL16" s="375"/>
      <x:c r="AJM16" s="375"/>
      <x:c r="AJN16" s="375"/>
      <x:c r="AJO16" s="375"/>
      <x:c r="AJP16" s="375"/>
      <x:c r="AJQ16" s="375"/>
      <x:c r="AJR16" s="375"/>
      <x:c r="AJS16" s="375"/>
      <x:c r="AJT16" s="375"/>
      <x:c r="AJU16" s="375"/>
      <x:c r="AJV16" s="375"/>
      <x:c r="AJW16" s="375"/>
      <x:c r="AJX16" s="375"/>
      <x:c r="AJY16" s="375"/>
      <x:c r="AJZ16" s="375"/>
      <x:c r="AKA16" s="375"/>
      <x:c r="AKB16" s="375"/>
      <x:c r="AKC16" s="375"/>
      <x:c r="AKD16" s="375"/>
      <x:c r="AKE16" s="375"/>
      <x:c r="AKF16" s="375"/>
      <x:c r="AKG16" s="375"/>
      <x:c r="AKH16" s="375"/>
      <x:c r="AKI16" s="375"/>
      <x:c r="AKJ16" s="375"/>
      <x:c r="AKK16" s="375"/>
      <x:c r="AKL16" s="375"/>
      <x:c r="AKM16" s="375"/>
      <x:c r="AKN16" s="375"/>
      <x:c r="AKO16" s="375"/>
      <x:c r="AKP16" s="375"/>
      <x:c r="AKQ16" s="375"/>
      <x:c r="AKR16" s="375"/>
      <x:c r="AKS16" s="375"/>
      <x:c r="AKT16" s="375"/>
      <x:c r="AKU16" s="375"/>
      <x:c r="AKV16" s="375"/>
      <x:c r="AKW16" s="375"/>
      <x:c r="AKX16" s="375"/>
      <x:c r="AKY16" s="375"/>
      <x:c r="AKZ16" s="375"/>
      <x:c r="ALA16" s="375"/>
      <x:c r="ALB16" s="375"/>
      <x:c r="ALC16" s="375"/>
      <x:c r="ALD16" s="375"/>
      <x:c r="ALE16" s="375"/>
      <x:c r="ALF16" s="375"/>
      <x:c r="ALG16" s="375"/>
      <x:c r="ALH16" s="375"/>
      <x:c r="ALI16" s="375"/>
      <x:c r="ALJ16" s="375"/>
      <x:c r="ALK16" s="375"/>
      <x:c r="ALL16" s="375"/>
      <x:c r="ALM16" s="375"/>
      <x:c r="ALN16" s="375"/>
      <x:c r="ALO16" s="375"/>
      <x:c r="ALP16" s="375"/>
      <x:c r="ALQ16" s="375"/>
      <x:c r="ALR16" s="375"/>
      <x:c r="ALS16" s="375"/>
      <x:c r="ALT16" s="375"/>
      <x:c r="ALU16" s="375"/>
      <x:c r="ALV16" s="375"/>
      <x:c r="ALW16" s="375"/>
      <x:c r="ALX16" s="375"/>
      <x:c r="ALY16" s="375"/>
      <x:c r="ALZ16" s="375"/>
      <x:c r="AMA16" s="375"/>
      <x:c r="AMB16" s="375"/>
      <x:c r="AMC16" s="375"/>
      <x:c r="AMD16" s="375"/>
      <x:c r="AME16" s="375"/>
      <x:c r="AMF16" s="375"/>
      <x:c r="AMG16" s="375"/>
      <x:c r="AMH16" s="375"/>
      <x:c r="AMI16" s="375"/>
      <x:c r="AMJ16" s="375"/>
      <x:c r="AMK16" s="375"/>
    </x:row>
    <x:row r="17" ht="113" hidden="0" customHeight="1">
      <x:c r="A17" s="266" t="str">
        <x:v>01-yurina-A2-n-7</x:v>
      </x:c>
      <x:c r="B17" s="354" t="str">
        <x:v>yurina</x:v>
      </x:c>
      <x:c r="C17" s="266" t="str">
        <x:v>A2</x:v>
      </x:c>
      <x:c r="D17" s="266" t="str">
        <x:v>01-yurina-o-n-7</x:v>
      </x:c>
      <x:c r="E17" s="266" t="str">
        <x:v>阿吽</x:v>
      </x:c>
      <x:c r="F17" s="399" t="str">
        <x:v>あうん</x:v>
      </x:c>
      <x:c r="G17" s="399" t="str">
        <x:v>阿吽</x:v>
      </x:c>
      <x:c r="H17" s="399" t="str">
        <x:v>始与终</x:v>
      </x:c>
      <x:c r="I17" s="399"/>
      <x:c r="J17" s="399" t="str">
        <x:v>아훔</x:v>
      </x:c>
      <x:c r="K17" s="399" t="str">
        <x:v>Harmony</x:v>
      </x:c>
      <x:c r="L17" s="399"/>
      <x:c r="M17" s="417" t="str">
        <x:v>通常札</x:v>
      </x:c>
      <x:c r="N17" s="399"/>
      <x:c r="O17" s="399"/>
      <x:c r="P17" s="399"/>
      <x:c r="Q17" s="399"/>
      <x:c r="R17" s="399" t="str">
        <x:v>付与</x:v>
      </x:c>
      <x:c r="S17" s="399"/>
      <x:c r="T17" s="399"/>
      <x:c r="U17" s="401"/>
      <x:c r="V17" s="402"/>
      <x:c r="W17" s="401"/>
      <x:c r="X17" s="402" t="n">
        <x:v>3</x:v>
      </x:c>
      <x:c r="Y17" s="402"/>
      <x:c r="Z17" s="402"/>
      <x:c r="AA17" s="402"/>
      <x:c r="AB17" s="403"/>
      <x:c r="AC17" s="403"/>
      <x:c r="AD17" s="396"/>
      <x:c r="AE17" s="447" t="str">
        <x:v>【展開中】各ターンで《攻撃》のダメージまたは基本動作で初めて相手のオーラが変化した時、その《攻撃》や基本動作の解決後にあなたは以下のいずれかを行ってもよい。
・基本動作《纏い》を行う。その後、基本動作《宿し》を行ってもよい。
・攻撃『適正距離3-5、2/1』を行う。</x:v>
      </x:c>
      <x:c r="AF17" s="449"/>
      <x:c r="AG17" s="450" t="str">
        <x:v>【展开中】各个回合中，由于《攻击》的伤害或者基本动作，导致敌装第一次变化时，那个《攻击》或者基本动作结算后你可以选择以下一项执行：
●进行基本动作《装附》。然后可以再进行基本动作《聚气》。
●进行一次“攻击距离3-5、伤害2/1”的攻击。</x:v>
      </x:c>
      <x:c r="AH17" s="451"/>
      <x:c r="AI17" s="447" t="str">
        <x:v>【展开中】每回合内，每当敌装中的樱花结晶数目首次因《攻击》伤害或基本动作的效果而变化时，该《攻击》或基本动作结算完毕后，妳可以选择一项。
1.执行一次基本动作《装附》。妳可以执行一次基本动作《聚气》。
2.进行一次“攻击距离3-5 伤害2/1”的攻击。</x:v>
      </x:c>
      <x:c r="AJ17" s="447"/>
      <x:c r="AK17" s="450" t="str">
        <x:v>【전개중】각 턴에 《공격》의 데미지 또는 기본동작으로 처음으로 상대 오라의 수치가 변화하였다면, 그 《공격》이나 기본동작의 해결 후 당신은 다음 중 하나를 골라 수행할 수 있다.
・기본동작 《휘감기》를 수행한다. 그 후 기본동작 《품기》를 수행할 수 있다.
・공격『적정거리3-5、2/1』을 수행한다.</x:v>
      </x:c>
      <x:c r="AL17" s="447"/>
      <x:c r="AM17" s="447" t="str">
        <x:v>Ongoing: The first time each turn your opponent's Aura changes due to a basic action or damage from an attack, after that basic action or attack resolves, you may choose one:
・Perform a Recover basic action. Then, you may perform a Focus basic action.
・You attack with "Range: 3-5, Damage: 2/1".</x:v>
      </x:c>
      <x:c r="AN17" s="447"/>
      <x:c r="AO17" s="439"/>
      <x:c r="AP17" s="439"/>
      <x:c r="AQ17" s="439"/>
      <x:c r="AR17" s="439"/>
      <x:c r="AS17" s="439"/>
      <x:c r="AT17" s="330" t="str">
        <x:f aca="0">IF(A17="", "","'"&amp;A17&amp;"': {megami: '"&amp;B17&amp;"'"&amp;IF(C17&lt;&gt;"",", anotherID: '"&amp;C17&amp;"', replace: '"&amp;D17&amp;"'","")&amp;", name: '"&amp;SUBSTITUTE(E17,"'","\'")&amp;"', nameEn: '"&amp;SUBSTITUTE(K17,"'","\'")&amp;"', nameZh: '"&amp;SUBSTITUTE(G17,"'","\'")&amp;"', nameZhG16: '"&amp;SUBSTITUTE(H17,"'","\'")&amp;"', nameKo: '"&amp;SUBSTITUTE(J17,"'","\'")&amp;"', ruby: '"&amp;F17&amp;"', rubyEn: '"&amp;L17&amp;IF(I17&lt;&gt;"", "', rubyZh: '"&amp;I17, "")&amp;"', baseType: '"&amp;IF(M17="通常札","normal",IF(M17="切札","special",IF(M17="追加札","extra",IF(M17="transform","transform",IF(M17="嵐","storm",IF(M17="兵員","troop",IF(M17="構想","plan",IF(M17="メインパーツ","mainParts",IF(M17="カスタムパーツ","customParts",IF(M17="運命","fate",IF(M17="仮想樹","virtualTree","")))))))))))&amp;"'"&amp;IF(N17="○",", extra: true","")&amp;IF(O17&lt;&gt;"",", extraFrom: '"&amp;O17&amp;"'","")&amp;IF(P17&lt;&gt;"",", exchangableTo: '"&amp;P17&amp;"'","")&amp;IF(Q17="○",", poison: true","")&amp;IF(R17&lt;&gt;"", ", type: '"&amp;IF(R17="攻撃","attack",IF(R17="行動","action",IF(R17="不定","variable",IF(R17="対応","reaction",IF(R17="全力","fullpower",IF(R17="付与","enhance",IF(R17="transform","transform","")))))))&amp;"'", "")&amp;IF(S17&lt;&gt;"",", subType: '"&amp;IF(S17="攻撃","attack",IF(S17="行動","action",IF(S17="不定","variable",IF(S17="対応","reaction",IF(S17="全力","fullpower",IF(S17="付与","enhance",IF(S17="transform","transform","")))))))&amp;"'","")&amp;""&amp;IF(T17&lt;&gt;"",",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textZhG16: '"&amp;SUBSTITUTE(SUBSTITUTE(SUBSTITUTE(AI17, CHAR(13), ""),CHAR(10),"\n"),"'","\'")&amp;IF(AH17&lt;&gt;"", "', textZhAdditional: '"&amp;SUBSTITUTE(SUBSTITUTE(AH17, CHAR(13), ""),CHAR(10),"\n"), "")&amp;IF(AK17&lt;&gt;"", "', textZhG16Additional: '"&amp;SUBSTITUTE(SUBSTITUTE(AK17, CHAR(13), ""),CHAR(10),"\n"), "")&amp;"', textKo: '"&amp;SUBSTITUTE(SUBSTITUTE(SUBSTITUTE(AM17, CHAR(13), ""),CHAR(10),"\n"),"'","\'")&amp;IF(AM17&lt;&gt;"", "', textKoAdditional: '"&amp;SUBSTITUTE(SUBSTITUTE(AM17, CHAR(13), ""),CHAR(10),"\n"), "")&amp;"', textEn: '"&amp;SUBSTITUTE(SUBSTITUTE(SUBSTITUTE(AM17, CHAR(13), ""),CHAR(10),"\n"),"'","\'")&amp;IF(AN17&lt;&gt;"", "', textEnAdditional: '"&amp;SUBSTITUTE(SUBSTITUTE(AN17, CHAR(13), ""),CHAR(10),"\n"), "")&amp;"'"&amp;IF(AB17="○",", sealable: true","")&amp;IF(AC17="○",", removable: true","")&amp;IF(AA17="○",", lie: true","")&amp;IF(AD17="○",", investable: true","")&amp;"},")</x:f>
        <x:v>'01-yurina-A2-n-7': {megami: 'yurina', anotherID: 'A2', replace: '01-yurina-o-n-7', name: '阿吽', nameEn: 'Harmony', nameZh: '阿吽', nameZhG16: '始与终', nameKo: '아훔', ruby: 'あうん', rubyEn: '', baseType: 'normal', type: 'enhance', capacity: '3', text: '【展開中】各ターンで《攻撃》のダメージまたは基本動作で初めて相手のオーラが変化した時、その《攻撃》や基本動作の解決後にあなたは以下のいずれかを行ってもよい。\n・基本動作《纏い》を行う。その後、基本動作《宿し》を行ってもよい。\n・攻撃『適正距離3-5、2/1』を行う。', textZh: '【展开中】各个回合中，由于《攻击》的伤害或者基本动作，导致敌装第一次变化时，那个《攻击》或者基本动作结算后你可以选择以下一项执行：\n●进行基本动作《装附》。然后可以再进行基本动作《聚气》。\n●进行一次“攻击距离3-5、伤害2/1”的攻击。', textZhG16: '【展开中】每回合内，每当敌装中的樱花结晶数目首次因《攻击》伤害或基本动作的效果而变化时，该《攻击》或基本动作结算完毕后，妳可以选择一项。\n1.执行一次基本动作《装附》。妳可以执行一次基本动作《聚气》。\n2.进行一次“攻击距离3-5 伤害2/1”的攻击。', textZhG16Additional: '【전개중】각 턴에 《공격》의 데미지 또는 기본동작으로 처음으로 상대 오라의 수치가 변화하였다면, 그 《공격》이나 기본동작의 해결 후 당신은 다음 중 하나를 골라 수행할 수 있다.\n・기본동작 《휘감기》를 수행한다. 그 후 기본동작 《품기》를 수행할 수 있다.\n・공격『적정거리3-5、2/1』을 수행한다.', textKo: 'Ongoing: The first time each turn your opponent\'s Aura changes due to a basic action or damage from an attack, after that basic action or attack resolves, you may choose one:\n・Perform a Recover basic action. Then, you may perform a Focus basic action.\n・You attack with "Range: 3-5, Damage: 2/1".', textKoAdditional: 'Ongoing: The first time each turn your opponent's Aura changes due to a basic action or damage from an attack, after that basic action or attack resolves, you may choose one:\n・Perform a Recover basic action. Then, you may perform a Focus basic action.\n・You attack with "Range: 3-5, Damage: 2/1".', textEn: 'Ongoing: The first time each turn your opponent\'s Aura changes due to a basic action or damage from an attack, after that basic action or attack resolves, you may choose one:\n・Perform a Recover basic action. Then, you may perform a Focus basic action.\n・You attack with "Range: 3-5, Damage: 2/1".'},</x:v>
      </x:c>
      <x:c r="AU17" s="331" t="str">
        <x:f aca="0">IF($A17&lt;&gt;"", "    /** 《"&amp;$E17&amp;"》 */ export const "&amp;SUBSTITUTE(UPPER(IF(MID($A17, 3, 1)="-", RIGHT($A17,LEN($A17)-3), $A17)), "-", "_")&amp;": TCardId = '"&amp;$A17&amp;"';", "")</x:f>
        <x:v>    /** 《阿吽》 */ export const YURINA_A2_N_7: TCardId = '01-yurina-A2-n-7';</x:v>
      </x:c>
      <x:c r="AV17" s="332" t="str">
        <x:f aca="0">IF($A18&lt;&gt;"", "    | '"&amp;$A18&amp;"'", "")</x:f>
        <x:v>    | '01-yurina-A2-s-1'</x:v>
      </x:c>
      <x:c r="AW17" s="86"/>
      <x:c r="AX17" s="86"/>
      <x:c r="AY17" s="86"/>
      <x:c r="AZ17" s="86"/>
      <x:c r="BA17" s="86"/>
      <x:c r="BB17" s="86"/>
      <x:c r="BC17" s="86"/>
      <x:c r="BD17" s="86"/>
      <x:c r="BE17" s="86"/>
      <x:c r="BF17" s="86"/>
      <x:c r="BG17" s="86"/>
      <x:c r="BH17" s="86"/>
      <x:c r="BI17" s="86"/>
      <x:c r="BJ17" s="86"/>
      <x:c r="BK17" s="86"/>
      <x:c r="BL17" s="86"/>
      <x:c r="BM17" s="86"/>
      <x:c r="BN17" s="86"/>
      <x:c r="BO17" s="381"/>
      <x:c r="BP17" s="381"/>
      <x:c r="BQ17" s="375"/>
      <x:c r="BR17" s="375"/>
      <x:c r="BS17" s="375"/>
      <x:c r="BT17" s="375"/>
      <x:c r="BU17" s="375"/>
      <x:c r="BV17" s="375"/>
      <x:c r="BW17" s="375"/>
      <x:c r="BX17" s="375"/>
      <x:c r="BY17" s="375"/>
      <x:c r="BZ17" s="375"/>
      <x:c r="CA17" s="375"/>
      <x:c r="CB17" s="375"/>
      <x:c r="CC17" s="375"/>
      <x:c r="CD17" s="375"/>
      <x:c r="CE17" s="375"/>
      <x:c r="CF17" s="375"/>
      <x:c r="CG17" s="375"/>
      <x:c r="CH17" s="375"/>
      <x:c r="CI17" s="375"/>
      <x:c r="CJ17" s="375"/>
      <x:c r="CK17" s="375"/>
      <x:c r="CL17" s="375"/>
      <x:c r="CM17" s="375"/>
      <x:c r="CN17" s="375"/>
      <x:c r="CO17" s="375"/>
      <x:c r="CP17" s="375"/>
      <x:c r="CQ17" s="375"/>
      <x:c r="CR17" s="375"/>
      <x:c r="CS17" s="375"/>
      <x:c r="CT17" s="375"/>
      <x:c r="CU17" s="375"/>
      <x:c r="CV17" s="375"/>
      <x:c r="CW17" s="375"/>
      <x:c r="CX17" s="375"/>
      <x:c r="CY17" s="375"/>
      <x:c r="CZ17" s="375"/>
      <x:c r="DA17" s="375"/>
      <x:c r="DB17" s="375"/>
      <x:c r="DC17" s="375"/>
      <x:c r="DD17" s="375"/>
      <x:c r="DE17" s="375"/>
      <x:c r="DF17" s="375"/>
      <x:c r="DG17" s="375"/>
      <x:c r="DH17" s="375"/>
      <x:c r="DI17" s="375"/>
      <x:c r="DJ17" s="375"/>
      <x:c r="DK17" s="375"/>
      <x:c r="DL17" s="375"/>
      <x:c r="DM17" s="375"/>
      <x:c r="DN17" s="375"/>
      <x:c r="DO17" s="375"/>
      <x:c r="DP17" s="375"/>
      <x:c r="DQ17" s="375"/>
      <x:c r="DR17" s="375"/>
      <x:c r="DS17" s="375"/>
      <x:c r="DT17" s="375"/>
      <x:c r="DU17" s="375"/>
      <x:c r="DV17" s="375"/>
      <x:c r="DW17" s="375"/>
      <x:c r="DX17" s="375"/>
      <x:c r="DY17" s="375"/>
      <x:c r="DZ17" s="375"/>
      <x:c r="EA17" s="375"/>
      <x:c r="EB17" s="375"/>
      <x:c r="EC17" s="375"/>
      <x:c r="ED17" s="375"/>
      <x:c r="EE17" s="375"/>
      <x:c r="EF17" s="375"/>
      <x:c r="EG17" s="375"/>
      <x:c r="EH17" s="375"/>
      <x:c r="EI17" s="375"/>
      <x:c r="EJ17" s="375"/>
      <x:c r="EK17" s="375"/>
      <x:c r="EL17" s="375"/>
      <x:c r="EM17" s="375"/>
      <x:c r="EN17" s="375"/>
      <x:c r="EO17" s="375"/>
      <x:c r="EP17" s="375"/>
      <x:c r="EQ17" s="375"/>
      <x:c r="ER17" s="375"/>
      <x:c r="ES17" s="375"/>
      <x:c r="ET17" s="375"/>
      <x:c r="EU17" s="375"/>
      <x:c r="EV17" s="375"/>
      <x:c r="EW17" s="375"/>
      <x:c r="EX17" s="375"/>
      <x:c r="EY17" s="375"/>
      <x:c r="EZ17" s="375"/>
      <x:c r="FA17" s="375"/>
      <x:c r="FB17" s="375"/>
      <x:c r="FC17" s="375"/>
      <x:c r="FD17" s="375"/>
      <x:c r="FE17" s="375"/>
      <x:c r="FF17" s="375"/>
      <x:c r="FG17" s="375"/>
      <x:c r="FH17" s="375"/>
      <x:c r="FI17" s="375"/>
      <x:c r="FJ17" s="375"/>
      <x:c r="FK17" s="375"/>
      <x:c r="FL17" s="375"/>
      <x:c r="FM17" s="375"/>
      <x:c r="FN17" s="375"/>
      <x:c r="FO17" s="375"/>
      <x:c r="FP17" s="375"/>
      <x:c r="FQ17" s="375"/>
      <x:c r="FR17" s="375"/>
      <x:c r="FS17" s="375"/>
      <x:c r="FT17" s="375"/>
      <x:c r="FU17" s="375"/>
      <x:c r="FV17" s="375"/>
      <x:c r="FW17" s="375"/>
      <x:c r="FX17" s="375"/>
      <x:c r="FY17" s="375"/>
      <x:c r="FZ17" s="375"/>
      <x:c r="GA17" s="375"/>
      <x:c r="GB17" s="375"/>
      <x:c r="GC17" s="375"/>
      <x:c r="GD17" s="375"/>
      <x:c r="GE17" s="375"/>
      <x:c r="GF17" s="375"/>
      <x:c r="GG17" s="375"/>
      <x:c r="GH17" s="375"/>
      <x:c r="GI17" s="375"/>
      <x:c r="GJ17" s="375"/>
      <x:c r="GK17" s="375"/>
      <x:c r="GL17" s="375"/>
      <x:c r="GM17" s="375"/>
      <x:c r="GN17" s="375"/>
      <x:c r="GO17" s="375"/>
      <x:c r="GP17" s="375"/>
      <x:c r="GQ17" s="375"/>
      <x:c r="GR17" s="375"/>
      <x:c r="GS17" s="375"/>
      <x:c r="GT17" s="375"/>
      <x:c r="GU17" s="375"/>
      <x:c r="GV17" s="375"/>
      <x:c r="GW17" s="375"/>
      <x:c r="GX17" s="375"/>
      <x:c r="GY17" s="375"/>
      <x:c r="GZ17" s="375"/>
      <x:c r="HA17" s="375"/>
      <x:c r="HB17" s="375"/>
      <x:c r="HC17" s="375"/>
      <x:c r="HD17" s="375"/>
      <x:c r="HE17" s="375"/>
      <x:c r="HF17" s="375"/>
      <x:c r="HG17" s="375"/>
      <x:c r="HH17" s="375"/>
      <x:c r="HI17" s="375"/>
      <x:c r="HJ17" s="375"/>
      <x:c r="HK17" s="375"/>
      <x:c r="HL17" s="375"/>
      <x:c r="HM17" s="375"/>
      <x:c r="HN17" s="375"/>
      <x:c r="HO17" s="375"/>
      <x:c r="HP17" s="375"/>
      <x:c r="HQ17" s="375"/>
      <x:c r="HR17" s="375"/>
      <x:c r="HS17" s="375"/>
      <x:c r="HT17" s="375"/>
      <x:c r="HU17" s="375"/>
      <x:c r="HV17" s="375"/>
      <x:c r="HW17" s="375"/>
      <x:c r="HX17" s="375"/>
      <x:c r="HY17" s="375"/>
      <x:c r="HZ17" s="375"/>
      <x:c r="IA17" s="375"/>
      <x:c r="IB17" s="375"/>
      <x:c r="IC17" s="375"/>
      <x:c r="ID17" s="375"/>
      <x:c r="IE17" s="375"/>
      <x:c r="IF17" s="375"/>
      <x:c r="IG17" s="375"/>
      <x:c r="IH17" s="375"/>
      <x:c r="II17" s="375"/>
      <x:c r="IJ17" s="375"/>
      <x:c r="IK17" s="375"/>
      <x:c r="IL17" s="375"/>
      <x:c r="IM17" s="375"/>
      <x:c r="IN17" s="375"/>
      <x:c r="IO17" s="375"/>
      <x:c r="IP17" s="375"/>
      <x:c r="IQ17" s="375"/>
      <x:c r="IR17" s="375"/>
      <x:c r="IS17" s="375"/>
      <x:c r="IT17" s="375"/>
      <x:c r="IU17" s="375"/>
      <x:c r="IV17" s="375"/>
      <x:c r="IW17" s="375"/>
      <x:c r="IX17" s="375"/>
      <x:c r="IY17" s="375"/>
      <x:c r="IZ17" s="375"/>
      <x:c r="JA17" s="375"/>
      <x:c r="JB17" s="375"/>
      <x:c r="JC17" s="375"/>
      <x:c r="JD17" s="375"/>
      <x:c r="JE17" s="375"/>
      <x:c r="JF17" s="375"/>
      <x:c r="JG17" s="375"/>
      <x:c r="JH17" s="375"/>
      <x:c r="JI17" s="375"/>
      <x:c r="JJ17" s="375"/>
      <x:c r="JK17" s="375"/>
      <x:c r="JL17" s="375"/>
      <x:c r="JM17" s="375"/>
      <x:c r="JN17" s="375"/>
      <x:c r="JO17" s="375"/>
      <x:c r="JP17" s="375"/>
      <x:c r="JQ17" s="375"/>
      <x:c r="JR17" s="375"/>
      <x:c r="JS17" s="375"/>
      <x:c r="JT17" s="375"/>
      <x:c r="JU17" s="375"/>
      <x:c r="JV17" s="375"/>
      <x:c r="JW17" s="375"/>
      <x:c r="JX17" s="375"/>
      <x:c r="JY17" s="375"/>
      <x:c r="JZ17" s="375"/>
      <x:c r="KA17" s="375"/>
      <x:c r="KB17" s="375"/>
      <x:c r="KC17" s="375"/>
      <x:c r="KD17" s="375"/>
      <x:c r="KE17" s="375"/>
      <x:c r="KF17" s="375"/>
      <x:c r="KG17" s="375"/>
      <x:c r="KH17" s="375"/>
      <x:c r="KI17" s="375"/>
      <x:c r="KJ17" s="375"/>
      <x:c r="KK17" s="375"/>
      <x:c r="KL17" s="375"/>
      <x:c r="KM17" s="375"/>
      <x:c r="KN17" s="375"/>
      <x:c r="KO17" s="375"/>
      <x:c r="KP17" s="375"/>
      <x:c r="KQ17" s="375"/>
      <x:c r="KR17" s="375"/>
      <x:c r="KS17" s="375"/>
      <x:c r="KT17" s="375"/>
      <x:c r="KU17" s="375"/>
      <x:c r="KV17" s="375"/>
      <x:c r="KW17" s="375"/>
      <x:c r="KX17" s="375"/>
      <x:c r="KY17" s="375"/>
      <x:c r="KZ17" s="375"/>
      <x:c r="LA17" s="375"/>
      <x:c r="LB17" s="375"/>
      <x:c r="LC17" s="375"/>
      <x:c r="LD17" s="375"/>
      <x:c r="LE17" s="375"/>
      <x:c r="LF17" s="375"/>
      <x:c r="LG17" s="375"/>
      <x:c r="LH17" s="375"/>
      <x:c r="LI17" s="375"/>
      <x:c r="LJ17" s="375"/>
      <x:c r="LK17" s="375"/>
      <x:c r="LL17" s="375"/>
      <x:c r="LM17" s="375"/>
      <x:c r="LN17" s="375"/>
      <x:c r="LO17" s="375"/>
      <x:c r="LP17" s="375"/>
      <x:c r="LQ17" s="375"/>
      <x:c r="LR17" s="375"/>
      <x:c r="LS17" s="375"/>
      <x:c r="LT17" s="375"/>
      <x:c r="LU17" s="375"/>
      <x:c r="LV17" s="375"/>
      <x:c r="LW17" s="375"/>
      <x:c r="LX17" s="375"/>
      <x:c r="LY17" s="375"/>
      <x:c r="LZ17" s="375"/>
      <x:c r="MA17" s="375"/>
      <x:c r="MB17" s="375"/>
      <x:c r="MC17" s="375"/>
      <x:c r="MD17" s="375"/>
      <x:c r="ME17" s="375"/>
      <x:c r="MF17" s="375"/>
      <x:c r="MG17" s="375"/>
      <x:c r="MH17" s="375"/>
      <x:c r="MI17" s="375"/>
      <x:c r="MJ17" s="375"/>
      <x:c r="MK17" s="375"/>
      <x:c r="ML17" s="375"/>
      <x:c r="MM17" s="375"/>
      <x:c r="MN17" s="375"/>
      <x:c r="MO17" s="375"/>
      <x:c r="MP17" s="375"/>
      <x:c r="MQ17" s="375"/>
      <x:c r="MR17" s="375"/>
      <x:c r="MS17" s="375"/>
      <x:c r="MT17" s="375"/>
      <x:c r="MU17" s="375"/>
      <x:c r="MV17" s="375"/>
      <x:c r="MW17" s="375"/>
      <x:c r="MX17" s="375"/>
      <x:c r="MY17" s="375"/>
      <x:c r="MZ17" s="375"/>
      <x:c r="NA17" s="375"/>
      <x:c r="NB17" s="375"/>
      <x:c r="NC17" s="375"/>
      <x:c r="ND17" s="375"/>
      <x:c r="NE17" s="375"/>
      <x:c r="NF17" s="375"/>
      <x:c r="NG17" s="375"/>
      <x:c r="NH17" s="375"/>
      <x:c r="NI17" s="375"/>
      <x:c r="NJ17" s="375"/>
      <x:c r="NK17" s="375"/>
      <x:c r="NL17" s="375"/>
      <x:c r="NM17" s="375"/>
      <x:c r="NN17" s="375"/>
      <x:c r="NO17" s="375"/>
      <x:c r="NP17" s="375"/>
      <x:c r="NQ17" s="375"/>
      <x:c r="NR17" s="375"/>
      <x:c r="NS17" s="375"/>
      <x:c r="NT17" s="375"/>
      <x:c r="NU17" s="375"/>
      <x:c r="NV17" s="375"/>
      <x:c r="NW17" s="375"/>
      <x:c r="NX17" s="375"/>
      <x:c r="NY17" s="375"/>
      <x:c r="NZ17" s="375"/>
      <x:c r="OA17" s="375"/>
      <x:c r="OB17" s="375"/>
      <x:c r="OC17" s="375"/>
      <x:c r="OD17" s="375"/>
      <x:c r="OE17" s="375"/>
      <x:c r="OF17" s="375"/>
      <x:c r="OG17" s="375"/>
      <x:c r="OH17" s="375"/>
      <x:c r="OI17" s="375"/>
      <x:c r="OJ17" s="375"/>
      <x:c r="OK17" s="375"/>
      <x:c r="OL17" s="375"/>
      <x:c r="OM17" s="375"/>
      <x:c r="ON17" s="375"/>
      <x:c r="OO17" s="375"/>
      <x:c r="OP17" s="375"/>
      <x:c r="OQ17" s="375"/>
      <x:c r="OR17" s="375"/>
      <x:c r="OS17" s="375"/>
      <x:c r="OT17" s="375"/>
      <x:c r="OU17" s="375"/>
      <x:c r="OV17" s="375"/>
      <x:c r="OW17" s="375"/>
      <x:c r="OX17" s="375"/>
      <x:c r="OY17" s="375"/>
      <x:c r="OZ17" s="375"/>
      <x:c r="PA17" s="375"/>
      <x:c r="PB17" s="375"/>
      <x:c r="PC17" s="375"/>
      <x:c r="PD17" s="375"/>
      <x:c r="PE17" s="375"/>
      <x:c r="PF17" s="375"/>
      <x:c r="PG17" s="375"/>
      <x:c r="PH17" s="375"/>
      <x:c r="PI17" s="375"/>
      <x:c r="PJ17" s="375"/>
      <x:c r="PK17" s="375"/>
      <x:c r="PL17" s="375"/>
      <x:c r="PM17" s="375"/>
      <x:c r="PN17" s="375"/>
      <x:c r="PO17" s="375"/>
      <x:c r="PP17" s="375"/>
      <x:c r="PQ17" s="375"/>
      <x:c r="PR17" s="375"/>
      <x:c r="PS17" s="375"/>
      <x:c r="PT17" s="375"/>
      <x:c r="PU17" s="375"/>
      <x:c r="PV17" s="375"/>
      <x:c r="PW17" s="375"/>
      <x:c r="PX17" s="375"/>
      <x:c r="PY17" s="375"/>
      <x:c r="PZ17" s="375"/>
      <x:c r="QA17" s="375"/>
      <x:c r="QB17" s="375"/>
      <x:c r="QC17" s="375"/>
      <x:c r="QD17" s="375"/>
      <x:c r="QE17" s="375"/>
      <x:c r="QF17" s="375"/>
      <x:c r="QG17" s="375"/>
      <x:c r="QH17" s="375"/>
      <x:c r="QI17" s="375"/>
      <x:c r="QJ17" s="375"/>
      <x:c r="QK17" s="375"/>
      <x:c r="QL17" s="375"/>
      <x:c r="QM17" s="375"/>
      <x:c r="QN17" s="375"/>
      <x:c r="QO17" s="375"/>
      <x:c r="QP17" s="375"/>
      <x:c r="QQ17" s="375"/>
      <x:c r="QR17" s="375"/>
      <x:c r="QS17" s="375"/>
      <x:c r="QT17" s="375"/>
      <x:c r="QU17" s="375"/>
      <x:c r="QV17" s="375"/>
      <x:c r="QW17" s="375"/>
      <x:c r="QX17" s="375"/>
      <x:c r="QY17" s="375"/>
      <x:c r="QZ17" s="375"/>
      <x:c r="RA17" s="375"/>
      <x:c r="RB17" s="375"/>
      <x:c r="RC17" s="375"/>
      <x:c r="RD17" s="375"/>
      <x:c r="RE17" s="375"/>
      <x:c r="RF17" s="375"/>
      <x:c r="RG17" s="375"/>
      <x:c r="RH17" s="375"/>
      <x:c r="RI17" s="375"/>
      <x:c r="RJ17" s="375"/>
      <x:c r="RK17" s="375"/>
      <x:c r="RL17" s="375"/>
      <x:c r="RM17" s="375"/>
      <x:c r="RN17" s="375"/>
      <x:c r="RO17" s="375"/>
      <x:c r="RP17" s="375"/>
      <x:c r="RQ17" s="375"/>
      <x:c r="RR17" s="375"/>
      <x:c r="RS17" s="375"/>
      <x:c r="RT17" s="375"/>
      <x:c r="RU17" s="375"/>
      <x:c r="RV17" s="375"/>
      <x:c r="RW17" s="375"/>
      <x:c r="RX17" s="375"/>
      <x:c r="RY17" s="375"/>
      <x:c r="RZ17" s="375"/>
      <x:c r="SA17" s="375"/>
      <x:c r="SB17" s="375"/>
      <x:c r="SC17" s="375"/>
      <x:c r="SD17" s="375"/>
      <x:c r="SE17" s="375"/>
      <x:c r="SF17" s="375"/>
      <x:c r="SG17" s="375"/>
      <x:c r="SH17" s="375"/>
      <x:c r="SI17" s="375"/>
      <x:c r="SJ17" s="375"/>
      <x:c r="SK17" s="375"/>
      <x:c r="SL17" s="375"/>
      <x:c r="SM17" s="375"/>
      <x:c r="SN17" s="375"/>
      <x:c r="SO17" s="375"/>
      <x:c r="SP17" s="375"/>
      <x:c r="SQ17" s="375"/>
      <x:c r="SR17" s="375"/>
      <x:c r="SS17" s="375"/>
      <x:c r="ST17" s="375"/>
      <x:c r="SU17" s="375"/>
      <x:c r="SV17" s="375"/>
      <x:c r="SW17" s="375"/>
      <x:c r="SX17" s="375"/>
      <x:c r="SY17" s="375"/>
      <x:c r="SZ17" s="375"/>
      <x:c r="TA17" s="375"/>
      <x:c r="TB17" s="375"/>
      <x:c r="TC17" s="375"/>
      <x:c r="TD17" s="375"/>
      <x:c r="TE17" s="375"/>
      <x:c r="TF17" s="375"/>
      <x:c r="TG17" s="375"/>
      <x:c r="TH17" s="375"/>
      <x:c r="TI17" s="375"/>
      <x:c r="TJ17" s="375"/>
      <x:c r="TK17" s="375"/>
      <x:c r="TL17" s="375"/>
      <x:c r="TM17" s="375"/>
      <x:c r="TN17" s="375"/>
      <x:c r="TO17" s="375"/>
      <x:c r="TP17" s="375"/>
      <x:c r="TQ17" s="375"/>
      <x:c r="TR17" s="375"/>
      <x:c r="TS17" s="375"/>
      <x:c r="TT17" s="375"/>
      <x:c r="TU17" s="375"/>
      <x:c r="TV17" s="375"/>
      <x:c r="TW17" s="375"/>
      <x:c r="TX17" s="375"/>
      <x:c r="TY17" s="375"/>
      <x:c r="TZ17" s="375"/>
      <x:c r="UA17" s="375"/>
      <x:c r="UB17" s="375"/>
      <x:c r="UC17" s="375"/>
      <x:c r="UD17" s="375"/>
      <x:c r="UE17" s="375"/>
      <x:c r="UF17" s="375"/>
      <x:c r="UG17" s="375"/>
      <x:c r="UH17" s="375"/>
      <x:c r="UI17" s="375"/>
      <x:c r="UJ17" s="375"/>
      <x:c r="UK17" s="375"/>
      <x:c r="UL17" s="375"/>
      <x:c r="UM17" s="375"/>
      <x:c r="UN17" s="375"/>
      <x:c r="UO17" s="375"/>
      <x:c r="UP17" s="375"/>
      <x:c r="UQ17" s="375"/>
      <x:c r="UR17" s="375"/>
      <x:c r="US17" s="375"/>
      <x:c r="UT17" s="375"/>
      <x:c r="UU17" s="375"/>
      <x:c r="UV17" s="375"/>
      <x:c r="UW17" s="375"/>
      <x:c r="UX17" s="375"/>
      <x:c r="UY17" s="375"/>
      <x:c r="UZ17" s="375"/>
      <x:c r="VA17" s="375"/>
      <x:c r="VB17" s="375"/>
      <x:c r="VC17" s="375"/>
      <x:c r="VD17" s="375"/>
      <x:c r="VE17" s="375"/>
      <x:c r="VF17" s="375"/>
      <x:c r="VG17" s="375"/>
      <x:c r="VH17" s="375"/>
      <x:c r="VI17" s="375"/>
      <x:c r="VJ17" s="375"/>
      <x:c r="VK17" s="375"/>
      <x:c r="VL17" s="375"/>
      <x:c r="VM17" s="375"/>
      <x:c r="VN17" s="375"/>
      <x:c r="VO17" s="375"/>
      <x:c r="VP17" s="375"/>
      <x:c r="VQ17" s="375"/>
      <x:c r="VR17" s="375"/>
      <x:c r="VS17" s="375"/>
      <x:c r="VT17" s="375"/>
      <x:c r="VU17" s="375"/>
      <x:c r="VV17" s="375"/>
      <x:c r="VW17" s="375"/>
      <x:c r="VX17" s="375"/>
      <x:c r="VY17" s="375"/>
      <x:c r="VZ17" s="375"/>
      <x:c r="WA17" s="375"/>
      <x:c r="WB17" s="375"/>
      <x:c r="WC17" s="375"/>
      <x:c r="WD17" s="375"/>
      <x:c r="WE17" s="375"/>
      <x:c r="WF17" s="375"/>
      <x:c r="WG17" s="375"/>
      <x:c r="WH17" s="375"/>
      <x:c r="WI17" s="375"/>
      <x:c r="WJ17" s="375"/>
      <x:c r="WK17" s="375"/>
      <x:c r="WL17" s="375"/>
      <x:c r="WM17" s="375"/>
      <x:c r="WN17" s="375"/>
      <x:c r="WO17" s="375"/>
      <x:c r="WP17" s="375"/>
      <x:c r="WQ17" s="375"/>
      <x:c r="WR17" s="375"/>
      <x:c r="WS17" s="375"/>
      <x:c r="WT17" s="375"/>
      <x:c r="WU17" s="375"/>
      <x:c r="WV17" s="375"/>
      <x:c r="WW17" s="375"/>
      <x:c r="WX17" s="375"/>
      <x:c r="WY17" s="375"/>
      <x:c r="WZ17" s="375"/>
      <x:c r="XA17" s="375"/>
      <x:c r="XB17" s="375"/>
      <x:c r="XC17" s="375"/>
      <x:c r="XD17" s="375"/>
      <x:c r="XE17" s="375"/>
      <x:c r="XF17" s="375"/>
      <x:c r="XG17" s="375"/>
      <x:c r="XH17" s="375"/>
      <x:c r="XI17" s="375"/>
      <x:c r="XJ17" s="375"/>
      <x:c r="XK17" s="375"/>
      <x:c r="XL17" s="375"/>
      <x:c r="XM17" s="375"/>
      <x:c r="XN17" s="375"/>
      <x:c r="XO17" s="375"/>
      <x:c r="XP17" s="375"/>
      <x:c r="XQ17" s="375"/>
      <x:c r="XR17" s="375"/>
      <x:c r="XS17" s="375"/>
      <x:c r="XT17" s="375"/>
      <x:c r="XU17" s="375"/>
      <x:c r="XV17" s="375"/>
      <x:c r="XW17" s="375"/>
      <x:c r="XX17" s="375"/>
      <x:c r="XY17" s="375"/>
      <x:c r="XZ17" s="375"/>
      <x:c r="YA17" s="375"/>
      <x:c r="YB17" s="375"/>
      <x:c r="YC17" s="375"/>
      <x:c r="YD17" s="375"/>
      <x:c r="YE17" s="375"/>
      <x:c r="YF17" s="375"/>
      <x:c r="YG17" s="375"/>
      <x:c r="YH17" s="375"/>
      <x:c r="YI17" s="375"/>
      <x:c r="YJ17" s="375"/>
      <x:c r="YK17" s="375"/>
      <x:c r="YL17" s="375"/>
      <x:c r="YM17" s="375"/>
      <x:c r="YN17" s="375"/>
      <x:c r="YO17" s="375"/>
      <x:c r="YP17" s="375"/>
      <x:c r="YQ17" s="375"/>
      <x:c r="YR17" s="375"/>
      <x:c r="YS17" s="375"/>
      <x:c r="YT17" s="375"/>
      <x:c r="YU17" s="375"/>
      <x:c r="YV17" s="375"/>
      <x:c r="YW17" s="375"/>
      <x:c r="YX17" s="375"/>
      <x:c r="YY17" s="375"/>
      <x:c r="YZ17" s="375"/>
      <x:c r="ZA17" s="375"/>
      <x:c r="ZB17" s="375"/>
      <x:c r="ZC17" s="375"/>
      <x:c r="ZD17" s="375"/>
      <x:c r="ZE17" s="375"/>
      <x:c r="ZF17" s="375"/>
      <x:c r="ZG17" s="375"/>
      <x:c r="ZH17" s="375"/>
      <x:c r="ZI17" s="375"/>
      <x:c r="ZJ17" s="375"/>
      <x:c r="ZK17" s="375"/>
      <x:c r="ZL17" s="375"/>
      <x:c r="ZM17" s="375"/>
      <x:c r="ZN17" s="375"/>
      <x:c r="ZO17" s="375"/>
      <x:c r="ZP17" s="375"/>
      <x:c r="ZQ17" s="375"/>
      <x:c r="ZR17" s="375"/>
      <x:c r="ZS17" s="375"/>
      <x:c r="ZT17" s="375"/>
      <x:c r="ZU17" s="375"/>
      <x:c r="ZV17" s="375"/>
      <x:c r="ZW17" s="375"/>
      <x:c r="ZX17" s="375"/>
      <x:c r="ZY17" s="375"/>
      <x:c r="ZZ17" s="375"/>
      <x:c r="AAA17" s="375"/>
      <x:c r="AAB17" s="375"/>
      <x:c r="AAC17" s="375"/>
      <x:c r="AAD17" s="375"/>
      <x:c r="AAE17" s="375"/>
      <x:c r="AAF17" s="375"/>
      <x:c r="AAG17" s="375"/>
      <x:c r="AAH17" s="375"/>
      <x:c r="AAI17" s="375"/>
      <x:c r="AAJ17" s="375"/>
      <x:c r="AAK17" s="375"/>
      <x:c r="AAL17" s="375"/>
      <x:c r="AAM17" s="375"/>
      <x:c r="AAN17" s="375"/>
      <x:c r="AAO17" s="375"/>
      <x:c r="AAP17" s="375"/>
      <x:c r="AAQ17" s="375"/>
      <x:c r="AAR17" s="375"/>
      <x:c r="AAS17" s="375"/>
      <x:c r="AAT17" s="375"/>
      <x:c r="AAU17" s="375"/>
      <x:c r="AAV17" s="375"/>
      <x:c r="AAW17" s="375"/>
      <x:c r="AAX17" s="375"/>
      <x:c r="AAY17" s="375"/>
      <x:c r="AAZ17" s="375"/>
      <x:c r="ABA17" s="375"/>
      <x:c r="ABB17" s="375"/>
      <x:c r="ABC17" s="375"/>
      <x:c r="ABD17" s="375"/>
      <x:c r="ABE17" s="375"/>
      <x:c r="ABF17" s="375"/>
      <x:c r="ABG17" s="375"/>
      <x:c r="ABH17" s="375"/>
      <x:c r="ABI17" s="375"/>
      <x:c r="ABJ17" s="375"/>
      <x:c r="ABK17" s="375"/>
      <x:c r="ABL17" s="375"/>
      <x:c r="ABM17" s="375"/>
      <x:c r="ABN17" s="375"/>
      <x:c r="ABO17" s="375"/>
      <x:c r="ABP17" s="375"/>
      <x:c r="ABQ17" s="375"/>
      <x:c r="ABR17" s="375"/>
      <x:c r="ABS17" s="375"/>
      <x:c r="ABT17" s="375"/>
      <x:c r="ABU17" s="375"/>
      <x:c r="ABV17" s="375"/>
      <x:c r="ABW17" s="375"/>
      <x:c r="ABX17" s="375"/>
      <x:c r="ABY17" s="375"/>
      <x:c r="ABZ17" s="375"/>
      <x:c r="ACA17" s="375"/>
      <x:c r="ACB17" s="375"/>
      <x:c r="ACC17" s="375"/>
      <x:c r="ACD17" s="375"/>
      <x:c r="ACE17" s="375"/>
      <x:c r="ACF17" s="375"/>
      <x:c r="ACG17" s="375"/>
      <x:c r="ACH17" s="375"/>
      <x:c r="ACI17" s="375"/>
      <x:c r="ACJ17" s="375"/>
      <x:c r="ACK17" s="375"/>
      <x:c r="ACL17" s="375"/>
      <x:c r="ACM17" s="375"/>
      <x:c r="ACN17" s="375"/>
      <x:c r="ACO17" s="375"/>
      <x:c r="ACP17" s="375"/>
      <x:c r="ACQ17" s="375"/>
      <x:c r="ACR17" s="375"/>
      <x:c r="ACS17" s="375"/>
      <x:c r="ACT17" s="375"/>
      <x:c r="ACU17" s="375"/>
      <x:c r="ACV17" s="375"/>
      <x:c r="ACW17" s="375"/>
      <x:c r="ACX17" s="375"/>
      <x:c r="ACY17" s="375"/>
      <x:c r="ACZ17" s="375"/>
      <x:c r="ADA17" s="375"/>
      <x:c r="ADB17" s="375"/>
      <x:c r="ADC17" s="375"/>
      <x:c r="ADD17" s="375"/>
      <x:c r="ADE17" s="375"/>
      <x:c r="ADF17" s="375"/>
      <x:c r="ADG17" s="375"/>
      <x:c r="ADH17" s="375"/>
      <x:c r="ADI17" s="375"/>
      <x:c r="ADJ17" s="375"/>
      <x:c r="ADK17" s="375"/>
      <x:c r="ADL17" s="375"/>
      <x:c r="ADM17" s="375"/>
      <x:c r="ADN17" s="375"/>
      <x:c r="ADO17" s="375"/>
      <x:c r="ADP17" s="375"/>
      <x:c r="ADQ17" s="375"/>
      <x:c r="ADR17" s="375"/>
      <x:c r="ADS17" s="375"/>
      <x:c r="ADT17" s="375"/>
      <x:c r="ADU17" s="375"/>
      <x:c r="ADV17" s="375"/>
      <x:c r="ADW17" s="375"/>
      <x:c r="ADX17" s="375"/>
      <x:c r="ADY17" s="375"/>
      <x:c r="ADZ17" s="375"/>
      <x:c r="AEA17" s="375"/>
      <x:c r="AEB17" s="375"/>
      <x:c r="AEC17" s="375"/>
      <x:c r="AED17" s="375"/>
      <x:c r="AEE17" s="375"/>
      <x:c r="AEF17" s="375"/>
      <x:c r="AEG17" s="375"/>
      <x:c r="AEH17" s="375"/>
      <x:c r="AEI17" s="375"/>
      <x:c r="AEJ17" s="375"/>
      <x:c r="AEK17" s="375"/>
      <x:c r="AEL17" s="375"/>
      <x:c r="AEM17" s="375"/>
      <x:c r="AEN17" s="375"/>
      <x:c r="AEO17" s="375"/>
      <x:c r="AEP17" s="375"/>
      <x:c r="AEQ17" s="375"/>
      <x:c r="AER17" s="375"/>
      <x:c r="AES17" s="375"/>
      <x:c r="AET17" s="375"/>
      <x:c r="AEU17" s="375"/>
      <x:c r="AEV17" s="375"/>
      <x:c r="AEW17" s="375"/>
      <x:c r="AEX17" s="375"/>
      <x:c r="AEY17" s="375"/>
      <x:c r="AEZ17" s="375"/>
      <x:c r="AFA17" s="375"/>
      <x:c r="AFB17" s="375"/>
      <x:c r="AFC17" s="375"/>
      <x:c r="AFD17" s="375"/>
      <x:c r="AFE17" s="375"/>
      <x:c r="AFF17" s="375"/>
      <x:c r="AFG17" s="375"/>
      <x:c r="AFH17" s="375"/>
      <x:c r="AFI17" s="375"/>
      <x:c r="AFJ17" s="375"/>
      <x:c r="AFK17" s="375"/>
      <x:c r="AFL17" s="375"/>
      <x:c r="AFM17" s="375"/>
      <x:c r="AFN17" s="375"/>
      <x:c r="AFO17" s="375"/>
      <x:c r="AFP17" s="375"/>
      <x:c r="AFQ17" s="375"/>
      <x:c r="AFR17" s="375"/>
      <x:c r="AFS17" s="375"/>
      <x:c r="AFT17" s="375"/>
      <x:c r="AFU17" s="375"/>
      <x:c r="AFV17" s="375"/>
      <x:c r="AFW17" s="375"/>
      <x:c r="AFX17" s="375"/>
      <x:c r="AFY17" s="375"/>
      <x:c r="AFZ17" s="375"/>
      <x:c r="AGA17" s="375"/>
      <x:c r="AGB17" s="375"/>
      <x:c r="AGC17" s="375"/>
      <x:c r="AGD17" s="375"/>
      <x:c r="AGE17" s="375"/>
      <x:c r="AGF17" s="375"/>
      <x:c r="AGG17" s="375"/>
      <x:c r="AGH17" s="375"/>
      <x:c r="AGI17" s="375"/>
      <x:c r="AGJ17" s="375"/>
      <x:c r="AGK17" s="375"/>
      <x:c r="AGL17" s="375"/>
      <x:c r="AGM17" s="375"/>
      <x:c r="AGN17" s="375"/>
      <x:c r="AGO17" s="375"/>
      <x:c r="AGP17" s="375"/>
      <x:c r="AGQ17" s="375"/>
      <x:c r="AGR17" s="375"/>
      <x:c r="AGS17" s="375"/>
      <x:c r="AGT17" s="375"/>
      <x:c r="AGU17" s="375"/>
      <x:c r="AGV17" s="375"/>
      <x:c r="AGW17" s="375"/>
      <x:c r="AGX17" s="375"/>
      <x:c r="AGY17" s="375"/>
      <x:c r="AGZ17" s="375"/>
      <x:c r="AHA17" s="375"/>
      <x:c r="AHB17" s="375"/>
      <x:c r="AHC17" s="375"/>
      <x:c r="AHD17" s="375"/>
      <x:c r="AHE17" s="375"/>
      <x:c r="AHF17" s="375"/>
      <x:c r="AHG17" s="375"/>
      <x:c r="AHH17" s="375"/>
      <x:c r="AHI17" s="375"/>
      <x:c r="AHJ17" s="375"/>
      <x:c r="AHK17" s="375"/>
      <x:c r="AHL17" s="375"/>
      <x:c r="AHM17" s="375"/>
      <x:c r="AHN17" s="375"/>
      <x:c r="AHO17" s="375"/>
      <x:c r="AHP17" s="375"/>
      <x:c r="AHQ17" s="375"/>
      <x:c r="AHR17" s="375"/>
      <x:c r="AHS17" s="375"/>
      <x:c r="AHT17" s="375"/>
      <x:c r="AHU17" s="375"/>
      <x:c r="AHV17" s="375"/>
      <x:c r="AHW17" s="375"/>
      <x:c r="AHX17" s="375"/>
      <x:c r="AHY17" s="375"/>
      <x:c r="AHZ17" s="375"/>
      <x:c r="AIA17" s="375"/>
      <x:c r="AIB17" s="375"/>
      <x:c r="AIC17" s="375"/>
      <x:c r="AID17" s="375"/>
      <x:c r="AIE17" s="375"/>
      <x:c r="AIF17" s="375"/>
      <x:c r="AIG17" s="375"/>
      <x:c r="AIH17" s="375"/>
      <x:c r="AII17" s="375"/>
      <x:c r="AIJ17" s="375"/>
      <x:c r="AIK17" s="375"/>
      <x:c r="AIL17" s="375"/>
      <x:c r="AIM17" s="375"/>
      <x:c r="AIN17" s="375"/>
      <x:c r="AIO17" s="375"/>
      <x:c r="AIP17" s="375"/>
      <x:c r="AIQ17" s="375"/>
      <x:c r="AIR17" s="375"/>
      <x:c r="AIS17" s="375"/>
      <x:c r="AIT17" s="375"/>
      <x:c r="AIU17" s="375"/>
      <x:c r="AIV17" s="375"/>
      <x:c r="AIW17" s="375"/>
      <x:c r="AIX17" s="375"/>
      <x:c r="AIY17" s="375"/>
      <x:c r="AIZ17" s="375"/>
      <x:c r="AJA17" s="375"/>
      <x:c r="AJB17" s="375"/>
      <x:c r="AJC17" s="375"/>
      <x:c r="AJD17" s="375"/>
      <x:c r="AJE17" s="375"/>
      <x:c r="AJF17" s="375"/>
      <x:c r="AJG17" s="375"/>
      <x:c r="AJH17" s="375"/>
      <x:c r="AJI17" s="375"/>
      <x:c r="AJJ17" s="375"/>
      <x:c r="AJK17" s="375"/>
      <x:c r="AJL17" s="375"/>
      <x:c r="AJM17" s="375"/>
      <x:c r="AJN17" s="375"/>
      <x:c r="AJO17" s="375"/>
      <x:c r="AJP17" s="375"/>
      <x:c r="AJQ17" s="375"/>
      <x:c r="AJR17" s="375"/>
      <x:c r="AJS17" s="375"/>
      <x:c r="AJT17" s="375"/>
      <x:c r="AJU17" s="375"/>
      <x:c r="AJV17" s="375"/>
      <x:c r="AJW17" s="375"/>
      <x:c r="AJX17" s="375"/>
      <x:c r="AJY17" s="375"/>
      <x:c r="AJZ17" s="375"/>
      <x:c r="AKA17" s="375"/>
      <x:c r="AKB17" s="375"/>
      <x:c r="AKC17" s="375"/>
      <x:c r="AKD17" s="375"/>
      <x:c r="AKE17" s="375"/>
      <x:c r="AKF17" s="375"/>
      <x:c r="AKG17" s="375"/>
      <x:c r="AKH17" s="375"/>
      <x:c r="AKI17" s="375"/>
      <x:c r="AKJ17" s="375"/>
      <x:c r="AKK17" s="375"/>
      <x:c r="AKL17" s="375"/>
      <x:c r="AKM17" s="375"/>
      <x:c r="AKN17" s="375"/>
      <x:c r="AKO17" s="375"/>
      <x:c r="AKP17" s="375"/>
      <x:c r="AKQ17" s="375"/>
      <x:c r="AKR17" s="375"/>
      <x:c r="AKS17" s="375"/>
      <x:c r="AKT17" s="375"/>
      <x:c r="AKU17" s="375"/>
      <x:c r="AKV17" s="375"/>
      <x:c r="AKW17" s="375"/>
      <x:c r="AKX17" s="375"/>
      <x:c r="AKY17" s="375"/>
      <x:c r="AKZ17" s="375"/>
      <x:c r="ALA17" s="375"/>
      <x:c r="ALB17" s="375"/>
      <x:c r="ALC17" s="375"/>
      <x:c r="ALD17" s="375"/>
      <x:c r="ALE17" s="375"/>
      <x:c r="ALF17" s="375"/>
      <x:c r="ALG17" s="375"/>
      <x:c r="ALH17" s="375"/>
      <x:c r="ALI17" s="375"/>
      <x:c r="ALJ17" s="375"/>
      <x:c r="ALK17" s="375"/>
      <x:c r="ALL17" s="375"/>
      <x:c r="ALM17" s="375"/>
      <x:c r="ALN17" s="375"/>
      <x:c r="ALO17" s="375"/>
      <x:c r="ALP17" s="375"/>
      <x:c r="ALQ17" s="375"/>
      <x:c r="ALR17" s="375"/>
      <x:c r="ALS17" s="375"/>
      <x:c r="ALT17" s="375"/>
      <x:c r="ALU17" s="375"/>
      <x:c r="ALV17" s="375"/>
      <x:c r="ALW17" s="375"/>
      <x:c r="ALX17" s="375"/>
      <x:c r="ALY17" s="375"/>
      <x:c r="ALZ17" s="375"/>
      <x:c r="AMA17" s="375"/>
      <x:c r="AMB17" s="375"/>
      <x:c r="AMC17" s="375"/>
      <x:c r="AMD17" s="375"/>
      <x:c r="AME17" s="375"/>
      <x:c r="AMF17" s="375"/>
      <x:c r="AMG17" s="375"/>
      <x:c r="AMH17" s="375"/>
      <x:c r="AMI17" s="375"/>
      <x:c r="AMJ17" s="375"/>
      <x:c r="AMK17" s="375"/>
    </x:row>
    <x:row r="18" ht="143" hidden="0" customHeight="1">
      <x:c r="A18" s="382" t="str">
        <x:v>01-yurina-A2-s-1</x:v>
      </x:c>
      <x:c r="B18" s="382" t="str">
        <x:v>yurina</x:v>
      </x:c>
      <x:c r="C18" s="382" t="str">
        <x:v>A2</x:v>
      </x:c>
      <x:c r="D18" s="382" t="str">
        <x:v>01-yurina-o-s-1</x:v>
      </x:c>
      <x:c r="E18" s="382" t="str">
        <x:v>神座渡</x:v>
      </x:c>
      <x:c r="F18" s="382" t="str">
        <x:v>かむくらわたし</x:v>
      </x:c>
      <x:c r="G18" s="382" t="str">
        <x:v>神座渡</x:v>
      </x:c>
      <x:c r="H18" s="381" t="str">
        <x:v>神座渡</x:v>
      </x:c>
      <x:c r="I18" s="384"/>
      <x:c r="J18" s="381" t="str">
        <x:v>신좌를 건네다</x:v>
      </x:c>
      <x:c r="K18" s="375" t="str">
        <x:v>Kamukura Legacy</x:v>
      </x:c>
      <x:c r="L18" s="382"/>
      <x:c r="M18" s="382" t="str">
        <x:v>切札</x:v>
      </x:c>
      <x:c r="N18" s="382"/>
      <x:c r="O18" s="382"/>
      <x:c r="P18" s="382"/>
      <x:c r="Q18" s="382"/>
      <x:c r="R18" s="382" t="str">
        <x:v>攻撃</x:v>
      </x:c>
      <x:c r="S18" s="382" t="str">
        <x:v>全力</x:v>
      </x:c>
      <x:c r="T18" s="382" t="str">
        <x:v>0-5</x:v>
      </x:c>
      <x:c r="U18" s="383"/>
      <x:c r="V18" s="382" t="str">
        <x:v>X/2</x:v>
      </x:c>
      <x:c r="W18" s="383"/>
      <x:c r="X18" s="382"/>
      <x:c r="Y18" s="382"/>
      <x:c r="Z18" s="382" t="str">
        <x:v>X</x:v>
      </x:c>
      <x:c r="AA18" s="382"/>
      <x:c r="AB18" s="382"/>
      <x:c r="AC18" s="381"/>
      <x:c r="AD18" s="381"/>
      <x:c r="AE18" s="440" t="str">
        <x:v>対応不可
【常時】Xはこのカードのコストを支払う際のあなたのフレアに等しい。
【攻撃後】基本動作《纏い》か《宿し》を合計X回まで行う。あなたの使用済の切札をX枚まで選び、それらを未使用に戻す。このターンの間、手札の上限がX増加する。</x:v>
      </x:c>
      <x:c r="AF18" s="459"/>
      <x:c r="AG18" s="441" t="str">
        <x:v>不可被对应
【常时】X等于此牌支付费用时自气的数量。
【攻击后】进行基本动作《装附》或《聚气》合计X次，选择X张已使用的王牌变回未使用。这个回合，你的手牌上限+X。</x:v>
      </x:c>
      <x:c r="AH18" s="440"/>
      <x:c r="AI18" s="441" t="str">
        <x:v>不可被对应
【常时】X等于支付此牌费用时自气中的樱花结晶的数目。 （修正王牌费用的效果于此效果之后结算）
【攻击后】以任意顺序执行至多X次基本动作《装附》或基本动作《聚气》。选择至多X张妳的已使用状态的王牌，将其变为未使用状态。本回合内，妳的手牌上限增大X。</x:v>
      </x:c>
      <x:c r="AJ18" s="460"/>
      <x:c r="AK18" s="460" t="str">
        <x:v>대응불가
【상시】X는 이 카드의 코스트를 지불할 때의 당신의 플레어와 같다.
【공격후】기본동작 《휘감기》 또는 《품기》를 총 X회까지 수행한다.
당신의 사용됨 상태의 비장패를 X장까지 선택하여 그것을 미사용 상태로 되돌린다.
이 턴 동안 당신의 손패 최대치가 X만큼 증가한다.</x:v>
      </x:c>
      <x:c r="AL18" s="441"/>
      <x:c r="AM18" s="442" t="str">
        <x:v>No Reactions
Forced: X is equal to the number of Sakura tokens on your Flare as you pay this card's cost.
After Attack: Perform up to X total Recover or Focus basic actions. Choose up to X of your Devoted Special cards and turn them face-down. Your maximum hand size is increased by X this turn.</x:v>
      </x:c>
      <x:c r="AN18" s="440"/>
      <x:c r="AO18" s="440"/>
      <x:c r="AP18" s="440"/>
      <x:c r="AQ18" s="440"/>
      <x:c r="AR18" s="440"/>
      <x:c r="AS18" s="440"/>
      <x:c r="AT18" s="378" t="str">
        <x:f aca="0">IF(A18="", "","'"&amp;A18&amp;"': {megami: '"&amp;B18&amp;"'"&amp;IF(C18&lt;&gt;"",", anotherID: '"&amp;C18&amp;"', replace: '"&amp;D18&amp;"'","")&amp;", name: '"&amp;SUBSTITUTE(E18,"'","\'")&amp;"', nameEn: '"&amp;SUBSTITUTE(K18,"'","\'")&amp;"', nameZh: '"&amp;SUBSTITUTE(G18,"'","\'")&amp;"', nameZhG17: '"&amp;SUBSTITUTE(H18,"'","\'")&amp;"', nameKo: '"&amp;SUBSTITUTE(J18,"'","\'")&amp;"', ruby: '"&amp;F18&amp;"', rubyEn: '"&amp;L18&amp;IF(I18&lt;&gt;"", "', rubyZh: '"&amp;I18, "")&amp;"', baseType: '"&amp;IF(M18="通常札","normal",IF(M18="切札","special",IF(M18="追加札","extra",IF(M18="transform","transform",IF(M18="嵐","storm",IF(M18="兵員","troop",IF(M18="構想","plan",IF(M18="メインパーツ","mainParts",IF(M18="カスタムパーツ","customParts",IF(M18="運命","fate",IF(M18="仮想樹","virtualTree","")))))))))))&amp;"'"&amp;IF(N18="○",", extra: true","")&amp;IF(O18&lt;&gt;"",", extraFrom: '"&amp;O18&amp;"'","")&amp;IF(P18&lt;&gt;"",", exchangableTo: '"&amp;P18&amp;"'","")&amp;IF(Q18="○",", poison: true","")&amp;IF(R18&lt;&gt;"", ", type: '"&amp;IF(R18="攻撃","attack",IF(R18="行動","action",IF(R18="不定","variable",IF(R18="対応","reaction",IF(R18="全力","fullpower",IF(R18="付与","enhance",IF(R18="transform","transform","")))))))&amp;"'", "")&amp;IF(S18&lt;&gt;"",", subType: '"&amp;IF(S18="攻撃","attack",IF(S18="行動","action",IF(S18="不定","variable",IF(S18="対応","reaction",IF(S18="全力","fullpower",IF(S18="付与","enhance",IF(S18="transform","transform","")))))))&amp;"'","")&amp;""&amp;IF(T18&lt;&gt;"",",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textZhG17: '"&amp;SUBSTITUTE(SUBSTITUTE(SUBSTITUTE(AI18, CHAR(13), ""),CHAR(10),"\n"),"'","\'")&amp;IF(AH18&lt;&gt;"", "', textZhAdditional: '"&amp;SUBSTITUTE(SUBSTITUTE(AH18, CHAR(13), ""),CHAR(10),"\n"), "")&amp;IF(AK18&lt;&gt;"", "', textZhG17Additional: '"&amp;SUBSTITUTE(SUBSTITUTE(AK18, CHAR(13), ""),CHAR(10),"\n"), "")&amp;"', textKo: '"&amp;SUBSTITUTE(SUBSTITUTE(SUBSTITUTE(AM18, CHAR(13), ""),CHAR(10),"\n"),"'","\'")&amp;IF(AM18&lt;&gt;"", "', textKoAdditional: '"&amp;SUBSTITUTE(SUBSTITUTE(AM18, CHAR(13), ""),CHAR(10),"\n"), "")&amp;"', textEn: '"&amp;SUBSTITUTE(SUBSTITUTE(SUBSTITUTE(AM18, CHAR(13), ""),CHAR(10),"\n"),"'","\'")&amp;IF(AN18&lt;&gt;"", "', textEnAdditional: '"&amp;SUBSTITUTE(SUBSTITUTE(AN18, CHAR(13), ""),CHAR(10),"\n"), "")&amp;"'"&amp;IF(AB18="○",", sealable: true","")&amp;IF(AC18="○",", removable: true","")&amp;IF(AA18="○",", lie: true","")&amp;IF(AD18="○",", investable: true","")&amp;"},")</x:f>
        <x:v>'01-yurina-A2-s-1': {megami: 'yurina', anotherID: 'A2', replace: '01-yurina-o-s-1', name: '神座渡', nameEn: 'Kamukura Legacy', nameZh: '神座渡', nameZhG17: '神座渡', nameKo: '신좌를 건네다', ruby: 'かむくらわたし', rubyEn: '', baseType: 'special', type: 'attack', subType: 'fullpower', range: '0-5', damage: 'X/2', cost: 'X', text: '対応不可\n【常時】Xはこのカードのコストを支払う際のあなたのフレアに等しい。\n【攻撃後】基本動作《纏い》か《宿し》を合計X回まで行う。あなたの使用済の切札をX枚まで選び、それらを未使用に戻す。このターンの間、手札の上限がX増加する。', textZh: '不可被对应\n【常时】X等于此牌支付费用时自气的数量。\n【攻击后】进行基本动作《装附》或《聚气》合计X次，选择X张已使用的王牌变回未使用。这个回合，你的手牌上限+X。', textZhG17: '不可被对应\n【常时】X等于支付此牌费用时自气中的樱花结晶的数目。 （修正王牌费用的效果于此效果之后结算）\n【攻击后】以任意顺序执行至多X次基本动作《装附》或基本动作《聚气》。选择至多X张妳的已使用状态的王牌，将其变为未使用状态。本回合内，妳的手牌上限增大X。', textZhG17Additional: '대응불가\n【상시】X는 이 카드의 코스트를 지불할 때의 당신의 플레어와 같다.\n【공격후】기본동작 《휘감기》 또는 《품기》를 총 X회까지 수행한다.\n당신의 사용됨 상태의 비장패를 X장까지 선택하여 그것을 미사용 상태로 되돌린다.\n이 턴 동안 당신의 손패 최대치가 X만큼 증가한다.', textKo: 'No Reactions\n\nForced: X is equal to the number of Sakura tokens on your Flare as you pay this card\'s cost.\n\nAfter Attack: Perform up to X total Recover or Focus basic actions. Choose up to X of your Devoted Special cards and turn them face-down. Your maximum hand size is increased by X this turn.', textKoAdditional: 'No Reactions\n\nForced: X is equal to the number of Sakura tokens on your Flare as you pay this card's cost.\n\nAfter Attack: Perform up to X total Recover or Focus basic actions. Choose up to X of your Devoted Special cards and turn them face-down. Your maximum hand size is increased by X this turn.', textEn: 'No Reactions\n\nForced: X is equal to the number of Sakura tokens on your Flare as you pay this card\'s cost.\n\nAfter Attack: Perform up to X total Recover or Focus basic actions. Choose up to X of your Devoted Special cards and turn them face-down. Your maximum hand size is increased by X this turn.'},</x:v>
      </x:c>
      <x:c r="AU18" s="379" t="str">
        <x:f aca="0">IF($A18&lt;&gt;"", "    /** 《"&amp;$E18&amp;"》 */ export const "&amp;SUBSTITUTE(UPPER(IF(MID($A18, 3, 1)="-", RIGHT($A18,LEN($A18)-3), $A18)), "-", "_")&amp;": TCardId = '"&amp;$A18&amp;"';", "")</x:f>
        <x:v>    /** 《神座渡》 */ export const YURINA_A2_S_1: TCardId = '01-yurina-A2-s-1';</x:v>
      </x:c>
      <x:c r="AV18" s="380" t="str">
        <x:f aca="0">IF($A19&lt;&gt;"", "    | '"&amp;$A19&amp;"'", "")</x:f>
        <x:v>    | '02-saine-o-n-1'</x:v>
      </x:c>
      <x:c r="AW18" s="381"/>
      <x:c r="AX18" s="381"/>
      <x:c r="AY18" s="381"/>
      <x:c r="AZ18" s="381"/>
      <x:c r="BA18" s="381"/>
      <x:c r="BB18" s="381"/>
      <x:c r="BC18" s="381"/>
      <x:c r="BD18" s="381"/>
      <x:c r="BE18" s="381"/>
      <x:c r="BF18" s="381"/>
      <x:c r="BG18" s="381"/>
      <x:c r="BH18" s="381"/>
      <x:c r="BI18" s="381"/>
      <x:c r="BJ18" s="381"/>
      <x:c r="BK18" s="381"/>
      <x:c r="BL18" s="381"/>
      <x:c r="BM18" s="381"/>
      <x:c r="BN18" s="381"/>
      <x:c r="BO18" s="381"/>
      <x:c r="BP18" s="381"/>
      <x:c r="BQ18" s="375"/>
      <x:c r="BR18" s="375"/>
      <x:c r="BS18" s="375"/>
      <x:c r="BT18" s="375"/>
      <x:c r="BU18" s="375"/>
      <x:c r="BV18" s="375"/>
      <x:c r="BW18" s="375"/>
      <x:c r="BX18" s="375"/>
      <x:c r="BY18" s="375"/>
      <x:c r="BZ18" s="375"/>
      <x:c r="CA18" s="375"/>
      <x:c r="CB18" s="375"/>
      <x:c r="CC18" s="375"/>
      <x:c r="CD18" s="375"/>
      <x:c r="CE18" s="375"/>
      <x:c r="CF18" s="375"/>
      <x:c r="CG18" s="375"/>
      <x:c r="CH18" s="375"/>
      <x:c r="CI18" s="375"/>
      <x:c r="CJ18" s="375"/>
      <x:c r="CK18" s="375"/>
      <x:c r="CL18" s="375"/>
      <x:c r="CM18" s="375"/>
      <x:c r="CN18" s="375"/>
      <x:c r="CO18" s="375"/>
      <x:c r="CP18" s="375"/>
      <x:c r="CQ18" s="375"/>
      <x:c r="CR18" s="375"/>
      <x:c r="CS18" s="375"/>
      <x:c r="CT18" s="375"/>
      <x:c r="CU18" s="375"/>
      <x:c r="CV18" s="375"/>
      <x:c r="CW18" s="375"/>
      <x:c r="CX18" s="375"/>
      <x:c r="CY18" s="375"/>
      <x:c r="CZ18" s="375"/>
      <x:c r="DA18" s="375"/>
      <x:c r="DB18" s="375"/>
      <x:c r="DC18" s="375"/>
      <x:c r="DD18" s="375"/>
      <x:c r="DE18" s="375"/>
      <x:c r="DF18" s="375"/>
      <x:c r="DG18" s="375"/>
      <x:c r="DH18" s="375"/>
      <x:c r="DI18" s="375"/>
      <x:c r="DJ18" s="375"/>
      <x:c r="DK18" s="375"/>
      <x:c r="DL18" s="375"/>
      <x:c r="DM18" s="375"/>
      <x:c r="DN18" s="375"/>
      <x:c r="DO18" s="375"/>
      <x:c r="DP18" s="375"/>
      <x:c r="DQ18" s="375"/>
      <x:c r="DR18" s="375"/>
      <x:c r="DS18" s="375"/>
      <x:c r="DT18" s="375"/>
      <x:c r="DU18" s="375"/>
      <x:c r="DV18" s="375"/>
      <x:c r="DW18" s="375"/>
      <x:c r="DX18" s="375"/>
      <x:c r="DY18" s="375"/>
      <x:c r="DZ18" s="375"/>
      <x:c r="EA18" s="375"/>
      <x:c r="EB18" s="375"/>
      <x:c r="EC18" s="375"/>
      <x:c r="ED18" s="375"/>
      <x:c r="EE18" s="375"/>
      <x:c r="EF18" s="375"/>
      <x:c r="EG18" s="375"/>
      <x:c r="EH18" s="375"/>
      <x:c r="EI18" s="375"/>
      <x:c r="EJ18" s="375"/>
      <x:c r="EK18" s="375"/>
      <x:c r="EL18" s="375"/>
      <x:c r="EM18" s="375"/>
      <x:c r="EN18" s="375"/>
      <x:c r="EO18" s="375"/>
      <x:c r="EP18" s="375"/>
      <x:c r="EQ18" s="375"/>
      <x:c r="ER18" s="375"/>
      <x:c r="ES18" s="375"/>
      <x:c r="ET18" s="375"/>
      <x:c r="EU18" s="375"/>
      <x:c r="EV18" s="375"/>
      <x:c r="EW18" s="375"/>
      <x:c r="EX18" s="375"/>
      <x:c r="EY18" s="375"/>
      <x:c r="EZ18" s="375"/>
      <x:c r="FA18" s="375"/>
      <x:c r="FB18" s="375"/>
      <x:c r="FC18" s="375"/>
      <x:c r="FD18" s="375"/>
      <x:c r="FE18" s="375"/>
      <x:c r="FF18" s="375"/>
      <x:c r="FG18" s="375"/>
      <x:c r="FH18" s="375"/>
      <x:c r="FI18" s="375"/>
      <x:c r="FJ18" s="375"/>
      <x:c r="FK18" s="375"/>
      <x:c r="FL18" s="375"/>
      <x:c r="FM18" s="375"/>
      <x:c r="FN18" s="375"/>
      <x:c r="FO18" s="375"/>
      <x:c r="FP18" s="375"/>
      <x:c r="FQ18" s="375"/>
      <x:c r="FR18" s="375"/>
      <x:c r="FS18" s="375"/>
      <x:c r="FT18" s="375"/>
      <x:c r="FU18" s="375"/>
      <x:c r="FV18" s="375"/>
      <x:c r="FW18" s="375"/>
      <x:c r="FX18" s="375"/>
      <x:c r="FY18" s="375"/>
      <x:c r="FZ18" s="375"/>
      <x:c r="GA18" s="375"/>
      <x:c r="GB18" s="375"/>
      <x:c r="GC18" s="375"/>
      <x:c r="GD18" s="375"/>
      <x:c r="GE18" s="375"/>
      <x:c r="GF18" s="375"/>
      <x:c r="GG18" s="375"/>
      <x:c r="GH18" s="375"/>
      <x:c r="GI18" s="375"/>
      <x:c r="GJ18" s="375"/>
      <x:c r="GK18" s="375"/>
      <x:c r="GL18" s="375"/>
      <x:c r="GM18" s="375"/>
      <x:c r="GN18" s="375"/>
      <x:c r="GO18" s="375"/>
      <x:c r="GP18" s="375"/>
      <x:c r="GQ18" s="375"/>
      <x:c r="GR18" s="375"/>
      <x:c r="GS18" s="375"/>
      <x:c r="GT18" s="375"/>
      <x:c r="GU18" s="375"/>
      <x:c r="GV18" s="375"/>
      <x:c r="GW18" s="375"/>
      <x:c r="GX18" s="375"/>
      <x:c r="GY18" s="375"/>
      <x:c r="GZ18" s="375"/>
      <x:c r="HA18" s="375"/>
      <x:c r="HB18" s="375"/>
      <x:c r="HC18" s="375"/>
      <x:c r="HD18" s="375"/>
      <x:c r="HE18" s="375"/>
      <x:c r="HF18" s="375"/>
      <x:c r="HG18" s="375"/>
      <x:c r="HH18" s="375"/>
      <x:c r="HI18" s="375"/>
      <x:c r="HJ18" s="375"/>
      <x:c r="HK18" s="375"/>
      <x:c r="HL18" s="375"/>
      <x:c r="HM18" s="375"/>
      <x:c r="HN18" s="375"/>
      <x:c r="HO18" s="375"/>
      <x:c r="HP18" s="375"/>
      <x:c r="HQ18" s="375"/>
      <x:c r="HR18" s="375"/>
      <x:c r="HS18" s="375"/>
      <x:c r="HT18" s="375"/>
      <x:c r="HU18" s="375"/>
      <x:c r="HV18" s="375"/>
      <x:c r="HW18" s="375"/>
      <x:c r="HX18" s="375"/>
      <x:c r="HY18" s="375"/>
      <x:c r="HZ18" s="375"/>
      <x:c r="IA18" s="375"/>
      <x:c r="IB18" s="375"/>
      <x:c r="IC18" s="375"/>
      <x:c r="ID18" s="375"/>
      <x:c r="IE18" s="375"/>
      <x:c r="IF18" s="375"/>
      <x:c r="IG18" s="375"/>
      <x:c r="IH18" s="375"/>
      <x:c r="II18" s="375"/>
      <x:c r="IJ18" s="375"/>
      <x:c r="IK18" s="375"/>
      <x:c r="IL18" s="375"/>
      <x:c r="IM18" s="375"/>
      <x:c r="IN18" s="375"/>
      <x:c r="IO18" s="375"/>
      <x:c r="IP18" s="375"/>
      <x:c r="IQ18" s="375"/>
      <x:c r="IR18" s="375"/>
      <x:c r="IS18" s="375"/>
      <x:c r="IT18" s="375"/>
      <x:c r="IU18" s="375"/>
      <x:c r="IV18" s="375"/>
      <x:c r="IW18" s="375"/>
      <x:c r="IX18" s="375"/>
      <x:c r="IY18" s="375"/>
      <x:c r="IZ18" s="375"/>
      <x:c r="JA18" s="375"/>
      <x:c r="JB18" s="375"/>
      <x:c r="JC18" s="375"/>
      <x:c r="JD18" s="375"/>
      <x:c r="JE18" s="375"/>
      <x:c r="JF18" s="375"/>
      <x:c r="JG18" s="375"/>
      <x:c r="JH18" s="375"/>
      <x:c r="JI18" s="375"/>
      <x:c r="JJ18" s="375"/>
      <x:c r="JK18" s="375"/>
      <x:c r="JL18" s="375"/>
      <x:c r="JM18" s="375"/>
      <x:c r="JN18" s="375"/>
      <x:c r="JO18" s="375"/>
      <x:c r="JP18" s="375"/>
      <x:c r="JQ18" s="375"/>
      <x:c r="JR18" s="375"/>
      <x:c r="JS18" s="375"/>
      <x:c r="JT18" s="375"/>
      <x:c r="JU18" s="375"/>
      <x:c r="JV18" s="375"/>
      <x:c r="JW18" s="375"/>
      <x:c r="JX18" s="375"/>
      <x:c r="JY18" s="375"/>
      <x:c r="JZ18" s="375"/>
      <x:c r="KA18" s="375"/>
      <x:c r="KB18" s="375"/>
      <x:c r="KC18" s="375"/>
      <x:c r="KD18" s="375"/>
      <x:c r="KE18" s="375"/>
      <x:c r="KF18" s="375"/>
      <x:c r="KG18" s="375"/>
      <x:c r="KH18" s="375"/>
      <x:c r="KI18" s="375"/>
      <x:c r="KJ18" s="375"/>
      <x:c r="KK18" s="375"/>
      <x:c r="KL18" s="375"/>
      <x:c r="KM18" s="375"/>
      <x:c r="KN18" s="375"/>
      <x:c r="KO18" s="375"/>
      <x:c r="KP18" s="375"/>
      <x:c r="KQ18" s="375"/>
      <x:c r="KR18" s="375"/>
      <x:c r="KS18" s="375"/>
      <x:c r="KT18" s="375"/>
      <x:c r="KU18" s="375"/>
      <x:c r="KV18" s="375"/>
      <x:c r="KW18" s="375"/>
      <x:c r="KX18" s="375"/>
      <x:c r="KY18" s="375"/>
      <x:c r="KZ18" s="375"/>
      <x:c r="LA18" s="375"/>
      <x:c r="LB18" s="375"/>
      <x:c r="LC18" s="375"/>
      <x:c r="LD18" s="375"/>
      <x:c r="LE18" s="375"/>
      <x:c r="LF18" s="375"/>
      <x:c r="LG18" s="375"/>
      <x:c r="LH18" s="375"/>
      <x:c r="LI18" s="375"/>
      <x:c r="LJ18" s="375"/>
      <x:c r="LK18" s="375"/>
      <x:c r="LL18" s="375"/>
      <x:c r="LM18" s="375"/>
      <x:c r="LN18" s="375"/>
      <x:c r="LO18" s="375"/>
      <x:c r="LP18" s="375"/>
      <x:c r="LQ18" s="375"/>
      <x:c r="LR18" s="375"/>
      <x:c r="LS18" s="375"/>
      <x:c r="LT18" s="375"/>
      <x:c r="LU18" s="375"/>
      <x:c r="LV18" s="375"/>
      <x:c r="LW18" s="375"/>
      <x:c r="LX18" s="375"/>
      <x:c r="LY18" s="375"/>
      <x:c r="LZ18" s="375"/>
      <x:c r="MA18" s="375"/>
      <x:c r="MB18" s="375"/>
      <x:c r="MC18" s="375"/>
      <x:c r="MD18" s="375"/>
      <x:c r="ME18" s="375"/>
      <x:c r="MF18" s="375"/>
      <x:c r="MG18" s="375"/>
      <x:c r="MH18" s="375"/>
      <x:c r="MI18" s="375"/>
      <x:c r="MJ18" s="375"/>
      <x:c r="MK18" s="375"/>
      <x:c r="ML18" s="375"/>
      <x:c r="MM18" s="375"/>
      <x:c r="MN18" s="375"/>
      <x:c r="MO18" s="375"/>
      <x:c r="MP18" s="375"/>
      <x:c r="MQ18" s="375"/>
      <x:c r="MR18" s="375"/>
      <x:c r="MS18" s="375"/>
      <x:c r="MT18" s="375"/>
      <x:c r="MU18" s="375"/>
      <x:c r="MV18" s="375"/>
      <x:c r="MW18" s="375"/>
      <x:c r="MX18" s="375"/>
      <x:c r="MY18" s="375"/>
      <x:c r="MZ18" s="375"/>
      <x:c r="NA18" s="375"/>
      <x:c r="NB18" s="375"/>
      <x:c r="NC18" s="375"/>
      <x:c r="ND18" s="375"/>
      <x:c r="NE18" s="375"/>
      <x:c r="NF18" s="375"/>
      <x:c r="NG18" s="375"/>
      <x:c r="NH18" s="375"/>
      <x:c r="NI18" s="375"/>
      <x:c r="NJ18" s="375"/>
      <x:c r="NK18" s="375"/>
      <x:c r="NL18" s="375"/>
      <x:c r="NM18" s="375"/>
      <x:c r="NN18" s="375"/>
      <x:c r="NO18" s="375"/>
      <x:c r="NP18" s="375"/>
      <x:c r="NQ18" s="375"/>
      <x:c r="NR18" s="375"/>
      <x:c r="NS18" s="375"/>
      <x:c r="NT18" s="375"/>
      <x:c r="NU18" s="375"/>
      <x:c r="NV18" s="375"/>
      <x:c r="NW18" s="375"/>
      <x:c r="NX18" s="375"/>
      <x:c r="NY18" s="375"/>
      <x:c r="NZ18" s="375"/>
      <x:c r="OA18" s="375"/>
      <x:c r="OB18" s="375"/>
      <x:c r="OC18" s="375"/>
      <x:c r="OD18" s="375"/>
      <x:c r="OE18" s="375"/>
      <x:c r="OF18" s="375"/>
      <x:c r="OG18" s="375"/>
      <x:c r="OH18" s="375"/>
      <x:c r="OI18" s="375"/>
      <x:c r="OJ18" s="375"/>
      <x:c r="OK18" s="375"/>
      <x:c r="OL18" s="375"/>
      <x:c r="OM18" s="375"/>
      <x:c r="ON18" s="375"/>
      <x:c r="OO18" s="375"/>
      <x:c r="OP18" s="375"/>
      <x:c r="OQ18" s="375"/>
      <x:c r="OR18" s="375"/>
      <x:c r="OS18" s="375"/>
      <x:c r="OT18" s="375"/>
      <x:c r="OU18" s="375"/>
      <x:c r="OV18" s="375"/>
      <x:c r="OW18" s="375"/>
      <x:c r="OX18" s="375"/>
      <x:c r="OY18" s="375"/>
      <x:c r="OZ18" s="375"/>
      <x:c r="PA18" s="375"/>
      <x:c r="PB18" s="375"/>
      <x:c r="PC18" s="375"/>
      <x:c r="PD18" s="375"/>
      <x:c r="PE18" s="375"/>
      <x:c r="PF18" s="375"/>
      <x:c r="PG18" s="375"/>
      <x:c r="PH18" s="375"/>
      <x:c r="PI18" s="375"/>
      <x:c r="PJ18" s="375"/>
      <x:c r="PK18" s="375"/>
      <x:c r="PL18" s="375"/>
      <x:c r="PM18" s="375"/>
      <x:c r="PN18" s="375"/>
      <x:c r="PO18" s="375"/>
      <x:c r="PP18" s="375"/>
      <x:c r="PQ18" s="375"/>
      <x:c r="PR18" s="375"/>
      <x:c r="PS18" s="375"/>
      <x:c r="PT18" s="375"/>
      <x:c r="PU18" s="375"/>
      <x:c r="PV18" s="375"/>
      <x:c r="PW18" s="375"/>
      <x:c r="PX18" s="375"/>
      <x:c r="PY18" s="375"/>
      <x:c r="PZ18" s="375"/>
      <x:c r="QA18" s="375"/>
      <x:c r="QB18" s="375"/>
      <x:c r="QC18" s="375"/>
      <x:c r="QD18" s="375"/>
      <x:c r="QE18" s="375"/>
      <x:c r="QF18" s="375"/>
      <x:c r="QG18" s="375"/>
      <x:c r="QH18" s="375"/>
      <x:c r="QI18" s="375"/>
      <x:c r="QJ18" s="375"/>
      <x:c r="QK18" s="375"/>
      <x:c r="QL18" s="375"/>
      <x:c r="QM18" s="375"/>
      <x:c r="QN18" s="375"/>
      <x:c r="QO18" s="375"/>
      <x:c r="QP18" s="375"/>
      <x:c r="QQ18" s="375"/>
      <x:c r="QR18" s="375"/>
      <x:c r="QS18" s="375"/>
      <x:c r="QT18" s="375"/>
      <x:c r="QU18" s="375"/>
      <x:c r="QV18" s="375"/>
      <x:c r="QW18" s="375"/>
      <x:c r="QX18" s="375"/>
      <x:c r="QY18" s="375"/>
      <x:c r="QZ18" s="375"/>
      <x:c r="RA18" s="375"/>
      <x:c r="RB18" s="375"/>
      <x:c r="RC18" s="375"/>
      <x:c r="RD18" s="375"/>
      <x:c r="RE18" s="375"/>
      <x:c r="RF18" s="375"/>
      <x:c r="RG18" s="375"/>
      <x:c r="RH18" s="375"/>
      <x:c r="RI18" s="375"/>
      <x:c r="RJ18" s="375"/>
      <x:c r="RK18" s="375"/>
      <x:c r="RL18" s="375"/>
      <x:c r="RM18" s="375"/>
      <x:c r="RN18" s="375"/>
      <x:c r="RO18" s="375"/>
      <x:c r="RP18" s="375"/>
      <x:c r="RQ18" s="375"/>
      <x:c r="RR18" s="375"/>
      <x:c r="RS18" s="375"/>
      <x:c r="RT18" s="375"/>
      <x:c r="RU18" s="375"/>
      <x:c r="RV18" s="375"/>
      <x:c r="RW18" s="375"/>
      <x:c r="RX18" s="375"/>
      <x:c r="RY18" s="375"/>
      <x:c r="RZ18" s="375"/>
      <x:c r="SA18" s="375"/>
      <x:c r="SB18" s="375"/>
      <x:c r="SC18" s="375"/>
      <x:c r="SD18" s="375"/>
      <x:c r="SE18" s="375"/>
      <x:c r="SF18" s="375"/>
      <x:c r="SG18" s="375"/>
      <x:c r="SH18" s="375"/>
      <x:c r="SI18" s="375"/>
      <x:c r="SJ18" s="375"/>
      <x:c r="SK18" s="375"/>
      <x:c r="SL18" s="375"/>
      <x:c r="SM18" s="375"/>
      <x:c r="SN18" s="375"/>
      <x:c r="SO18" s="375"/>
      <x:c r="SP18" s="375"/>
      <x:c r="SQ18" s="375"/>
      <x:c r="SR18" s="375"/>
      <x:c r="SS18" s="375"/>
      <x:c r="ST18" s="375"/>
      <x:c r="SU18" s="375"/>
      <x:c r="SV18" s="375"/>
      <x:c r="SW18" s="375"/>
      <x:c r="SX18" s="375"/>
      <x:c r="SY18" s="375"/>
      <x:c r="SZ18" s="375"/>
      <x:c r="TA18" s="375"/>
      <x:c r="TB18" s="375"/>
      <x:c r="TC18" s="375"/>
      <x:c r="TD18" s="375"/>
      <x:c r="TE18" s="375"/>
      <x:c r="TF18" s="375"/>
      <x:c r="TG18" s="375"/>
      <x:c r="TH18" s="375"/>
      <x:c r="TI18" s="375"/>
      <x:c r="TJ18" s="375"/>
      <x:c r="TK18" s="375"/>
      <x:c r="TL18" s="375"/>
      <x:c r="TM18" s="375"/>
      <x:c r="TN18" s="375"/>
      <x:c r="TO18" s="375"/>
      <x:c r="TP18" s="375"/>
      <x:c r="TQ18" s="375"/>
      <x:c r="TR18" s="375"/>
      <x:c r="TS18" s="375"/>
      <x:c r="TT18" s="375"/>
      <x:c r="TU18" s="375"/>
      <x:c r="TV18" s="375"/>
      <x:c r="TW18" s="375"/>
      <x:c r="TX18" s="375"/>
      <x:c r="TY18" s="375"/>
      <x:c r="TZ18" s="375"/>
      <x:c r="UA18" s="375"/>
      <x:c r="UB18" s="375"/>
      <x:c r="UC18" s="375"/>
      <x:c r="UD18" s="375"/>
      <x:c r="UE18" s="375"/>
      <x:c r="UF18" s="375"/>
      <x:c r="UG18" s="375"/>
      <x:c r="UH18" s="375"/>
      <x:c r="UI18" s="375"/>
      <x:c r="UJ18" s="375"/>
      <x:c r="UK18" s="375"/>
      <x:c r="UL18" s="375"/>
      <x:c r="UM18" s="375"/>
      <x:c r="UN18" s="375"/>
      <x:c r="UO18" s="375"/>
      <x:c r="UP18" s="375"/>
      <x:c r="UQ18" s="375"/>
      <x:c r="UR18" s="375"/>
      <x:c r="US18" s="375"/>
      <x:c r="UT18" s="375"/>
      <x:c r="UU18" s="375"/>
      <x:c r="UV18" s="375"/>
      <x:c r="UW18" s="375"/>
      <x:c r="UX18" s="375"/>
      <x:c r="UY18" s="375"/>
      <x:c r="UZ18" s="375"/>
      <x:c r="VA18" s="375"/>
      <x:c r="VB18" s="375"/>
      <x:c r="VC18" s="375"/>
      <x:c r="VD18" s="375"/>
      <x:c r="VE18" s="375"/>
      <x:c r="VF18" s="375"/>
      <x:c r="VG18" s="375"/>
      <x:c r="VH18" s="375"/>
      <x:c r="VI18" s="375"/>
      <x:c r="VJ18" s="375"/>
      <x:c r="VK18" s="375"/>
      <x:c r="VL18" s="375"/>
      <x:c r="VM18" s="375"/>
      <x:c r="VN18" s="375"/>
      <x:c r="VO18" s="375"/>
      <x:c r="VP18" s="375"/>
      <x:c r="VQ18" s="375"/>
      <x:c r="VR18" s="375"/>
      <x:c r="VS18" s="375"/>
      <x:c r="VT18" s="375"/>
      <x:c r="VU18" s="375"/>
      <x:c r="VV18" s="375"/>
      <x:c r="VW18" s="375"/>
      <x:c r="VX18" s="375"/>
      <x:c r="VY18" s="375"/>
      <x:c r="VZ18" s="375"/>
      <x:c r="WA18" s="375"/>
      <x:c r="WB18" s="375"/>
      <x:c r="WC18" s="375"/>
      <x:c r="WD18" s="375"/>
      <x:c r="WE18" s="375"/>
      <x:c r="WF18" s="375"/>
      <x:c r="WG18" s="375"/>
      <x:c r="WH18" s="375"/>
      <x:c r="WI18" s="375"/>
      <x:c r="WJ18" s="375"/>
      <x:c r="WK18" s="375"/>
      <x:c r="WL18" s="375"/>
      <x:c r="WM18" s="375"/>
      <x:c r="WN18" s="375"/>
      <x:c r="WO18" s="375"/>
      <x:c r="WP18" s="375"/>
      <x:c r="WQ18" s="375"/>
      <x:c r="WR18" s="375"/>
      <x:c r="WS18" s="375"/>
      <x:c r="WT18" s="375"/>
      <x:c r="WU18" s="375"/>
      <x:c r="WV18" s="375"/>
      <x:c r="WW18" s="375"/>
      <x:c r="WX18" s="375"/>
      <x:c r="WY18" s="375"/>
      <x:c r="WZ18" s="375"/>
      <x:c r="XA18" s="375"/>
      <x:c r="XB18" s="375"/>
      <x:c r="XC18" s="375"/>
      <x:c r="XD18" s="375"/>
      <x:c r="XE18" s="375"/>
      <x:c r="XF18" s="375"/>
      <x:c r="XG18" s="375"/>
      <x:c r="XH18" s="375"/>
      <x:c r="XI18" s="375"/>
      <x:c r="XJ18" s="375"/>
      <x:c r="XK18" s="375"/>
      <x:c r="XL18" s="375"/>
      <x:c r="XM18" s="375"/>
      <x:c r="XN18" s="375"/>
      <x:c r="XO18" s="375"/>
      <x:c r="XP18" s="375"/>
      <x:c r="XQ18" s="375"/>
      <x:c r="XR18" s="375"/>
      <x:c r="XS18" s="375"/>
      <x:c r="XT18" s="375"/>
      <x:c r="XU18" s="375"/>
      <x:c r="XV18" s="375"/>
      <x:c r="XW18" s="375"/>
      <x:c r="XX18" s="375"/>
      <x:c r="XY18" s="375"/>
      <x:c r="XZ18" s="375"/>
      <x:c r="YA18" s="375"/>
      <x:c r="YB18" s="375"/>
      <x:c r="YC18" s="375"/>
      <x:c r="YD18" s="375"/>
      <x:c r="YE18" s="375"/>
      <x:c r="YF18" s="375"/>
      <x:c r="YG18" s="375"/>
      <x:c r="YH18" s="375"/>
      <x:c r="YI18" s="375"/>
      <x:c r="YJ18" s="375"/>
      <x:c r="YK18" s="375"/>
      <x:c r="YL18" s="375"/>
      <x:c r="YM18" s="375"/>
      <x:c r="YN18" s="375"/>
      <x:c r="YO18" s="375"/>
      <x:c r="YP18" s="375"/>
      <x:c r="YQ18" s="375"/>
      <x:c r="YR18" s="375"/>
      <x:c r="YS18" s="375"/>
      <x:c r="YT18" s="375"/>
      <x:c r="YU18" s="375"/>
      <x:c r="YV18" s="375"/>
      <x:c r="YW18" s="375"/>
      <x:c r="YX18" s="375"/>
      <x:c r="YY18" s="375"/>
      <x:c r="YZ18" s="375"/>
      <x:c r="ZA18" s="375"/>
      <x:c r="ZB18" s="375"/>
      <x:c r="ZC18" s="375"/>
      <x:c r="ZD18" s="375"/>
      <x:c r="ZE18" s="375"/>
      <x:c r="ZF18" s="375"/>
      <x:c r="ZG18" s="375"/>
      <x:c r="ZH18" s="375"/>
      <x:c r="ZI18" s="375"/>
      <x:c r="ZJ18" s="375"/>
      <x:c r="ZK18" s="375"/>
      <x:c r="ZL18" s="375"/>
      <x:c r="ZM18" s="375"/>
      <x:c r="ZN18" s="375"/>
      <x:c r="ZO18" s="375"/>
      <x:c r="ZP18" s="375"/>
      <x:c r="ZQ18" s="375"/>
      <x:c r="ZR18" s="375"/>
      <x:c r="ZS18" s="375"/>
      <x:c r="ZT18" s="375"/>
      <x:c r="ZU18" s="375"/>
      <x:c r="ZV18" s="375"/>
      <x:c r="ZW18" s="375"/>
      <x:c r="ZX18" s="375"/>
      <x:c r="ZY18" s="375"/>
      <x:c r="ZZ18" s="375"/>
      <x:c r="AAA18" s="375"/>
      <x:c r="AAB18" s="375"/>
      <x:c r="AAC18" s="375"/>
      <x:c r="AAD18" s="375"/>
      <x:c r="AAE18" s="375"/>
      <x:c r="AAF18" s="375"/>
      <x:c r="AAG18" s="375"/>
      <x:c r="AAH18" s="375"/>
      <x:c r="AAI18" s="375"/>
      <x:c r="AAJ18" s="375"/>
      <x:c r="AAK18" s="375"/>
      <x:c r="AAL18" s="375"/>
      <x:c r="AAM18" s="375"/>
      <x:c r="AAN18" s="375"/>
      <x:c r="AAO18" s="375"/>
      <x:c r="AAP18" s="375"/>
      <x:c r="AAQ18" s="375"/>
      <x:c r="AAR18" s="375"/>
      <x:c r="AAS18" s="375"/>
      <x:c r="AAT18" s="375"/>
      <x:c r="AAU18" s="375"/>
      <x:c r="AAV18" s="375"/>
      <x:c r="AAW18" s="375"/>
      <x:c r="AAX18" s="375"/>
      <x:c r="AAY18" s="375"/>
      <x:c r="AAZ18" s="375"/>
      <x:c r="ABA18" s="375"/>
      <x:c r="ABB18" s="375"/>
      <x:c r="ABC18" s="375"/>
      <x:c r="ABD18" s="375"/>
      <x:c r="ABE18" s="375"/>
      <x:c r="ABF18" s="375"/>
      <x:c r="ABG18" s="375"/>
      <x:c r="ABH18" s="375"/>
      <x:c r="ABI18" s="375"/>
      <x:c r="ABJ18" s="375"/>
      <x:c r="ABK18" s="375"/>
      <x:c r="ABL18" s="375"/>
      <x:c r="ABM18" s="375"/>
      <x:c r="ABN18" s="375"/>
      <x:c r="ABO18" s="375"/>
      <x:c r="ABP18" s="375"/>
      <x:c r="ABQ18" s="375"/>
      <x:c r="ABR18" s="375"/>
      <x:c r="ABS18" s="375"/>
      <x:c r="ABT18" s="375"/>
      <x:c r="ABU18" s="375"/>
      <x:c r="ABV18" s="375"/>
      <x:c r="ABW18" s="375"/>
      <x:c r="ABX18" s="375"/>
      <x:c r="ABY18" s="375"/>
      <x:c r="ABZ18" s="375"/>
      <x:c r="ACA18" s="375"/>
      <x:c r="ACB18" s="375"/>
      <x:c r="ACC18" s="375"/>
      <x:c r="ACD18" s="375"/>
      <x:c r="ACE18" s="375"/>
      <x:c r="ACF18" s="375"/>
      <x:c r="ACG18" s="375"/>
      <x:c r="ACH18" s="375"/>
      <x:c r="ACI18" s="375"/>
      <x:c r="ACJ18" s="375"/>
      <x:c r="ACK18" s="375"/>
      <x:c r="ACL18" s="375"/>
      <x:c r="ACM18" s="375"/>
      <x:c r="ACN18" s="375"/>
      <x:c r="ACO18" s="375"/>
      <x:c r="ACP18" s="375"/>
      <x:c r="ACQ18" s="375"/>
      <x:c r="ACR18" s="375"/>
      <x:c r="ACS18" s="375"/>
      <x:c r="ACT18" s="375"/>
      <x:c r="ACU18" s="375"/>
      <x:c r="ACV18" s="375"/>
      <x:c r="ACW18" s="375"/>
      <x:c r="ACX18" s="375"/>
      <x:c r="ACY18" s="375"/>
      <x:c r="ACZ18" s="375"/>
      <x:c r="ADA18" s="375"/>
      <x:c r="ADB18" s="375"/>
      <x:c r="ADC18" s="375"/>
      <x:c r="ADD18" s="375"/>
      <x:c r="ADE18" s="375"/>
      <x:c r="ADF18" s="375"/>
      <x:c r="ADG18" s="375"/>
      <x:c r="ADH18" s="375"/>
      <x:c r="ADI18" s="375"/>
      <x:c r="ADJ18" s="375"/>
      <x:c r="ADK18" s="375"/>
      <x:c r="ADL18" s="375"/>
      <x:c r="ADM18" s="375"/>
      <x:c r="ADN18" s="375"/>
      <x:c r="ADO18" s="375"/>
      <x:c r="ADP18" s="375"/>
      <x:c r="ADQ18" s="375"/>
      <x:c r="ADR18" s="375"/>
      <x:c r="ADS18" s="375"/>
      <x:c r="ADT18" s="375"/>
      <x:c r="ADU18" s="375"/>
      <x:c r="ADV18" s="375"/>
      <x:c r="ADW18" s="375"/>
      <x:c r="ADX18" s="375"/>
      <x:c r="ADY18" s="375"/>
      <x:c r="ADZ18" s="375"/>
      <x:c r="AEA18" s="375"/>
      <x:c r="AEB18" s="375"/>
      <x:c r="AEC18" s="375"/>
      <x:c r="AED18" s="375"/>
      <x:c r="AEE18" s="375"/>
      <x:c r="AEF18" s="375"/>
      <x:c r="AEG18" s="375"/>
      <x:c r="AEH18" s="375"/>
      <x:c r="AEI18" s="375"/>
      <x:c r="AEJ18" s="375"/>
      <x:c r="AEK18" s="375"/>
      <x:c r="AEL18" s="375"/>
      <x:c r="AEM18" s="375"/>
      <x:c r="AEN18" s="375"/>
      <x:c r="AEO18" s="375"/>
      <x:c r="AEP18" s="375"/>
      <x:c r="AEQ18" s="375"/>
      <x:c r="AER18" s="375"/>
      <x:c r="AES18" s="375"/>
      <x:c r="AET18" s="375"/>
      <x:c r="AEU18" s="375"/>
      <x:c r="AEV18" s="375"/>
      <x:c r="AEW18" s="375"/>
      <x:c r="AEX18" s="375"/>
      <x:c r="AEY18" s="375"/>
      <x:c r="AEZ18" s="375"/>
      <x:c r="AFA18" s="375"/>
      <x:c r="AFB18" s="375"/>
      <x:c r="AFC18" s="375"/>
      <x:c r="AFD18" s="375"/>
      <x:c r="AFE18" s="375"/>
      <x:c r="AFF18" s="375"/>
      <x:c r="AFG18" s="375"/>
      <x:c r="AFH18" s="375"/>
      <x:c r="AFI18" s="375"/>
      <x:c r="AFJ18" s="375"/>
      <x:c r="AFK18" s="375"/>
      <x:c r="AFL18" s="375"/>
      <x:c r="AFM18" s="375"/>
      <x:c r="AFN18" s="375"/>
      <x:c r="AFO18" s="375"/>
      <x:c r="AFP18" s="375"/>
      <x:c r="AFQ18" s="375"/>
      <x:c r="AFR18" s="375"/>
      <x:c r="AFS18" s="375"/>
      <x:c r="AFT18" s="375"/>
      <x:c r="AFU18" s="375"/>
      <x:c r="AFV18" s="375"/>
      <x:c r="AFW18" s="375"/>
      <x:c r="AFX18" s="375"/>
      <x:c r="AFY18" s="375"/>
      <x:c r="AFZ18" s="375"/>
      <x:c r="AGA18" s="375"/>
      <x:c r="AGB18" s="375"/>
      <x:c r="AGC18" s="375"/>
      <x:c r="AGD18" s="375"/>
      <x:c r="AGE18" s="375"/>
      <x:c r="AGF18" s="375"/>
      <x:c r="AGG18" s="375"/>
      <x:c r="AGH18" s="375"/>
      <x:c r="AGI18" s="375"/>
      <x:c r="AGJ18" s="375"/>
      <x:c r="AGK18" s="375"/>
      <x:c r="AGL18" s="375"/>
      <x:c r="AGM18" s="375"/>
      <x:c r="AGN18" s="375"/>
      <x:c r="AGO18" s="375"/>
      <x:c r="AGP18" s="375"/>
      <x:c r="AGQ18" s="375"/>
      <x:c r="AGR18" s="375"/>
      <x:c r="AGS18" s="375"/>
      <x:c r="AGT18" s="375"/>
      <x:c r="AGU18" s="375"/>
      <x:c r="AGV18" s="375"/>
      <x:c r="AGW18" s="375"/>
      <x:c r="AGX18" s="375"/>
      <x:c r="AGY18" s="375"/>
      <x:c r="AGZ18" s="375"/>
      <x:c r="AHA18" s="375"/>
      <x:c r="AHB18" s="375"/>
      <x:c r="AHC18" s="375"/>
      <x:c r="AHD18" s="375"/>
      <x:c r="AHE18" s="375"/>
      <x:c r="AHF18" s="375"/>
      <x:c r="AHG18" s="375"/>
      <x:c r="AHH18" s="375"/>
      <x:c r="AHI18" s="375"/>
      <x:c r="AHJ18" s="375"/>
      <x:c r="AHK18" s="375"/>
      <x:c r="AHL18" s="375"/>
      <x:c r="AHM18" s="375"/>
      <x:c r="AHN18" s="375"/>
      <x:c r="AHO18" s="375"/>
      <x:c r="AHP18" s="375"/>
      <x:c r="AHQ18" s="375"/>
      <x:c r="AHR18" s="375"/>
      <x:c r="AHS18" s="375"/>
      <x:c r="AHT18" s="375"/>
      <x:c r="AHU18" s="375"/>
      <x:c r="AHV18" s="375"/>
      <x:c r="AHW18" s="375"/>
      <x:c r="AHX18" s="375"/>
      <x:c r="AHY18" s="375"/>
      <x:c r="AHZ18" s="375"/>
      <x:c r="AIA18" s="375"/>
      <x:c r="AIB18" s="375"/>
      <x:c r="AIC18" s="375"/>
      <x:c r="AID18" s="375"/>
      <x:c r="AIE18" s="375"/>
      <x:c r="AIF18" s="375"/>
      <x:c r="AIG18" s="375"/>
      <x:c r="AIH18" s="375"/>
      <x:c r="AII18" s="375"/>
      <x:c r="AIJ18" s="375"/>
      <x:c r="AIK18" s="375"/>
      <x:c r="AIL18" s="375"/>
      <x:c r="AIM18" s="375"/>
      <x:c r="AIN18" s="375"/>
      <x:c r="AIO18" s="375"/>
      <x:c r="AIP18" s="375"/>
      <x:c r="AIQ18" s="375"/>
      <x:c r="AIR18" s="375"/>
      <x:c r="AIS18" s="375"/>
      <x:c r="AIT18" s="375"/>
      <x:c r="AIU18" s="375"/>
      <x:c r="AIV18" s="375"/>
      <x:c r="AIW18" s="375"/>
      <x:c r="AIX18" s="375"/>
      <x:c r="AIY18" s="375"/>
      <x:c r="AIZ18" s="375"/>
      <x:c r="AJA18" s="375"/>
      <x:c r="AJB18" s="375"/>
      <x:c r="AJC18" s="375"/>
      <x:c r="AJD18" s="375"/>
      <x:c r="AJE18" s="375"/>
      <x:c r="AJF18" s="375"/>
      <x:c r="AJG18" s="375"/>
      <x:c r="AJH18" s="375"/>
      <x:c r="AJI18" s="375"/>
      <x:c r="AJJ18" s="375"/>
      <x:c r="AJK18" s="375"/>
      <x:c r="AJL18" s="375"/>
      <x:c r="AJM18" s="375"/>
      <x:c r="AJN18" s="375"/>
      <x:c r="AJO18" s="375"/>
      <x:c r="AJP18" s="375"/>
      <x:c r="AJQ18" s="375"/>
      <x:c r="AJR18" s="375"/>
      <x:c r="AJS18" s="375"/>
      <x:c r="AJT18" s="375"/>
      <x:c r="AJU18" s="375"/>
      <x:c r="AJV18" s="375"/>
      <x:c r="AJW18" s="375"/>
      <x:c r="AJX18" s="375"/>
      <x:c r="AJY18" s="375"/>
      <x:c r="AJZ18" s="375"/>
      <x:c r="AKA18" s="375"/>
      <x:c r="AKB18" s="375"/>
      <x:c r="AKC18" s="375"/>
      <x:c r="AKD18" s="375"/>
      <x:c r="AKE18" s="375"/>
      <x:c r="AKF18" s="375"/>
      <x:c r="AKG18" s="375"/>
      <x:c r="AKH18" s="375"/>
      <x:c r="AKI18" s="375"/>
      <x:c r="AKJ18" s="375"/>
      <x:c r="AKK18" s="375"/>
      <x:c r="AKL18" s="375"/>
      <x:c r="AKM18" s="375"/>
      <x:c r="AKN18" s="375"/>
      <x:c r="AKO18" s="375"/>
      <x:c r="AKP18" s="375"/>
      <x:c r="AKQ18" s="375"/>
      <x:c r="AKR18" s="375"/>
      <x:c r="AKS18" s="375"/>
      <x:c r="AKT18" s="375"/>
      <x:c r="AKU18" s="375"/>
      <x:c r="AKV18" s="375"/>
      <x:c r="AKW18" s="375"/>
      <x:c r="AKX18" s="375"/>
      <x:c r="AKY18" s="375"/>
      <x:c r="AKZ18" s="375"/>
      <x:c r="ALA18" s="375"/>
      <x:c r="ALB18" s="375"/>
      <x:c r="ALC18" s="375"/>
      <x:c r="ALD18" s="375"/>
      <x:c r="ALE18" s="375"/>
      <x:c r="ALF18" s="375"/>
      <x:c r="ALG18" s="375"/>
      <x:c r="ALH18" s="375"/>
      <x:c r="ALI18" s="375"/>
      <x:c r="ALJ18" s="375"/>
      <x:c r="ALK18" s="375"/>
      <x:c r="ALL18" s="375"/>
      <x:c r="ALM18" s="375"/>
      <x:c r="ALN18" s="375"/>
      <x:c r="ALO18" s="375"/>
      <x:c r="ALP18" s="375"/>
      <x:c r="ALQ18" s="375"/>
      <x:c r="ALR18" s="375"/>
      <x:c r="ALS18" s="375"/>
      <x:c r="ALT18" s="375"/>
      <x:c r="ALU18" s="375"/>
      <x:c r="ALV18" s="375"/>
      <x:c r="ALW18" s="375"/>
      <x:c r="ALX18" s="375"/>
      <x:c r="ALY18" s="375"/>
      <x:c r="ALZ18" s="375"/>
      <x:c r="AMA18" s="375"/>
      <x:c r="AMB18" s="375"/>
      <x:c r="AMC18" s="375"/>
      <x:c r="AMD18" s="375"/>
      <x:c r="AME18" s="375"/>
      <x:c r="AMF18" s="375"/>
      <x:c r="AMG18" s="375"/>
      <x:c r="AMH18" s="375"/>
      <x:c r="AMI18" s="375"/>
      <x:c r="AMJ18" s="375"/>
      <x:c r="AMK18" s="375"/>
    </x:row>
    <x:row r="19" ht="53" hidden="0" customHeight="1">
      <x:c r="A19" s="382" t="str">
        <x:v>02-saine-o-n-1</x:v>
      </x:c>
      <x:c r="B19" s="382" t="str">
        <x:v>saine</x:v>
      </x:c>
      <x:c r="C19" s="382"/>
      <x:c r="D19" s="382"/>
      <x:c r="E19" s="382" t="str">
        <x:v>八方振り</x:v>
      </x:c>
      <x:c r="F19" s="382" t="str">
        <x:v>はっぽうぶり</x:v>
      </x:c>
      <x:c r="G19" s="382" t="str">
        <x:v>八方斩</x:v>
      </x:c>
      <x:c r="H19" s="421" t="str">
        <x:v>八面斩</x:v>
      </x:c>
      <x:c r="I19" s="384"/>
      <x:c r="J19" s="421" t="str">
        <x:v>팔방 휘두르기</x:v>
      </x:c>
      <x:c r="K19" s="377" t="str">
        <x:v>Swing Rush</x:v>
      </x:c>
      <x:c r="L19" s="382"/>
      <x:c r="M19" s="382" t="str">
        <x:v>通常札</x:v>
      </x:c>
      <x:c r="N19" s="382"/>
      <x:c r="O19" s="382"/>
      <x:c r="P19" s="382"/>
      <x:c r="Q19" s="382"/>
      <x:c r="R19" s="382" t="str">
        <x:v>攻撃</x:v>
      </x:c>
      <x:c r="S19" s="382"/>
      <x:c r="T19" s="382" t="str">
        <x:v>4-5</x:v>
      </x:c>
      <x:c r="U19" s="383"/>
      <x:c r="V19" s="382" t="str">
        <x:v>2/1</x:v>
      </x:c>
      <x:c r="W19" s="383"/>
      <x:c r="X19" s="382"/>
      <x:c r="Y19" s="382"/>
      <x:c r="Z19" s="382"/>
      <x:c r="AA19" s="382"/>
      <x:c r="AB19" s="382"/>
      <x:c r="AC19" s="382"/>
      <x:c r="AD19" s="382"/>
      <x:c r="AE19" s="441" t="str">
        <x:v>【攻撃後】八相―あなたのオーラが1以下ならば、攻撃『適正距離4-5、2/1』を行う。</x:v>
      </x:c>
      <x:c r="AF19" s="440"/>
      <x:c r="AG19" s="489" t="str">
        <x:v>【攻击后】八相～若自装中樱花结晶数仅1个或更少，则进行一次“攻击距离4-5、伤害2/1”的攻击。</x:v>
      </x:c>
      <x:c r="AH19" s="440"/>
      <x:c r="AI19" s="487" t="str">
        <x:v>【攻击后】八相～若自装中没有樱花结晶，则进行一次“攻击距离4-5、伤害2/1”的攻击。</x:v>
      </x:c>
      <x:c r="AJ19" s="440"/>
      <x:c r="AK19" s="489" t="str">
        <x:v>【공격후】팔상-당신의 오라가 1 이하라면, 공격『적정거리4-5、2/1』을 행한다.</x:v>
      </x:c>
      <x:c r="AL19" s="440"/>
      <x:c r="AM19" s="489" t="str">
        <x:v>After Attack: Idea - You attack with "Range: 4-5, Damage: 2/1" if you have 1 or fewer Sakura tokens on your Aura.</x:v>
      </x:c>
      <x:c r="AN19" s="440"/>
      <x:c r="AO19" s="440"/>
      <x:c r="AP19" s="440"/>
      <x:c r="AQ19" s="440"/>
      <x:c r="AR19" s="440"/>
      <x:c r="AS19" s="440"/>
      <x:c r="AT19" s="378" t="str">
        <x:f aca="0">IF(A19="", "","'"&amp;A19&amp;"': {megami: '"&amp;B19&amp;"'"&amp;IF(C19&lt;&gt;"",", anotherID: '"&amp;C19&amp;"', replace: '"&amp;D19&amp;"'","")&amp;", name: '"&amp;SUBSTITUTE(E19,"'","\'")&amp;"', nameEn: '"&amp;SUBSTITUTE(K19,"'","\'")&amp;"', nameZh: '"&amp;SUBSTITUTE(G19,"'","\'")&amp;"', nameZhG18: '"&amp;SUBSTITUTE(H19,"'","\'")&amp;"', nameKo: '"&amp;SUBSTITUTE(J19,"'","\'")&amp;"', ruby: '"&amp;F19&amp;"', rubyEn: '"&amp;L19&amp;IF(I19&lt;&gt;"", "', rubyZh: '"&amp;I19, "")&amp;"', baseType: '"&amp;IF(M19="通常札","normal",IF(M19="切札","special",IF(M19="追加札","extra",IF(M19="transform","transform",IF(M19="嵐","storm",IF(M19="兵員","troop",IF(M19="構想","plan",IF(M19="メインパーツ","mainParts",IF(M19="カスタムパーツ","customParts",IF(M19="運命","fate",IF(M19="仮想樹","virtualTree","")))))))))))&amp;"'"&amp;IF(N19="○",", extra: true","")&amp;IF(O19&lt;&gt;"",", extraFrom: '"&amp;O19&amp;"'","")&amp;IF(P19&lt;&gt;"",", exchangableTo: '"&amp;P19&amp;"'","")&amp;IF(Q19="○",", poison: true","")&amp;IF(R19&lt;&gt;"", ", type: '"&amp;IF(R19="攻撃","attack",IF(R19="行動","action",IF(R19="不定","variable",IF(R19="対応","reaction",IF(R19="全力","fullpower",IF(R19="付与","enhance",IF(R19="transform","transform","")))))))&amp;"'", "")&amp;IF(S19&lt;&gt;"",", subType: '"&amp;IF(S19="攻撃","attack",IF(S19="行動","action",IF(S19="不定","variable",IF(S19="対応","reaction",IF(S19="全力","fullpower",IF(S19="付与","enhance",IF(S19="transform","transform","")))))))&amp;"'","")&amp;""&amp;IF(T19&lt;&gt;"",",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textZhG18: '"&amp;SUBSTITUTE(SUBSTITUTE(SUBSTITUTE(AI19, CHAR(13), ""),CHAR(10),"\n"),"'","\'")&amp;IF(AH19&lt;&gt;"", "', textZhAdditional: '"&amp;SUBSTITUTE(SUBSTITUTE(AH19, CHAR(13), ""),CHAR(10),"\n"), "")&amp;IF(AK19&lt;&gt;"", "', textZhG18Additional: '"&amp;SUBSTITUTE(SUBSTITUTE(AK19, CHAR(13), ""),CHAR(10),"\n"), "")&amp;"', textKo: '"&amp;SUBSTITUTE(SUBSTITUTE(SUBSTITUTE(AM19, CHAR(13), ""),CHAR(10),"\n"),"'","\'")&amp;IF(AM19&lt;&gt;"", "', textKoAdditional: '"&amp;SUBSTITUTE(SUBSTITUTE(AM19, CHAR(13), ""),CHAR(10),"\n"), "")&amp;"', textEn: '"&amp;SUBSTITUTE(SUBSTITUTE(SUBSTITUTE(AM19, CHAR(13), ""),CHAR(10),"\n"),"'","\'")&amp;IF(AN19&lt;&gt;"", "', textEnAdditional: '"&amp;SUBSTITUTE(SUBSTITUTE(AN19, CHAR(13), ""),CHAR(10),"\n"), "")&amp;"'"&amp;IF(AB19="○",", sealable: true","")&amp;IF(AC19="○",", removable: true","")&amp;IF(AA19="○",", lie: true","")&amp;IF(AD19="○",", investable: true","")&amp;"},")</x:f>
        <x:v>'02-saine-o-n-1': {megami: 'saine', name: '八方振り', nameEn: 'Swing Rush', nameZh: '八方斩', nameZhG18: '八面斩', nameKo: '팔방 휘두르기', ruby: 'はっぽうぶり', rubyEn: '', baseType: 'normal', type: 'attack', range: '4-5', damage: '2/1', text: '【攻撃後】八相―あなたのオーラが1以下ならば、攻撃『適正距離4-5、2/1』を行う。', textZh: '【攻击后】八相～若自装中樱花结晶数仅1个或更少，则进行一次“攻击距离4-5、伤害2/1”的攻击。', textZhG18: '【攻击后】八相～若自装中没有樱花结晶，则进行一次“攻击距离4-5、伤害2/1”的攻击。', textZhG18Additional: '【공격후】팔상-당신의 오라가 1 이하라면, 공격『적정거리4-5、2/1』을 행한다.', textKo: 'After Attack: Idea - You attack with "Range: 4-5, Damage: 2/1" if you have 1 or fewer Sakura tokens on your Aura.', textKoAdditional: 'After Attack: Idea - You attack with "Range: 4-5, Damage: 2/1" if you have 1 or fewer Sakura tokens on your Aura.', textEn: 'After Attack: Idea - You attack with "Range: 4-5, Damage: 2/1" if you have 1 or fewer Sakura tokens on your Aura.'},</x:v>
      </x:c>
      <x:c r="AU19" s="379" t="str">
        <x:f aca="0">IF($A19&lt;&gt;"", "    /** 《"&amp;$E19&amp;"》 */ export const "&amp;SUBSTITUTE(UPPER(IF(MID($A19, 3, 1)="-", RIGHT($A19,LEN($A19)-3), $A19)), "-", "_")&amp;": TCardId = '"&amp;$A19&amp;"';", "")</x:f>
        <x:v>    /** 《八方振り》 */ export const SAINE_O_N_1: TCardId = '02-saine-o-n-1';</x:v>
      </x:c>
      <x:c r="AV19" s="380" t="str">
        <x:f aca="0">IF($A20&lt;&gt;"", "    | '"&amp;$A20&amp;"'", "")</x:f>
        <x:v>    | '02-saine-o-n-2'</x:v>
      </x:c>
    </x:row>
    <x:row r="20" ht="38" hidden="0" customHeight="1">
      <x:c r="A20" s="375" t="str">
        <x:v>02-saine-o-n-2</x:v>
      </x:c>
      <x:c r="B20" s="375" t="str">
        <x:v>saine</x:v>
      </x:c>
      <x:c r="C20" s="375"/>
      <x:c r="D20" s="375"/>
      <x:c r="E20" s="375" t="str">
        <x:v>薙斬り</x:v>
      </x:c>
      <x:c r="F20" s="375" t="str">
        <x:v>なぎぎり</x:v>
      </x:c>
      <x:c r="G20" s="375" t="str">
        <x:v>薙刀斩</x:v>
      </x:c>
      <x:c r="H20" s="375" t="str">
        <x:v>薙刀斩</x:v>
      </x:c>
      <x:c r="I20" s="375"/>
      <x:c r="J20" s="375" t="str">
        <x:v>후려베기</x:v>
      </x:c>
      <x:c r="K20" s="375" t="str">
        <x:v>Cut Down</x:v>
      </x:c>
      <x:c r="L20" s="375"/>
      <x:c r="M20" s="375" t="str">
        <x:v>通常札</x:v>
      </x:c>
      <x:c r="N20" s="375"/>
      <x:c r="O20" s="375"/>
      <x:c r="P20" s="375"/>
      <x:c r="Q20" s="375"/>
      <x:c r="R20" s="375" t="str">
        <x:v>攻撃</x:v>
      </x:c>
      <x:c r="S20" s="375" t="str">
        <x:v>対応</x:v>
      </x:c>
      <x:c r="T20" s="375" t="str">
        <x:v>4-5</x:v>
      </x:c>
      <x:c r="U20" s="383"/>
      <x:c r="V20" s="382" t="str">
        <x:v>3/1</x:v>
      </x:c>
      <x:c r="W20" s="383"/>
      <x:c r="X20" s="382"/>
      <x:c r="Y20" s="382"/>
      <x:c r="Z20" s="382"/>
      <x:c r="AA20" s="382"/>
      <x:c r="AB20" s="385"/>
      <x:c r="AC20" s="385"/>
      <x:c r="AD20" s="386"/>
      <x:c r="AE20" s="440"/>
      <x:c r="AF20" s="441"/>
      <x:c r="AG20" s="440" t="str">
        <x:v>【常时】若虚中没有樱花结晶，则此《攻击》得+0/+1。</x:v>
      </x:c>
      <x:c r="AH20" s="442"/>
      <x:c r="AI20" s="440" t="str">
        <x:v>【常时】若虚中的樱花结晶的数目等于0，则此《攻击》得+0/+1。</x:v>
      </x:c>
      <x:c r="AJ20" s="440"/>
      <x:c r="AK20" s="440" t="str">
        <x:v>【상시】더스트가 0이라면 이 《공격》은 +0/+1된다.</x:v>
      </x:c>
      <x:c r="AL20" s="440"/>
      <x:c r="AM20" s="440" t="str">
        <x:v>Forced: If there is no Sakura token on Shadow, this attack gains +0/+1.</x:v>
      </x:c>
      <x:c r="AN20" s="440"/>
      <x:c r="AO20" s="440"/>
      <x:c r="AP20" s="440"/>
      <x:c r="AQ20" s="440"/>
      <x:c r="AR20" s="440"/>
      <x:c r="AS20" s="440"/>
      <x:c r="AT20" s="378" t="str">
        <x:f aca="0">IF(A20="", "","'"&amp;A20&amp;"': {megami: '"&amp;B20&amp;"'"&amp;IF(C20&lt;&gt;"",", anotherID: '"&amp;C20&amp;"', replace: '"&amp;D20&amp;"'","")&amp;", name: '"&amp;SUBSTITUTE(E20,"'","\'")&amp;"', nameEn: '"&amp;SUBSTITUTE(K20,"'","\'")&amp;"', nameZh: '"&amp;SUBSTITUTE(G20,"'","\'")&amp;"', nameZhG19: '"&amp;SUBSTITUTE(H20,"'","\'")&amp;"', nameKo: '"&amp;SUBSTITUTE(J20,"'","\'")&amp;"', ruby: '"&amp;F20&amp;"', rubyEn: '"&amp;L20&amp;IF(I20&lt;&gt;"", "', rubyZh: '"&amp;I20, "")&amp;"', baseType: '"&amp;IF(M20="通常札","normal",IF(M20="切札","special",IF(M20="追加札","extra",IF(M20="transform","transform",IF(M20="嵐","storm",IF(M20="兵員","troop",IF(M20="構想","plan",IF(M20="メインパーツ","mainParts",IF(M20="カスタムパーツ","customParts",IF(M20="運命","fate",IF(M20="仮想樹","virtualTree","")))))))))))&amp;"'"&amp;IF(N20="○",", extra: true","")&amp;IF(O20&lt;&gt;"",", extraFrom: '"&amp;O20&amp;"'","")&amp;IF(P20&lt;&gt;"",", exchangableTo: '"&amp;P20&amp;"'","")&amp;IF(Q20="○",", poison: true","")&amp;IF(R20&lt;&gt;"", ", type: '"&amp;IF(R20="攻撃","attack",IF(R20="行動","action",IF(R20="不定","variable",IF(R20="対応","reaction",IF(R20="全力","fullpower",IF(R20="付与","enhance",IF(R20="transform","transform","")))))))&amp;"'", "")&amp;IF(S20&lt;&gt;"",", subType: '"&amp;IF(S20="攻撃","attack",IF(S20="行動","action",IF(S20="不定","variable",IF(S20="対応","reaction",IF(S20="全力","fullpower",IF(S20="付与","enhance",IF(S20="transform","transform","")))))))&amp;"'","")&amp;""&amp;IF(T20&lt;&gt;"",",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textZhG19: '"&amp;SUBSTITUTE(SUBSTITUTE(SUBSTITUTE(AI20, CHAR(13), ""),CHAR(10),"\n"),"'","\'")&amp;IF(AH20&lt;&gt;"", "', textZhAdditional: '"&amp;SUBSTITUTE(SUBSTITUTE(AH20, CHAR(13), ""),CHAR(10),"\n"), "")&amp;IF(AK20&lt;&gt;"", "', textZhG19Additional: '"&amp;SUBSTITUTE(SUBSTITUTE(AK20, CHAR(13), ""),CHAR(10),"\n"), "")&amp;"', textKo: '"&amp;SUBSTITUTE(SUBSTITUTE(SUBSTITUTE(AM20, CHAR(13), ""),CHAR(10),"\n"),"'","\'")&amp;IF(AM20&lt;&gt;"", "', textKoAdditional: '"&amp;SUBSTITUTE(SUBSTITUTE(AM20, CHAR(13), ""),CHAR(10),"\n"), "")&amp;"', textEn: '"&amp;SUBSTITUTE(SUBSTITUTE(SUBSTITUTE(AM20, CHAR(13), ""),CHAR(10),"\n"),"'","\'")&amp;IF(AN20&lt;&gt;"", "', textEnAdditional: '"&amp;SUBSTITUTE(SUBSTITUTE(AN20, CHAR(13), ""),CHAR(10),"\n"), "")&amp;"'"&amp;IF(AB20="○",", sealable: true","")&amp;IF(AC20="○",", removable: true","")&amp;IF(AA20="○",", lie: true","")&amp;IF(AD20="○",", investable: true","")&amp;"},")</x:f>
        <x:v>'02-saine-o-n-2': {megami: 'saine', name: '薙斬り', nameEn: 'Cut Down', nameZh: '薙刀斩', nameZhG19: '薙刀斩', nameKo: '후려베기', ruby: 'なぎぎり', rubyEn: '', baseType: 'normal', type: 'attack', subType: 'reaction', range: '4-5', damage: '3/1', text: '', textZh: '【常时】若虚中没有樱花结晶，则此《攻击》得+0/+1。', textZhG19: '【常时】若虚中的樱花结晶的数目等于0，则此《攻击》得+0/+1。', textZhG19Additional: '【상시】더스트가 0이라면 이 《공격》은 +0/+1된다.', textKo: 'Forced: If there is no Sakura token on Shadow, this attack gains +0/+1.', textKoAdditional: 'Forced: If there is no Sakura token on Shadow, this attack gains +0/+1.', textEn: 'Forced: If there is no Sakura token on Shadow, this attack gains +0/+1.'},</x:v>
      </x:c>
      <x:c r="AU20" s="379" t="str">
        <x:f aca="0">IF($A20&lt;&gt;"", "    /** 《"&amp;$E20&amp;"》 */ export const "&amp;SUBSTITUTE(UPPER(IF(MID($A20, 3, 1)="-", RIGHT($A20,LEN($A20)-3), $A20)), "-", "_")&amp;": TCardId = '"&amp;$A20&amp;"';", "")</x:f>
        <x:v>    /** 《薙斬り》 */ export const SAINE_O_N_2: TCardId = '02-saine-o-n-2';</x:v>
      </x:c>
      <x:c r="AV20" s="380" t="str">
        <x:f aca="0">IF($A21&lt;&gt;"", "    | '"&amp;$A21&amp;"'", "")</x:f>
        <x:v>    | '02-saine-o-n-3'</x:v>
      </x:c>
    </x:row>
    <x:row r="21" ht="68" hidden="0" customHeight="1">
      <x:c r="A21" s="375" t="str">
        <x:v>02-saine-o-n-3</x:v>
      </x:c>
      <x:c r="B21" s="375" t="str">
        <x:v>saine</x:v>
      </x:c>
      <x:c r="C21" s="375"/>
      <x:c r="D21" s="375"/>
      <x:c r="E21" s="375" t="str">
        <x:v>石突</x:v>
      </x:c>
      <x:c r="F21" s="375" t="str">
        <x:v>いしづき</x:v>
      </x:c>
      <x:c r="G21" s="375" t="str">
        <x:v>石突</x:v>
      </x:c>
      <x:c r="H21" s="375" t="str">
        <x:v>石突</x:v>
      </x:c>
      <x:c r="I21" s="375"/>
      <x:c r="J21" s="375" t="str">
        <x:v>무게추</x:v>
      </x:c>
      <x:c r="K21" s="375" t="str">
        <x:v>Hilt Slam</x:v>
      </x:c>
      <x:c r="L21" s="375"/>
      <x:c r="M21" s="375" t="str">
        <x:v>通常札</x:v>
      </x:c>
      <x:c r="N21" s="375"/>
      <x:c r="O21" s="375"/>
      <x:c r="P21" s="375"/>
      <x:c r="Q21" s="375"/>
      <x:c r="R21" s="375" t="str">
        <x:v>攻撃</x:v>
      </x:c>
      <x:c r="S21" s="375" t="str">
        <x:v>対応</x:v>
      </x:c>
      <x:c r="T21" s="375" t="str">
        <x:v>2-3</x:v>
      </x:c>
      <x:c r="U21" s="383"/>
      <x:c r="V21" s="382" t="str">
        <x:v>2/1</x:v>
      </x:c>
      <x:c r="W21" s="383"/>
      <x:c r="X21" s="382"/>
      <x:c r="Y21" s="382"/>
      <x:c r="Z21" s="382"/>
      <x:c r="AA21" s="382"/>
      <x:c r="AB21" s="385"/>
      <x:c r="AC21" s="385"/>
      <x:c r="AD21" s="386"/>
      <x:c r="AE21" s="440" t="str">
        <x:v>【攻撃後】八相―あなたのオーラが1以下ならば、ダスト→間合：1</x:v>
      </x:c>
      <x:c r="AF21" s="441"/>
      <x:c r="AG21" s="488" t="str">
        <x:v>【攻击后】八相～若自装中樱花结晶数仅1个或更少，则：虚→1→距</x:v>
      </x:c>
      <x:c r="AH21" s="442"/>
      <x:c r="AI21" s="488" t="str">
        <x:v>【攻击后】八相～若自装中没有樱花结晶，则：虚→1→距</x:v>
      </x:c>
      <x:c r="AJ21" s="440"/>
      <x:c r="AK21" s="488" t="str">
        <x:v>【공격후】팔상-당신의 오라가 1이하라면, 더스트→간격：1</x:v>
      </x:c>
      <x:c r="AL21" s="440"/>
      <x:c r="AM21" s="488" t="str">
        <x:v>After Attack: Idea - If you have 1 or fewer Sakura tokens on your Aura:
Shadow (1)→ Distance</x:v>
      </x:c>
      <x:c r="AN21" s="440"/>
      <x:c r="AO21" s="440"/>
      <x:c r="AP21" s="440"/>
      <x:c r="AQ21" s="440"/>
      <x:c r="AR21" s="440"/>
      <x:c r="AS21" s="440"/>
      <x:c r="AT21" s="378" t="str">
        <x:f aca="0">IF(A21="", "","'"&amp;A21&amp;"': {megami: '"&amp;B21&amp;"'"&amp;IF(C21&lt;&gt;"",", anotherID: '"&amp;C21&amp;"', replace: '"&amp;D21&amp;"'","")&amp;", name: '"&amp;SUBSTITUTE(E21,"'","\'")&amp;"', nameEn: '"&amp;SUBSTITUTE(K21,"'","\'")&amp;"', nameZh: '"&amp;SUBSTITUTE(G21,"'","\'")&amp;"', nameZhG20: '"&amp;SUBSTITUTE(H21,"'","\'")&amp;"', nameKo: '"&amp;SUBSTITUTE(J21,"'","\'")&amp;"', ruby: '"&amp;F21&amp;"', rubyEn: '"&amp;L21&amp;IF(I21&lt;&gt;"", "', rubyZh: '"&amp;I21, "")&amp;"', baseType: '"&amp;IF(M21="通常札","normal",IF(M21="切札","special",IF(M21="追加札","extra",IF(M21="transform","transform",IF(M21="嵐","storm",IF(M21="兵員","troop",IF(M21="構想","plan",IF(M21="メインパーツ","mainParts",IF(M21="カスタムパーツ","customParts",IF(M21="運命","fate",IF(M21="仮想樹","virtualTree","")))))))))))&amp;"'"&amp;IF(N21="○",", extra: true","")&amp;IF(O21&lt;&gt;"",", extraFrom: '"&amp;O21&amp;"'","")&amp;IF(P21&lt;&gt;"",", exchangableTo: '"&amp;P21&amp;"'","")&amp;IF(Q21="○",", poison: true","")&amp;IF(R21&lt;&gt;"", ", type: '"&amp;IF(R21="攻撃","attack",IF(R21="行動","action",IF(R21="不定","variable",IF(R21="対応","reaction",IF(R21="全力","fullpower",IF(R21="付与","enhance",IF(R21="transform","transform","")))))))&amp;"'", "")&amp;IF(S21&lt;&gt;"",", subType: '"&amp;IF(S21="攻撃","attack",IF(S21="行動","action",IF(S21="不定","variable",IF(S21="対応","reaction",IF(S21="全力","fullpower",IF(S21="付与","enhance",IF(S21="transform","transform","")))))))&amp;"'","")&amp;""&amp;IF(T21&lt;&gt;"",",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textZhG20: '"&amp;SUBSTITUTE(SUBSTITUTE(SUBSTITUTE(AI21, CHAR(13), ""),CHAR(10),"\n"),"'","\'")&amp;IF(AH21&lt;&gt;"", "', textZhAdditional: '"&amp;SUBSTITUTE(SUBSTITUTE(AH21, CHAR(13), ""),CHAR(10),"\n"), "")&amp;IF(AK21&lt;&gt;"", "', textZhG20Additional: '"&amp;SUBSTITUTE(SUBSTITUTE(AK21, CHAR(13), ""),CHAR(10),"\n"), "")&amp;"', textKo: '"&amp;SUBSTITUTE(SUBSTITUTE(SUBSTITUTE(AM21, CHAR(13), ""),CHAR(10),"\n"),"'","\'")&amp;IF(AM21&lt;&gt;"", "', textKoAdditional: '"&amp;SUBSTITUTE(SUBSTITUTE(AM21, CHAR(13), ""),CHAR(10),"\n"), "")&amp;"', textEn: '"&amp;SUBSTITUTE(SUBSTITUTE(SUBSTITUTE(AM21, CHAR(13), ""),CHAR(10),"\n"),"'","\'")&amp;IF(AN21&lt;&gt;"", "', textEnAdditional: '"&amp;SUBSTITUTE(SUBSTITUTE(AN21, CHAR(13), ""),CHAR(10),"\n"), "")&amp;"'"&amp;IF(AB21="○",", sealable: true","")&amp;IF(AC21="○",", removable: true","")&amp;IF(AA21="○",", lie: true","")&amp;IF(AD21="○",", investable: true","")&amp;"},")</x:f>
        <x:v>'02-saine-o-n-3': {megami: 'saine', name: '石突', nameEn: 'Hilt Slam', nameZh: '石突', nameZhG20: '石突', nameKo: '무게추', ruby: 'いしづき', rubyEn: '', baseType: 'normal', type: 'attack', subType: 'reaction', range: '2-3', damage: '2/1', text: '【攻撃後】八相―あなたのオーラが1以下ならば、ダスト→間合：1', textZh: '【攻击后】八相～若自装中樱花结晶数仅1个或更少，则：虚→1→距', textZhG20: '【攻击后】八相～若自装中没有樱花结晶，则：虚→1→距', textZhG20Additional: '【공격후】팔상-당신의 오라가 1이하라면, 더스트→간격：1', textKo: 'After Attack: Idea - If you have 1 or fewer Sakura tokens on your Aura:\n\nShadow (1)→ Distance', textKoAdditional: 'After Attack: Idea - If you have 1 or fewer Sakura tokens on your Aura:\n\nShadow (1)→ Distance', textEn: 'After Attack: Idea - If you have 1 or fewer Sakura tokens on your Aura:\n\nShadow (1)→ Distance'},</x:v>
      </x:c>
      <x:c r="AU21" s="379" t="str">
        <x:f aca="0">IF($A21&lt;&gt;"", "    /** 《"&amp;$E21&amp;"》 */ export const "&amp;SUBSTITUTE(UPPER(IF(MID($A21, 3, 1)="-", RIGHT($A21,LEN($A21)-3), $A21)), "-", "_")&amp;": TCardId = '"&amp;$A21&amp;"';", "")</x:f>
        <x:v>    /** 《石突》 */ export const SAINE_O_N_3: TCardId = '02-saine-o-n-3';</x:v>
      </x:c>
      <x:c r="AV21" s="380" t="str">
        <x:f aca="0">IF($A22&lt;&gt;"", "    | '"&amp;$A22&amp;"'", "")</x:f>
        <x:v>    | '02-saine-o-n-4'</x:v>
      </x:c>
    </x:row>
    <x:row r="22" ht="83" hidden="0" customHeight="1">
      <x:c r="A22" s="375" t="str">
        <x:v>02-saine-o-n-4</x:v>
      </x:c>
      <x:c r="B22" s="375" t="str">
        <x:v>saine</x:v>
      </x:c>
      <x:c r="C22" s="375"/>
      <x:c r="D22" s="375"/>
      <x:c r="E22" s="375" t="str">
        <x:v>見切り</x:v>
      </x:c>
      <x:c r="F22" s="375" t="str">
        <x:v>みきり</x:v>
      </x:c>
      <x:c r="G22" s="375" t="str">
        <x:v>识破</x:v>
      </x:c>
      <x:c r="H22" s="375" t="str">
        <x:v>识破</x:v>
      </x:c>
      <x:c r="I22" s="375"/>
      <x:c r="J22" s="375" t="str">
        <x:v>간파</x:v>
      </x:c>
      <x:c r="K22" s="375" t="str">
        <x:v>Outclass</x:v>
      </x:c>
      <x:c r="L22" s="375"/>
      <x:c r="M22" s="375" t="str">
        <x:v>通常札</x:v>
      </x:c>
      <x:c r="N22" s="375"/>
      <x:c r="O22" s="375"/>
      <x:c r="P22" s="375"/>
      <x:c r="Q22" s="375"/>
      <x:c r="R22" s="375" t="str">
        <x:v>行動</x:v>
      </x:c>
      <x:c r="S22" s="375"/>
      <x:c r="T22" s="375"/>
      <x:c r="U22" s="383"/>
      <x:c r="V22" s="382"/>
      <x:c r="W22" s="383"/>
      <x:c r="X22" s="382"/>
      <x:c r="Y22" s="382"/>
      <x:c r="Z22" s="382"/>
      <x:c r="AA22" s="382"/>
      <x:c r="AB22" s="385"/>
      <x:c r="AC22" s="385"/>
      <x:c r="AD22" s="386"/>
      <x:c r="AE22" s="440" t="str">
        <x:v>【常時】八相―あなたのオーラが1以下ならば、このカードを《対応》を持つかのように相手の《攻撃》に割り込んで使用できる。
間合⇔ダスト：1</x:v>
      </x:c>
      <x:c r="AF22" s="441"/>
      <x:c r="AG22" s="488" t="str">
        <x:v>【常时】八相～若自装中樱花结晶数仅1个或更少，则此牌可以如《对应》牌一样对应《攻击》使用。
距↔1↔虚</x:v>
      </x:c>
      <x:c r="AH22" s="442"/>
      <x:c r="AI22" s="488" t="str">
        <x:v>【常时】八相～若自装中没有樱花结晶，则此牌可以如《对应》牌一样对应《攻击》使用。
距↔1↔虚</x:v>
      </x:c>
      <x:c r="AJ22" s="440"/>
      <x:c r="AK22" s="488" t="str">
        <x:v>【상시】팔상-당신의 오라가 1이하라면, 이 카드를 《대응》을 갖는것과 같이 상대의 《공격》 에 끼어들어 사용 가능하다. 
간격⇔더스트：1</x:v>
      </x:c>
      <x:c r="AL22" s="440"/>
      <x:c r="AM22" s="488" t="str">
        <x:v>Forced: Idea - You may play this card as if it were a Reaction if you have 1 or fewer Sakura tokens on your Aura.
Distance (1)⇔ Shadow</x:v>
      </x:c>
      <x:c r="AN22" s="440"/>
      <x:c r="AO22" s="440"/>
      <x:c r="AP22" s="440"/>
      <x:c r="AQ22" s="440"/>
      <x:c r="AR22" s="440"/>
      <x:c r="AS22" s="440"/>
      <x:c r="AT22" s="378" t="str">
        <x:f aca="0">IF(A22="", "","'"&amp;A22&amp;"': {megami: '"&amp;B22&amp;"'"&amp;IF(C22&lt;&gt;"",", anotherID: '"&amp;C22&amp;"', replace: '"&amp;D22&amp;"'","")&amp;", name: '"&amp;SUBSTITUTE(E22,"'","\'")&amp;"', nameEn: '"&amp;SUBSTITUTE(K22,"'","\'")&amp;"', nameZh: '"&amp;SUBSTITUTE(G22,"'","\'")&amp;"', nameZhG21: '"&amp;SUBSTITUTE(H22,"'","\'")&amp;"', nameKo: '"&amp;SUBSTITUTE(J22,"'","\'")&amp;"', ruby: '"&amp;F22&amp;"', rubyEn: '"&amp;L22&amp;IF(I22&lt;&gt;"", "', rubyZh: '"&amp;I22, "")&amp;"', baseType: '"&amp;IF(M22="通常札","normal",IF(M22="切札","special",IF(M22="追加札","extra",IF(M22="transform","transform",IF(M22="嵐","storm",IF(M22="兵員","troop",IF(M22="構想","plan",IF(M22="メインパーツ","mainParts",IF(M22="カスタムパーツ","customParts",IF(M22="運命","fate",IF(M22="仮想樹","virtualTree","")))))))))))&amp;"'"&amp;IF(N22="○",", extra: true","")&amp;IF(O22&lt;&gt;"",", extraFrom: '"&amp;O22&amp;"'","")&amp;IF(P22&lt;&gt;"",", exchangableTo: '"&amp;P22&amp;"'","")&amp;IF(Q22="○",", poison: true","")&amp;IF(R22&lt;&gt;"", ", type: '"&amp;IF(R22="攻撃","attack",IF(R22="行動","action",IF(R22="不定","variable",IF(R22="対応","reaction",IF(R22="全力","fullpower",IF(R22="付与","enhance",IF(R22="transform","transform","")))))))&amp;"'", "")&amp;IF(S22&lt;&gt;"",", subType: '"&amp;IF(S22="攻撃","attack",IF(S22="行動","action",IF(S22="不定","variable",IF(S22="対応","reaction",IF(S22="全力","fullpower",IF(S22="付与","enhance",IF(S22="transform","transform","")))))))&amp;"'","")&amp;""&amp;IF(T22&lt;&gt;"",",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textZhG21: '"&amp;SUBSTITUTE(SUBSTITUTE(SUBSTITUTE(AI22, CHAR(13), ""),CHAR(10),"\n"),"'","\'")&amp;IF(AH22&lt;&gt;"", "', textZhAdditional: '"&amp;SUBSTITUTE(SUBSTITUTE(AH22, CHAR(13), ""),CHAR(10),"\n"), "")&amp;IF(AK22&lt;&gt;"", "', textZhG21Additional: '"&amp;SUBSTITUTE(SUBSTITUTE(AK22, CHAR(13), ""),CHAR(10),"\n"), "")&amp;"', textKo: '"&amp;SUBSTITUTE(SUBSTITUTE(SUBSTITUTE(AM22, CHAR(13), ""),CHAR(10),"\n"),"'","\'")&amp;IF(AM22&lt;&gt;"", "', textKoAdditional: '"&amp;SUBSTITUTE(SUBSTITUTE(AM22, CHAR(13), ""),CHAR(10),"\n"), "")&amp;"', textEn: '"&amp;SUBSTITUTE(SUBSTITUTE(SUBSTITUTE(AM22, CHAR(13), ""),CHAR(10),"\n"),"'","\'")&amp;IF(AN22&lt;&gt;"", "', textEnAdditional: '"&amp;SUBSTITUTE(SUBSTITUTE(AN22, CHAR(13), ""),CHAR(10),"\n"), "")&amp;"'"&amp;IF(AB22="○",", sealable: true","")&amp;IF(AC22="○",", removable: true","")&amp;IF(AA22="○",", lie: true","")&amp;IF(AD22="○",", investable: true","")&amp;"},")</x:f>
        <x:v>'02-saine-o-n-4': {megami: 'saine', name: '見切り', nameEn: 'Outclass', nameZh: '识破', nameZhG21: '识破', nameKo: '간파', ruby: 'みきり', rubyEn: '', baseType: 'normal', type: 'action', text: '【常時】八相―あなたのオーラが1以下ならば、このカードを《対応》を持つかのように相手の《攻撃》に割り込んで使用できる。\n間合⇔ダスト：1', textZh: '【常时】八相～若自装中樱花结晶数仅1个或更少，则此牌可以如《对应》牌一样对应《攻击》使用。\n距↔1↔虚', textZhG21: '【常时】八相～若自装中没有樱花结晶，则此牌可以如《对应》牌一样对应《攻击》使用。\n距↔1↔虚', textZhG21Additional: '【상시】팔상-당신의 오라가 1이하라면, 이 카드를 《대응》을 갖는것과 같이 상대의 《공격》 에 끼어들어 사용 가능하다. \n간격⇔더스트：1', textKo: 'Forced: Idea - You may play this card as if it were a Reaction if you have 1 or fewer Sakura tokens on your Aura.\n\nDistance (1)⇔ Shadow', textKoAdditional: 'Forced: Idea - You may play this card as if it were a Reaction if you have 1 or fewer Sakura tokens on your Aura.\n\nDistance (1)⇔ Shadow', textEn: 'Forced: Idea - You may play this card as if it were a Reaction if you have 1 or fewer Sakura tokens on your Aura.\n\nDistance (1)⇔ Shadow'},</x:v>
      </x:c>
      <x:c r="AU22" s="379" t="str">
        <x:f aca="0">IF($A22&lt;&gt;"", "    /** 《"&amp;$E22&amp;"》 */ export const "&amp;SUBSTITUTE(UPPER(IF(MID($A22, 3, 1)="-", RIGHT($A22,LEN($A22)-3), $A22)), "-", "_")&amp;": TCardId = '"&amp;$A22&amp;"';", "")</x:f>
        <x:v>    /** 《見切り》 */ export const SAINE_O_N_4: TCardId = '02-saine-o-n-4';</x:v>
      </x:c>
      <x:c r="AV22" s="380" t="str">
        <x:f aca="0">IF($A23&lt;&gt;"", "    | '"&amp;$A23&amp;"'", "")</x:f>
        <x:v>    | '02-saine-o-n-5'</x:v>
      </x:c>
    </x:row>
    <x:row r="23" ht="68" hidden="0" customHeight="1">
      <x:c r="A23" s="375" t="str">
        <x:v>02-saine-o-n-5</x:v>
      </x:c>
      <x:c r="B23" s="375" t="str">
        <x:v>saine</x:v>
      </x:c>
      <x:c r="C23" s="375"/>
      <x:c r="D23" s="375"/>
      <x:c r="E23" s="375" t="str">
        <x:v>圏域</x:v>
      </x:c>
      <x:c r="F23" s="375" t="str">
        <x:v>けんいき</x:v>
      </x:c>
      <x:c r="G23" s="375" t="str">
        <x:v>圈域</x:v>
      </x:c>
      <x:c r="H23" s="375" t="str">
        <x:v>圈域</x:v>
      </x:c>
      <x:c r="I23" s="375"/>
      <x:c r="J23" s="375" t="str">
        <x:v>권역</x:v>
      </x:c>
      <x:c r="K23" s="375" t="str">
        <x:v>Space for Master</x:v>
      </x:c>
      <x:c r="L23" s="375"/>
      <x:c r="M23" s="375" t="str">
        <x:v>通常札</x:v>
      </x:c>
      <x:c r="N23" s="375"/>
      <x:c r="O23" s="375"/>
      <x:c r="P23" s="375"/>
      <x:c r="Q23" s="375"/>
      <x:c r="R23" s="375" t="str">
        <x:v>付与</x:v>
      </x:c>
      <x:c r="S23" s="375"/>
      <x:c r="T23" s="375"/>
      <x:c r="U23" s="383"/>
      <x:c r="V23" s="382"/>
      <x:c r="W23" s="383"/>
      <x:c r="X23" s="382" t="n">
        <x:v>2</x:v>
      </x:c>
      <x:c r="Y23" s="382"/>
      <x:c r="Z23" s="382"/>
      <x:c r="AA23" s="382"/>
      <x:c r="AB23" s="385"/>
      <x:c r="AC23" s="385"/>
      <x:c r="AD23" s="386"/>
      <x:c r="AE23" s="440" t="str">
        <x:v>【展開中】この付与札の上の桜花結晶がダストへと送られるならば、それは代わりに間合に動かす。
【展開中】達人の間合は1大きくなる。</x:v>
      </x:c>
      <x:c r="AF23" s="441"/>
      <x:c r="AG23" s="488" t="str">
        <x:v>【展开中】若此牌上的樱花结晶将被移至虚，则改为将其移至距。
【展开中】达人距离的值增大1。</x:v>
      </x:c>
      <x:c r="AH23" s="442"/>
      <x:c r="AI23" s="488" t="str">
        <x:v>【展开中】若此牌上的樱花结晶将被移至虚，则改为将其移至距。
【展开中】达人距离的值增大1。</x:v>
      </x:c>
      <x:c r="AJ23" s="440"/>
      <x:c r="AK23" s="488" t="str">
        <x:v>【전개중】이 부여패 위에 있는 벚꽃 결정이 더스트로 움직일 때, 그 대신에 간격으로 이동한다.
【전개중】달인의 간격이 1늘어난다.</x:v>
      </x:c>
      <x:c r="AL23" s="440"/>
      <x:c r="AM23" s="488" t="str">
        <x:v>Ongoing: If a Sakura token would be moved from this card to Shadow, instead move it to Distance.
Ongoing: Increase the size of the Mastery Zone by 1.</x:v>
      </x:c>
      <x:c r="AN23" s="440"/>
      <x:c r="AO23" s="440"/>
      <x:c r="AP23" s="440"/>
      <x:c r="AQ23" s="440"/>
      <x:c r="AR23" s="440"/>
      <x:c r="AS23" s="440"/>
      <x:c r="AT23" s="378" t="str">
        <x:f aca="0">IF(A23="", "","'"&amp;A23&amp;"': {megami: '"&amp;B23&amp;"'"&amp;IF(C23&lt;&gt;"",", anotherID: '"&amp;C23&amp;"', replace: '"&amp;D23&amp;"'","")&amp;", name: '"&amp;SUBSTITUTE(E23,"'","\'")&amp;"', nameEn: '"&amp;SUBSTITUTE(K23,"'","\'")&amp;"', nameZh: '"&amp;SUBSTITUTE(G23,"'","\'")&amp;"', nameZhG22: '"&amp;SUBSTITUTE(H23,"'","\'")&amp;"', nameKo: '"&amp;SUBSTITUTE(J23,"'","\'")&amp;"', ruby: '"&amp;F23&amp;"', rubyEn: '"&amp;L23&amp;IF(I23&lt;&gt;"", "', rubyZh: '"&amp;I23, "")&amp;"', baseType: '"&amp;IF(M23="通常札","normal",IF(M23="切札","special",IF(M23="追加札","extra",IF(M23="transform","transform",IF(M23="嵐","storm",IF(M23="兵員","troop",IF(M23="構想","plan",IF(M23="メインパーツ","mainParts",IF(M23="カスタムパーツ","customParts",IF(M23="運命","fate",IF(M23="仮想樹","virtualTree","")))))))))))&amp;"'"&amp;IF(N23="○",", extra: true","")&amp;IF(O23&lt;&gt;"",", extraFrom: '"&amp;O23&amp;"'","")&amp;IF(P23&lt;&gt;"",", exchangableTo: '"&amp;P23&amp;"'","")&amp;IF(Q23="○",", poison: true","")&amp;IF(R23&lt;&gt;"", ", type: '"&amp;IF(R23="攻撃","attack",IF(R23="行動","action",IF(R23="不定","variable",IF(R23="対応","reaction",IF(R23="全力","fullpower",IF(R23="付与","enhance",IF(R23="transform","transform","")))))))&amp;"'", "")&amp;IF(S23&lt;&gt;"",", subType: '"&amp;IF(S23="攻撃","attack",IF(S23="行動","action",IF(S23="不定","variable",IF(S23="対応","reaction",IF(S23="全力","fullpower",IF(S23="付与","enhance",IF(S23="transform","transform","")))))))&amp;"'","")&amp;""&amp;IF(T23&lt;&gt;"",",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textZhG22: '"&amp;SUBSTITUTE(SUBSTITUTE(SUBSTITUTE(AI23, CHAR(13), ""),CHAR(10),"\n"),"'","\'")&amp;IF(AH23&lt;&gt;"", "', textZhAdditional: '"&amp;SUBSTITUTE(SUBSTITUTE(AH23, CHAR(13), ""),CHAR(10),"\n"), "")&amp;IF(AK23&lt;&gt;"", "', textZhG22Additional: '"&amp;SUBSTITUTE(SUBSTITUTE(AK23, CHAR(13), ""),CHAR(10),"\n"), "")&amp;"', textKo: '"&amp;SUBSTITUTE(SUBSTITUTE(SUBSTITUTE(AM23, CHAR(13), ""),CHAR(10),"\n"),"'","\'")&amp;IF(AM23&lt;&gt;"", "', textKoAdditional: '"&amp;SUBSTITUTE(SUBSTITUTE(AM23, CHAR(13), ""),CHAR(10),"\n"), "")&amp;"', textEn: '"&amp;SUBSTITUTE(SUBSTITUTE(SUBSTITUTE(AM23, CHAR(13), ""),CHAR(10),"\n"),"'","\'")&amp;IF(AN23&lt;&gt;"", "', textEnAdditional: '"&amp;SUBSTITUTE(SUBSTITUTE(AN23, CHAR(13), ""),CHAR(10),"\n"), "")&amp;"'"&amp;IF(AB23="○",", sealable: true","")&amp;IF(AC23="○",", removable: true","")&amp;IF(AA23="○",", lie: true","")&amp;IF(AD23="○",", investable: true","")&amp;"},")</x:f>
        <x:v>'02-saine-o-n-5': {megami: 'saine', name: '圏域', nameEn: 'Space for Master', nameZh: '圈域', nameZhG22: '圈域', nameKo: '권역', ruby: 'けんいき', rubyEn: '', baseType: 'normal', type: 'enhance', capacity: '2', text: '【展開中】この付与札の上の桜花結晶がダストへと送られるならば、それは代わりに間合に動かす。\n【展開中】達人の間合は1大きくなる。', textZh: '【展开中】若此牌上的樱花结晶将被移至虚，则改为将其移至距。\n【展开中】达人距离的值增大1。', textZhG22: '【展开中】若此牌上的樱花结晶将被移至虚，则改为将其移至距。\n【展开中】达人距离的值增大1。', textZhG22Additional: '【전개중】이 부여패 위에 있는 벚꽃 결정이 더스트로 움직일 때, 그 대신에 간격으로 이동한다.\n【전개중】달인의 간격이 1늘어난다.', textKo: 'Ongoing: If a Sakura token would be moved from this card to Shadow, instead move it to Distance.\n\nOngoing: Increase the size of the Mastery Zone by 1.', textKoAdditional: 'Ongoing: If a Sakura token would be moved from this card to Shadow, instead move it to Distance.\n\nOngoing: Increase the size of the Mastery Zone by 1.', textEn: 'Ongoing: If a Sakura token would be moved from this card to Shadow, instead move it to Distance.\n\nOngoing: Increase the size of the Mastery Zone by 1.'},</x:v>
      </x:c>
      <x:c r="AU23" s="379" t="str">
        <x:f aca="0">IF($A23&lt;&gt;"", "    /** 《"&amp;$E23&amp;"》 */ export const "&amp;SUBSTITUTE(UPPER(IF(MID($A23, 3, 1)="-", RIGHT($A23,LEN($A23)-3), $A23)), "-", "_")&amp;": TCardId = '"&amp;$A23&amp;"';", "")</x:f>
        <x:v>    /** 《圏域》 */ export const SAINE_O_N_5: TCardId = '02-saine-o-n-5';</x:v>
      </x:c>
      <x:c r="AV23" s="380" t="str">
        <x:f aca="0">IF($A24&lt;&gt;"", "    | '"&amp;$A24&amp;"'", "")</x:f>
        <x:v>    | '02-saine-o-n-6'</x:v>
      </x:c>
    </x:row>
    <x:row r="24" ht="98" hidden="0" customHeight="1">
      <x:c r="A24" s="375" t="str">
        <x:v>02-saine-o-n-6</x:v>
      </x:c>
      <x:c r="B24" s="375" t="str">
        <x:v>saine</x:v>
      </x:c>
      <x:c r="C24" s="375"/>
      <x:c r="D24" s="375"/>
      <x:c r="E24" s="375" t="str">
        <x:v>衝音晶</x:v>
      </x:c>
      <x:c r="F24" s="375" t="str">
        <x:v>しょうおんしょう</x:v>
      </x:c>
      <x:c r="G24" s="375" t="str">
        <x:v>冲音晶</x:v>
      </x:c>
      <x:c r="H24" s="375" t="str">
        <x:v>冲音晶</x:v>
      </x:c>
      <x:c r="I24" s="375"/>
      <x:c r="J24" s="375" t="str">
        <x:v>충음정</x:v>
      </x:c>
      <x:c r="K24" s="375" t="str">
        <x:v>Wavering Crystal</x:v>
      </x:c>
      <x:c r="L24" s="375"/>
      <x:c r="M24" s="375" t="str">
        <x:v>通常札</x:v>
      </x:c>
      <x:c r="N24" s="375"/>
      <x:c r="O24" s="375"/>
      <x:c r="P24" s="375"/>
      <x:c r="Q24" s="375"/>
      <x:c r="R24" s="375" t="str">
        <x:v>付与</x:v>
      </x:c>
      <x:c r="S24" s="375" t="str">
        <x:v>対応</x:v>
      </x:c>
      <x:c r="T24" s="376"/>
      <x:c r="U24" s="383"/>
      <x:c r="V24" s="382"/>
      <x:c r="W24" s="383"/>
      <x:c r="X24" s="382" t="n">
        <x:v>1</x:v>
      </x:c>
      <x:c r="Y24" s="382"/>
      <x:c r="Z24" s="382"/>
      <x:c r="AA24" s="382"/>
      <x:c r="AB24" s="385"/>
      <x:c r="AC24" s="385"/>
      <x:c r="AD24" s="386"/>
      <x:c r="AE24" s="440" t="str">
        <x:v>【展開時】対応した《攻撃》は-1/+0となる。
【破棄時】攻撃『適正距離0-10、1/-、対応不可』を行い、
ダスト→間合：1</x:v>
      </x:c>
      <x:c r="AF24" s="441"/>
      <x:c r="AG24" s="488" t="str">
        <x:v>【展开时】被对应的《攻击》得-1/+0。
【破弃时】进行一次“攻击距离0-10、伤害1/-、不可被对应”的攻击。虚→1→距</x:v>
      </x:c>
      <x:c r="AH24" s="442"/>
      <x:c r="AI24" s="488" t="str">
        <x:v>【展开时】被对应的《攻击》得-1/-0 
【破弃时】进行一次“攻击距离0-10 伤害1/- 不可被对应”的攻击。虚（1）→距</x:v>
      </x:c>
      <x:c r="AJ24" s="440"/>
      <x:c r="AK24" s="488" t="str">
        <x:v>【전개시】대응한 《공격》은 -1/+0이 된다.
【파기시】공격『적정거리 0-10、1/-、대응불가』를 행하고, 더스트→간격：1</x:v>
      </x:c>
      <x:c r="AL24" s="440"/>
      <x:c r="AM24" s="488" t="str">
        <x:v>Initialize: The attack you played this card as a Reaction to gets -1/+0.
Disenchant: You attack with "Range: 0-10, Damage: 1/-, No Reactions". Then:
Shadow (1)→ Distance.</x:v>
      </x:c>
      <x:c r="AN24" s="440"/>
      <x:c r="AO24" s="440"/>
      <x:c r="AP24" s="440"/>
      <x:c r="AQ24" s="440"/>
      <x:c r="AR24" s="440"/>
      <x:c r="AS24" s="440"/>
      <x:c r="AT24" s="378" t="str">
        <x:f aca="0">IF(A24="", "","'"&amp;A24&amp;"': {megami: '"&amp;B24&amp;"'"&amp;IF(C24&lt;&gt;"",", anotherID: '"&amp;C24&amp;"', replace: '"&amp;D24&amp;"'","")&amp;", name: '"&amp;SUBSTITUTE(E24,"'","\'")&amp;"', nameEn: '"&amp;SUBSTITUTE(K24,"'","\'")&amp;"', nameZh: '"&amp;SUBSTITUTE(G24,"'","\'")&amp;"', nameZhG23: '"&amp;SUBSTITUTE(H24,"'","\'")&amp;"', nameKo: '"&amp;SUBSTITUTE(J24,"'","\'")&amp;"', ruby: '"&amp;F24&amp;"', rubyEn: '"&amp;L24&amp;IF(I24&lt;&gt;"", "', rubyZh: '"&amp;I24, "")&amp;"', baseType: '"&amp;IF(M24="通常札","normal",IF(M24="切札","special",IF(M24="追加札","extra",IF(M24="transform","transform",IF(M24="嵐","storm",IF(M24="兵員","troop",IF(M24="構想","plan",IF(M24="メインパーツ","mainParts",IF(M24="カスタムパーツ","customParts",IF(M24="運命","fate",IF(M24="仮想樹","virtualTree","")))))))))))&amp;"'"&amp;IF(N24="○",", extra: true","")&amp;IF(O24&lt;&gt;"",", extraFrom: '"&amp;O24&amp;"'","")&amp;IF(P24&lt;&gt;"",", exchangableTo: '"&amp;P24&amp;"'","")&amp;IF(Q24="○",", poison: true","")&amp;IF(R24&lt;&gt;"", ", type: '"&amp;IF(R24="攻撃","attack",IF(R24="行動","action",IF(R24="不定","variable",IF(R24="対応","reaction",IF(R24="全力","fullpower",IF(R24="付与","enhance",IF(R24="transform","transform","")))))))&amp;"'", "")&amp;IF(S24&lt;&gt;"",", subType: '"&amp;IF(S24="攻撃","attack",IF(S24="行動","action",IF(S24="不定","variable",IF(S24="対応","reaction",IF(S24="全力","fullpower",IF(S24="付与","enhance",IF(S24="transform","transform","")))))))&amp;"'","")&amp;""&amp;IF(T24&lt;&gt;"",",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textZhG23: '"&amp;SUBSTITUTE(SUBSTITUTE(SUBSTITUTE(AI24, CHAR(13), ""),CHAR(10),"\n"),"'","\'")&amp;IF(AH24&lt;&gt;"", "', textZhAdditional: '"&amp;SUBSTITUTE(SUBSTITUTE(AH24, CHAR(13), ""),CHAR(10),"\n"), "")&amp;IF(AK24&lt;&gt;"", "', textZhG23Additional: '"&amp;SUBSTITUTE(SUBSTITUTE(AK24, CHAR(13), ""),CHAR(10),"\n"), "")&amp;"', textKo: '"&amp;SUBSTITUTE(SUBSTITUTE(SUBSTITUTE(AM24, CHAR(13), ""),CHAR(10),"\n"),"'","\'")&amp;IF(AM24&lt;&gt;"", "', textKoAdditional: '"&amp;SUBSTITUTE(SUBSTITUTE(AM24, CHAR(13), ""),CHAR(10),"\n"), "")&amp;"', textEn: '"&amp;SUBSTITUTE(SUBSTITUTE(SUBSTITUTE(AM24, CHAR(13), ""),CHAR(10),"\n"),"'","\'")&amp;IF(AN24&lt;&gt;"", "', textEnAdditional: '"&amp;SUBSTITUTE(SUBSTITUTE(AN24, CHAR(13), ""),CHAR(10),"\n"), "")&amp;"'"&amp;IF(AB24="○",", sealable: true","")&amp;IF(AC24="○",", removable: true","")&amp;IF(AA24="○",", lie: true","")&amp;IF(AD24="○",", investable: true","")&amp;"},")</x:f>
        <x:v>'02-saine-o-n-6': {megami: 'saine', name: '衝音晶', nameEn: 'Wavering Crystal', nameZh: '冲音晶', nameZhG23: '冲音晶', nameKo: '충음정', ruby: 'しょうおんしょう', rubyEn: '', baseType: 'normal', type: 'enhance', subType: 'reaction', capacity: '1', text: '【展開時】対応した《攻撃》は-1/+0となる。\n【破棄時】攻撃『適正距離0-10、1/-、対応不可』を行い、\nダスト→間合：1', textZh: '【展开时】被对应的《攻击》得-1/+0。\n【破弃时】进行一次“攻击距离0-10、伤害1/-、不可被对应”的攻击。虚→1→距', textZhG23: '【展开时】被对应的《攻击》得-1/-0 \n【破弃时】进行一次“攻击距离0-10 伤害1/- 不可被对应”的攻击。虚（1）→距', textZhG23Additional: '【전개시】대응한 《공격》은 -1/+0이 된다.\n【파기시】공격『적정거리 0-10、1/-、대응불가』를 행하고, 더스트→간격：1', textKo: 'Initialize: The attack you played this card as a Reaction to gets -1/+0.\n\nDisenchant: You attack with "Range: 0-10, Damage: 1/-, No Reactions". Then:\nShadow (1)→ Distance.', textKoAdditional: 'Initialize: The attack you played this card as a Reaction to gets -1/+0.\n\nDisenchant: You attack with "Range: 0-10, Damage: 1/-, No Reactions". Then:\nShadow (1)→ Distance.', textEn: 'Initialize: The attack you played this card as a Reaction to gets -1/+0.\n\nDisenchant: You attack with "Range: 0-10, Damage: 1/-, No Reactions". Then:\nShadow (1)→ Distance.'},</x:v>
      </x:c>
      <x:c r="AU24" s="379" t="str">
        <x:f aca="0">IF($A24&lt;&gt;"", "    /** 《"&amp;$E24&amp;"》 */ export const "&amp;SUBSTITUTE(UPPER(IF(MID($A24, 3, 1)="-", RIGHT($A24,LEN($A24)-3), $A24)), "-", "_")&amp;": TCardId = '"&amp;$A24&amp;"';", "")</x:f>
        <x:v>    /** 《衝音晶》 */ export const SAINE_O_N_6: TCardId = '02-saine-o-n-6';</x:v>
      </x:c>
      <x:c r="AV24" s="380" t="str">
        <x:f aca="0">IF($A25&lt;&gt;"", "    | '"&amp;$A25&amp;"'", "")</x:f>
        <x:v>    | '02-saine-o-n-7'</x:v>
      </x:c>
    </x:row>
    <x:row r="25" ht="38" hidden="0" customHeight="1">
      <x:c r="A25" s="375" t="str">
        <x:v>02-saine-o-n-7</x:v>
      </x:c>
      <x:c r="B25" s="375" t="str">
        <x:v>saine</x:v>
      </x:c>
      <x:c r="C25" s="375"/>
      <x:c r="D25" s="375"/>
      <x:c r="E25" s="375" t="str">
        <x:v>無音壁</x:v>
      </x:c>
      <x:c r="F25" s="375" t="str">
        <x:v>むおんへき</x:v>
      </x:c>
      <x:c r="G25" s="375" t="str">
        <x:v>无音壁</x:v>
      </x:c>
      <x:c r="H25" s="375" t="str">
        <x:v>无音壁</x:v>
      </x:c>
      <x:c r="I25" s="375"/>
      <x:c r="J25" s="375" t="str">
        <x:v>무음벽</x:v>
      </x:c>
      <x:c r="K25" s="375" t="str">
        <x:v>Silent Wall</x:v>
      </x:c>
      <x:c r="L25" s="375"/>
      <x:c r="M25" s="375" t="str">
        <x:v>通常札</x:v>
      </x:c>
      <x:c r="N25" s="375"/>
      <x:c r="O25" s="375"/>
      <x:c r="P25" s="375"/>
      <x:c r="Q25" s="375"/>
      <x:c r="R25" s="375" t="str">
        <x:v>付与</x:v>
      </x:c>
      <x:c r="S25" s="375" t="str">
        <x:v>全力</x:v>
      </x:c>
      <x:c r="T25" s="375"/>
      <x:c r="U25" s="383"/>
      <x:c r="V25" s="382"/>
      <x:c r="W25" s="383"/>
      <x:c r="X25" s="382" t="n">
        <x:v>5</x:v>
      </x:c>
      <x:c r="Y25" s="382"/>
      <x:c r="Z25" s="382"/>
      <x:c r="AA25" s="382"/>
      <x:c r="AB25" s="385"/>
      <x:c r="AC25" s="385"/>
      <x:c r="AD25" s="386"/>
      <x:c r="AE25" s="440" t="str">
        <x:v>【展開中】あなたへのダメージを解決するに際し、このカードの上に置かれた桜花結晶をあなたのオーラにあるかのように扱う。</x:v>
      </x:c>
      <x:c r="AF25" s="441"/>
      <x:c r="AG25" s="440" t="str">
        <x:v>对你造成的伤害结算时，此牌上的樱花结晶视为在自装中。</x:v>
      </x:c>
      <x:c r="AH25" s="442"/>
      <x:c r="AI25" s="440" t="str">
        <x:v>【展开中】当自装将要受到伤害时，移除此牌上的樱花结晶，直到伤害被防止或移除了此牌上最后一个樱花结晶为止。每以此法移除一个樱花结晶，便防止1点对装伤害。</x:v>
      </x:c>
      <x:c r="AJ25" s="440"/>
      <x:c r="AK25" s="440" t="str">
        <x:v>【전개중】당신으로의 대미지를 해결 할 때, 이 카드 위에 놓인 벚꽃 결정을 당신의 오라에 있는 것처럼 취급한다.</x:v>
      </x:c>
      <x:c r="AL25" s="440"/>
      <x:c r="AM25" s="440" t="str">
        <x:v>Ongoing: Treat Sakura tokens on this card as if they were on your Aura whenever you are dealt damage.</x:v>
      </x:c>
      <x:c r="AN25" s="440"/>
      <x:c r="AO25" s="440"/>
      <x:c r="AP25" s="440"/>
      <x:c r="AQ25" s="440"/>
      <x:c r="AR25" s="440"/>
      <x:c r="AS25" s="440"/>
      <x:c r="AT25" s="378" t="str">
        <x:f aca="0">IF(A25="", "","'"&amp;A25&amp;"': {megami: '"&amp;B25&amp;"'"&amp;IF(C25&lt;&gt;"",", anotherID: '"&amp;C25&amp;"', replace: '"&amp;D25&amp;"'","")&amp;", name: '"&amp;SUBSTITUTE(E25,"'","\'")&amp;"', nameEn: '"&amp;SUBSTITUTE(K25,"'","\'")&amp;"', nameZh: '"&amp;SUBSTITUTE(G25,"'","\'")&amp;"', nameZhG24: '"&amp;SUBSTITUTE(H25,"'","\'")&amp;"', nameKo: '"&amp;SUBSTITUTE(J25,"'","\'")&amp;"', ruby: '"&amp;F25&amp;"', rubyEn: '"&amp;L25&amp;IF(I25&lt;&gt;"", "', rubyZh: '"&amp;I25, "")&amp;"', baseType: '"&amp;IF(M25="通常札","normal",IF(M25="切札","special",IF(M25="追加札","extra",IF(M25="transform","transform",IF(M25="嵐","storm",IF(M25="兵員","troop",IF(M25="構想","plan",IF(M25="メインパーツ","mainParts",IF(M25="カスタムパーツ","customParts",IF(M25="運命","fate",IF(M25="仮想樹","virtualTree","")))))))))))&amp;"'"&amp;IF(N25="○",", extra: true","")&amp;IF(O25&lt;&gt;"",", extraFrom: '"&amp;O25&amp;"'","")&amp;IF(P25&lt;&gt;"",", exchangableTo: '"&amp;P25&amp;"'","")&amp;IF(Q25="○",", poison: true","")&amp;IF(R25&lt;&gt;"", ", type: '"&amp;IF(R25="攻撃","attack",IF(R25="行動","action",IF(R25="不定","variable",IF(R25="対応","reaction",IF(R25="全力","fullpower",IF(R25="付与","enhance",IF(R25="transform","transform","")))))))&amp;"'", "")&amp;IF(S25&lt;&gt;"",", subType: '"&amp;IF(S25="攻撃","attack",IF(S25="行動","action",IF(S25="不定","variable",IF(S25="対応","reaction",IF(S25="全力","fullpower",IF(S25="付与","enhance",IF(S25="transform","transform","")))))))&amp;"'","")&amp;""&amp;IF(T25&lt;&gt;"",",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textZhG24: '"&amp;SUBSTITUTE(SUBSTITUTE(SUBSTITUTE(AI25, CHAR(13), ""),CHAR(10),"\n"),"'","\'")&amp;IF(AH25&lt;&gt;"", "', textZhAdditional: '"&amp;SUBSTITUTE(SUBSTITUTE(AH25, CHAR(13), ""),CHAR(10),"\n"), "")&amp;IF(AK25&lt;&gt;"", "', textZhG24Additional: '"&amp;SUBSTITUTE(SUBSTITUTE(AK25, CHAR(13), ""),CHAR(10),"\n"), "")&amp;"', textKo: '"&amp;SUBSTITUTE(SUBSTITUTE(SUBSTITUTE(AM25, CHAR(13), ""),CHAR(10),"\n"),"'","\'")&amp;IF(AM25&lt;&gt;"", "', textKoAdditional: '"&amp;SUBSTITUTE(SUBSTITUTE(AM25, CHAR(13), ""),CHAR(10),"\n"), "")&amp;"', textEn: '"&amp;SUBSTITUTE(SUBSTITUTE(SUBSTITUTE(AM25, CHAR(13), ""),CHAR(10),"\n"),"'","\'")&amp;IF(AN25&lt;&gt;"", "', textEnAdditional: '"&amp;SUBSTITUTE(SUBSTITUTE(AN25, CHAR(13), ""),CHAR(10),"\n"), "")&amp;"'"&amp;IF(AB25="○",", sealable: true","")&amp;IF(AC25="○",", removable: true","")&amp;IF(AA25="○",", lie: true","")&amp;IF(AD25="○",", investable: true","")&amp;"},")</x:f>
        <x:v>'02-saine-o-n-7': {megami: 'saine', name: '無音壁', nameEn: 'Silent Wall', nameZh: '无音壁', nameZhG24: '无音壁', nameKo: '무음벽', ruby: 'むおんへき', rubyEn: '', baseType: 'normal', type: 'enhance', subType: 'fullpower', capacity: '5', text: '【展開中】あなたへのダメージを解決するに際し、このカードの上に置かれた桜花結晶をあなたのオーラにあるかのように扱う。', textZh: '对你造成的伤害结算时，此牌上的樱花结晶视为在自装中。', textZhG24: '【展开中】当自装将要受到伤害时，移除此牌上的樱花结晶，直到伤害被防止或移除了此牌上最后一个樱花结晶为止。每以此法移除一个樱花结晶，便防止1点对装伤害。', textZhG24Additional: '【전개중】당신으로의 대미지를 해결 할 때, 이 카드 위에 놓인 벚꽃 결정을 당신의 오라에 있는 것처럼 취급한다.', textKo: 'Ongoing: Treat Sakura tokens on this card as if they were on your Aura whenever you are dealt damage.', textKoAdditional: 'Ongoing: Treat Sakura tokens on this card as if they were on your Aura whenever you are dealt damage.', textEn: 'Ongoing: Treat Sakura tokens on this card as if they were on your Aura whenever you are dealt damage.'},</x:v>
      </x:c>
      <x:c r="AU25" s="379" t="str">
        <x:f aca="0">IF($A25&lt;&gt;"", "    /** 《"&amp;$E25&amp;"》 */ export const "&amp;SUBSTITUTE(UPPER(IF(MID($A25, 3, 1)="-", RIGHT($A25,LEN($A25)-3), $A25)), "-", "_")&amp;": TCardId = '"&amp;$A25&amp;"';", "")</x:f>
        <x:v>    /** 《無音壁》 */ export const SAINE_O_N_7: TCardId = '02-saine-o-n-7';</x:v>
      </x:c>
      <x:c r="AV25" s="380" t="str">
        <x:f aca="0">IF($A26&lt;&gt;"", "    | '"&amp;$A26&amp;"'", "")</x:f>
        <x:v>    | '02-saine-o-s-1'</x:v>
      </x:c>
    </x:row>
    <x:row r="26" ht="83" hidden="0" customHeight="1">
      <x:c r="A26" s="375" t="str">
        <x:v>02-saine-o-s-1</x:v>
      </x:c>
      <x:c r="B26" s="375" t="str">
        <x:v>saine</x:v>
      </x:c>
      <x:c r="C26" s="375"/>
      <x:c r="D26" s="375"/>
      <x:c r="E26" s="375" t="str">
        <x:v>律動弧戟</x:v>
      </x:c>
      <x:c r="F26" s="375" t="str">
        <x:v>りつどうこげき</x:v>
      </x:c>
      <x:c r="G26" s="375" t="str">
        <x:v>律动弧戟</x:v>
      </x:c>
      <x:c r="H26" s="375" t="str">
        <x:v>律动弧戟</x:v>
      </x:c>
      <x:c r="I26" s="375"/>
      <x:c r="J26" s="375" t="str">
        <x:v>율동호극</x:v>
      </x:c>
      <x:c r="K26" s="375" t="str">
        <x:v>Rhythmic Arc</x:v>
      </x:c>
      <x:c r="L26" s="375"/>
      <x:c r="M26" s="375" t="str">
        <x:v>切札</x:v>
      </x:c>
      <x:c r="N26" s="375"/>
      <x:c r="O26" s="375"/>
      <x:c r="P26" s="375"/>
      <x:c r="Q26" s="375"/>
      <x:c r="R26" s="375" t="str">
        <x:v>行動</x:v>
      </x:c>
      <x:c r="S26" s="375"/>
      <x:c r="T26" s="375"/>
      <x:c r="U26" s="383"/>
      <x:c r="V26" s="382"/>
      <x:c r="W26" s="383"/>
      <x:c r="X26" s="382"/>
      <x:c r="Y26" s="382"/>
      <x:c r="Z26" s="382" t="n">
        <x:v>6</x:v>
      </x:c>
      <x:c r="AA26" s="382"/>
      <x:c r="AB26" s="385"/>
      <x:c r="AC26" s="385"/>
      <x:c r="AD26" s="386"/>
      <x:c r="AE26" s="440" t="str">
        <x:v>攻撃『適正距離3-4、1/1』を行う。
攻撃『適正距離4-5、1/1』を行う。
攻撃『適正距離3-5、2/2』を行う。</x:v>
      </x:c>
      <x:c r="AF26" s="441"/>
      <x:c r="AG26" s="440" t="str">
        <x:v>进行一次“攻击距离3-4、伤害1/1”的攻击。
进行一次“攻击距离4-5、伤害1/1”的攻击。
进行一次“攻击距离3-5、伤害2/2”的攻击。</x:v>
      </x:c>
      <x:c r="AH26" s="442"/>
      <x:c r="AI26" s="440" t="str">
        <x:v>进行一次“攻击距离3-4 伤害1/1”的攻击。
进行一次“攻击距离4-5 伤害1/1”的攻击。
进行一次“攻击距离3-5 伤害2/2”的攻击。</x:v>
      </x:c>
      <x:c r="AJ26" s="440"/>
      <x:c r="AK26" s="440" t="str">
        <x:v>공격『적정거리3-4、1/1』을 행한다.  공격『적정거리4-5、1/1』을 행한다.  공격『적정거리3-5、2/2』을 행한다.</x:v>
      </x:c>
      <x:c r="AL26" s="440"/>
      <x:c r="AM26" s="440" t="str">
        <x:v>You attack with
"Range: 3-4, Damage: 1/1", 
"Range: 4-5, Damage: 1/1", and 
"Range: 3-5, Damage: 2/2" 
in this order.</x:v>
      </x:c>
      <x:c r="AN26" s="440"/>
      <x:c r="AO26" s="440"/>
      <x:c r="AP26" s="440"/>
      <x:c r="AQ26" s="440"/>
      <x:c r="AR26" s="440"/>
      <x:c r="AS26" s="440"/>
      <x:c r="AT26" s="378" t="str">
        <x:f aca="0">IF(A26="", "","'"&amp;A26&amp;"': {megami: '"&amp;B26&amp;"'"&amp;IF(C26&lt;&gt;"",", anotherID: '"&amp;C26&amp;"', replace: '"&amp;D26&amp;"'","")&amp;", name: '"&amp;SUBSTITUTE(E26,"'","\'")&amp;"', nameEn: '"&amp;SUBSTITUTE(K26,"'","\'")&amp;"', nameZh: '"&amp;SUBSTITUTE(G26,"'","\'")&amp;"', nameZhG25: '"&amp;SUBSTITUTE(H26,"'","\'")&amp;"', nameKo: '"&amp;SUBSTITUTE(J26,"'","\'")&amp;"', ruby: '"&amp;F26&amp;"', rubyEn: '"&amp;L26&amp;IF(I26&lt;&gt;"", "', rubyZh: '"&amp;I26, "")&amp;"', baseType: '"&amp;IF(M26="通常札","normal",IF(M26="切札","special",IF(M26="追加札","extra",IF(M26="transform","transform",IF(M26="嵐","storm",IF(M26="兵員","troop",IF(M26="構想","plan",IF(M26="メインパーツ","mainParts",IF(M26="カスタムパーツ","customParts",IF(M26="運命","fate",IF(M26="仮想樹","virtualTree","")))))))))))&amp;"'"&amp;IF(N26="○",", extra: true","")&amp;IF(O26&lt;&gt;"",", extraFrom: '"&amp;O26&amp;"'","")&amp;IF(P26&lt;&gt;"",", exchangableTo: '"&amp;P26&amp;"'","")&amp;IF(Q26="○",", poison: true","")&amp;IF(R26&lt;&gt;"", ", type: '"&amp;IF(R26="攻撃","attack",IF(R26="行動","action",IF(R26="不定","variable",IF(R26="対応","reaction",IF(R26="全力","fullpower",IF(R26="付与","enhance",IF(R26="transform","transform","")))))))&amp;"'", "")&amp;IF(S26&lt;&gt;"",", subType: '"&amp;IF(S26="攻撃","attack",IF(S26="行動","action",IF(S26="不定","variable",IF(S26="対応","reaction",IF(S26="全力","fullpower",IF(S26="付与","enhance",IF(S26="transform","transform","")))))))&amp;"'","")&amp;""&amp;IF(T26&lt;&gt;"",",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textZhG25: '"&amp;SUBSTITUTE(SUBSTITUTE(SUBSTITUTE(AI26, CHAR(13), ""),CHAR(10),"\n"),"'","\'")&amp;IF(AH26&lt;&gt;"", "', textZhAdditional: '"&amp;SUBSTITUTE(SUBSTITUTE(AH26, CHAR(13), ""),CHAR(10),"\n"), "")&amp;IF(AK26&lt;&gt;"", "', textZhG25Additional: '"&amp;SUBSTITUTE(SUBSTITUTE(AK26, CHAR(13), ""),CHAR(10),"\n"), "")&amp;"', textKo: '"&amp;SUBSTITUTE(SUBSTITUTE(SUBSTITUTE(AM26, CHAR(13), ""),CHAR(10),"\n"),"'","\'")&amp;IF(AM26&lt;&gt;"", "', textKoAdditional: '"&amp;SUBSTITUTE(SUBSTITUTE(AM26, CHAR(13), ""),CHAR(10),"\n"), "")&amp;"', textEn: '"&amp;SUBSTITUTE(SUBSTITUTE(SUBSTITUTE(AM26, CHAR(13), ""),CHAR(10),"\n"),"'","\'")&amp;IF(AN26&lt;&gt;"", "', textEnAdditional: '"&amp;SUBSTITUTE(SUBSTITUTE(AN26, CHAR(13), ""),CHAR(10),"\n"), "")&amp;"'"&amp;IF(AB26="○",", sealable: true","")&amp;IF(AC26="○",", removable: true","")&amp;IF(AA26="○",", lie: true","")&amp;IF(AD26="○",", investable: true","")&amp;"},")</x:f>
        <x:v>'02-saine-o-s-1': {megami: 'saine', name: '律動弧戟', nameEn: 'Rhythmic Arc', nameZh: '律动弧戟', nameZhG25: '律动弧戟', nameKo: '율동호극', ruby: 'りつどうこげき', rubyEn: '', baseType: 'special', type: 'action', cost: '6', text: '攻撃『適正距離3-4、1/1』を行う。\n攻撃『適正距離4-5、1/1』を行う。\n攻撃『適正距離3-5、2/2』を行う。', textZh: '进行一次“攻击距离3-4、伤害1/1”的攻击。\n进行一次“攻击距离4-5、伤害1/1”的攻击。\n进行一次“攻击距离3-5、伤害2/2”的攻击。', textZhG25: '进行一次“攻击距离3-4 伤害1/1”的攻击。\n进行一次“攻击距离4-5 伤害1/1”的攻击。\n进行一次“攻击距离3-5 伤害2/2”的攻击。', textZhG25Additional: '공격『적정거리3-4、1/1』을 행한다.  공격『적정거리4-5、1/1』을 행한다.  공격『적정거리3-5、2/2』을 행한다.', textKo: 'You attack with\n"Range: 3-4, Damage: 1/1", \n"Range: 4-5, Damage: 1/1", and \n"Range: 3-5, Damage: 2/2" \nin this order.', textKoAdditional: 'You attack with\n"Range: 3-4, Damage: 1/1", \n"Range: 4-5, Damage: 1/1", and \n"Range: 3-5, Damage: 2/2" \nin this order.', textEn: 'You attack with\n"Range: 3-4, Damage: 1/1", \n"Range: 4-5, Damage: 1/1", and \n"Range: 3-5, Damage: 2/2" \nin this order.'},</x:v>
      </x:c>
      <x:c r="AU26" s="379" t="str">
        <x:f aca="0">IF($A26&lt;&gt;"", "    /** 《"&amp;$E26&amp;"》 */ export const "&amp;SUBSTITUTE(UPPER(IF(MID($A26, 3, 1)="-", RIGHT($A26,LEN($A26)-3), $A26)), "-", "_")&amp;": TCardId = '"&amp;$A26&amp;"';", "")</x:f>
        <x:v>    /** 《律動弧戟》 */ export const SAINE_O_S_1: TCardId = '02-saine-o-s-1';</x:v>
      </x:c>
      <x:c r="AV26" s="380" t="str">
        <x:f aca="0">IF($A27&lt;&gt;"", "    | '"&amp;$A27&amp;"'", "")</x:f>
        <x:v>    | '02-saine-o-s-2'</x:v>
      </x:c>
    </x:row>
    <x:row r="27" ht="53" hidden="0" customHeight="1">
      <x:c r="A27" s="375" t="str">
        <x:v>02-saine-o-s-2</x:v>
      </x:c>
      <x:c r="B27" s="375" t="str">
        <x:v>saine</x:v>
      </x:c>
      <x:c r="C27" s="375"/>
      <x:c r="D27" s="375"/>
      <x:c r="E27" s="375" t="str">
        <x:v>響鳴共振</x:v>
      </x:c>
      <x:c r="F27" s="375" t="str">
        <x:v>きょうめいきょうしん</x:v>
      </x:c>
      <x:c r="G27" s="375" t="str">
        <x:v>响鸣共振</x:v>
      </x:c>
      <x:c r="H27" s="375" t="str">
        <x:v>响鸣共振</x:v>
      </x:c>
      <x:c r="I27" s="375"/>
      <x:c r="J27" s="375" t="str">
        <x:v>항명공진</x:v>
      </x:c>
      <x:c r="K27" s="375" t="str">
        <x:v>Resonant Beat</x:v>
      </x:c>
      <x:c r="L27" s="375"/>
      <x:c r="M27" s="382" t="str">
        <x:v>切札</x:v>
      </x:c>
      <x:c r="N27" s="375"/>
      <x:c r="O27" s="375"/>
      <x:c r="P27" s="375"/>
      <x:c r="Q27" s="375"/>
      <x:c r="R27" s="375" t="str">
        <x:v>行動</x:v>
      </x:c>
      <x:c r="S27" s="375"/>
      <x:c r="T27" s="376"/>
      <x:c r="U27" s="383"/>
      <x:c r="V27" s="382"/>
      <x:c r="W27" s="383"/>
      <x:c r="X27" s="382"/>
      <x:c r="Y27" s="382"/>
      <x:c r="Z27" s="382" t="n">
        <x:v>8</x:v>
      </x:c>
      <x:c r="AA27" s="382"/>
      <x:c r="AB27" s="385"/>
      <x:c r="AC27" s="385"/>
      <x:c r="AD27" s="386"/>
      <x:c r="AE27" s="440" t="str">
        <x:v>【常時】このカードの消費は相手のオーラの数だけ少なくなる。
相オーラ→間合：2</x:v>
      </x:c>
      <x:c r="AF27" s="441"/>
      <x:c r="AG27" s="488" t="str">
        <x:v>【常时】此牌的费用减小X，X等于敌装中的樱花结晶的数目。 
敌装→2→距</x:v>
      </x:c>
      <x:c r="AH27" s="441"/>
      <x:c r="AI27" s="488" t="str">
        <x:v>【常时】这张卡的费用减小X，X等于敌装中的樱花结晶的数目。 
敌装（2）→距</x:v>
      </x:c>
      <x:c r="AJ27" s="440"/>
      <x:c r="AK27" s="488" t="str">
        <x:v>【상시】이 카드의 소비는 상대 오라의 수 만큼 적어진다.
 상대 오라→간격：2</x:v>
      </x:c>
      <x:c r="AL27" s="441"/>
      <x:c r="AM27" s="488" t="str">
        <x:v>Forced: This card costs 1 less for each Sakura token on your opponent's Aura.
Opponent's Aura (2)→ Distance</x:v>
      </x:c>
      <x:c r="AN27" s="440"/>
      <x:c r="AO27" s="440"/>
      <x:c r="AP27" s="440"/>
      <x:c r="AQ27" s="440"/>
      <x:c r="AR27" s="440"/>
      <x:c r="AS27" s="440"/>
      <x:c r="AT27" s="378" t="str">
        <x:f aca="0">IF(A27="", "","'"&amp;A27&amp;"': {megami: '"&amp;B27&amp;"'"&amp;IF(C27&lt;&gt;"",", anotherID: '"&amp;C27&amp;"', replace: '"&amp;D27&amp;"'","")&amp;", name: '"&amp;SUBSTITUTE(E27,"'","\'")&amp;"', nameEn: '"&amp;SUBSTITUTE(K27,"'","\'")&amp;"', nameZh: '"&amp;SUBSTITUTE(G27,"'","\'")&amp;"', nameZhG26: '"&amp;SUBSTITUTE(H27,"'","\'")&amp;"', nameKo: '"&amp;SUBSTITUTE(J27,"'","\'")&amp;"', ruby: '"&amp;F27&amp;"', rubyEn: '"&amp;L27&amp;IF(I27&lt;&gt;"", "', rubyZh: '"&amp;I27, "")&amp;"', baseType: '"&amp;IF(M27="通常札","normal",IF(M27="切札","special",IF(M27="追加札","extra",IF(M27="transform","transform",IF(M27="嵐","storm",IF(M27="兵員","troop",IF(M27="構想","plan",IF(M27="メインパーツ","mainParts",IF(M27="カスタムパーツ","customParts",IF(M27="運命","fate",IF(M27="仮想樹","virtualTree","")))))))))))&amp;"'"&amp;IF(N27="○",", extra: true","")&amp;IF(O27&lt;&gt;"",", extraFrom: '"&amp;O27&amp;"'","")&amp;IF(P27&lt;&gt;"",", exchangableTo: '"&amp;P27&amp;"'","")&amp;IF(Q27="○",", poison: true","")&amp;IF(R27&lt;&gt;"", ", type: '"&amp;IF(R27="攻撃","attack",IF(R27="行動","action",IF(R27="不定","variable",IF(R27="対応","reaction",IF(R27="全力","fullpower",IF(R27="付与","enhance",IF(R27="transform","transform","")))))))&amp;"'", "")&amp;IF(S27&lt;&gt;"",", subType: '"&amp;IF(S27="攻撃","attack",IF(S27="行動","action",IF(S27="不定","variable",IF(S27="対応","reaction",IF(S27="全力","fullpower",IF(S27="付与","enhance",IF(S27="transform","transform","")))))))&amp;"'","")&amp;""&amp;IF(T27&lt;&gt;"",",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textZhG26: '"&amp;SUBSTITUTE(SUBSTITUTE(SUBSTITUTE(AI27, CHAR(13), ""),CHAR(10),"\n"),"'","\'")&amp;IF(AH27&lt;&gt;"", "', textZhAdditional: '"&amp;SUBSTITUTE(SUBSTITUTE(AH27, CHAR(13), ""),CHAR(10),"\n"), "")&amp;IF(AK27&lt;&gt;"", "', textZhG26Additional: '"&amp;SUBSTITUTE(SUBSTITUTE(AK27, CHAR(13), ""),CHAR(10),"\n"), "")&amp;"', textKo: '"&amp;SUBSTITUTE(SUBSTITUTE(SUBSTITUTE(AM27, CHAR(13), ""),CHAR(10),"\n"),"'","\'")&amp;IF(AM27&lt;&gt;"", "', textKoAdditional: '"&amp;SUBSTITUTE(SUBSTITUTE(AM27, CHAR(13), ""),CHAR(10),"\n"), "")&amp;"', textEn: '"&amp;SUBSTITUTE(SUBSTITUTE(SUBSTITUTE(AM27, CHAR(13), ""),CHAR(10),"\n"),"'","\'")&amp;IF(AN27&lt;&gt;"", "', textEnAdditional: '"&amp;SUBSTITUTE(SUBSTITUTE(AN27, CHAR(13), ""),CHAR(10),"\n"), "")&amp;"'"&amp;IF(AB27="○",", sealable: true","")&amp;IF(AC27="○",", removable: true","")&amp;IF(AA27="○",", lie: true","")&amp;IF(AD27="○",", investable: true","")&amp;"},")</x:f>
        <x:v>'02-saine-o-s-2': {megami: 'saine', name: '響鳴共振', nameEn: 'Resonant Beat', nameZh: '响鸣共振', nameZhG26: '响鸣共振', nameKo: '항명공진', ruby: 'きょうめいきょうしん', rubyEn: '', baseType: 'special', type: 'action', cost: '8', text: '【常時】このカードの消費は相手のオーラの数だけ少なくなる。\n相オーラ→間合：2', textZh: '【常时】此牌的费用减小X，X等于敌装中的樱花结晶的数目。 \n敌装→2→距', textZhG26: '【常时】这张卡的费用减小X，X等于敌装中的樱花结晶的数目。 \n敌装（2）→距', textZhG26Additional: '【상시】이 카드의 소비는 상대 오라의 수 만큼 적어진다.\n 상대 오라→간격：2', textKo: 'Forced: This card costs 1 less for each Sakura token on your opponent\'s Aura.\nOpponent\'s Aura (2)→ Distance', textKoAdditional: 'Forced: This card costs 1 less for each Sakura token on your opponent's Aura.\nOpponent's Aura (2)→ Distance', textEn: 'Forced: This card costs 1 less for each Sakura token on your opponent\'s Aura.\nOpponent\'s Aura (2)→ Distance'},</x:v>
      </x:c>
      <x:c r="AU27" s="379" t="str">
        <x:f aca="0">IF($A27&lt;&gt;"", "    /** 《"&amp;$E27&amp;"》 */ export const "&amp;SUBSTITUTE(UPPER(IF(MID($A27, 3, 1)="-", RIGHT($A27,LEN($A27)-3), $A27)), "-", "_")&amp;": TCardId = '"&amp;$A27&amp;"';", "")</x:f>
        <x:v>    /** 《響鳴共振》 */ export const SAINE_O_S_2: TCardId = '02-saine-o-s-2';</x:v>
      </x:c>
      <x:c r="AV27" s="380" t="str">
        <x:f aca="0">IF($A28&lt;&gt;"", "    | '"&amp;$A28&amp;"'", "")</x:f>
        <x:v>    | '02-saine-o-s-3'</x:v>
      </x:c>
    </x:row>
    <x:row r="28" ht="83" hidden="0" customHeight="1">
      <x:c r="A28" s="375" t="str">
        <x:v>02-saine-o-s-3</x:v>
      </x:c>
      <x:c r="B28" s="375" t="str">
        <x:v>saine</x:v>
      </x:c>
      <x:c r="C28" s="375"/>
      <x:c r="D28" s="375"/>
      <x:c r="E28" s="375" t="str">
        <x:v>音無砕氷</x:v>
      </x:c>
      <x:c r="F28" s="375" t="str">
        <x:v>おとなしさいひょう</x:v>
      </x:c>
      <x:c r="G28" s="375" t="str">
        <x:v>音无碎冰</x:v>
      </x:c>
      <x:c r="H28" s="375" t="str">
        <x:v>音无碎冰</x:v>
      </x:c>
      <x:c r="I28" s="375"/>
      <x:c r="J28" s="375" t="str">
        <x:v>음무쇄빙</x:v>
      </x:c>
      <x:c r="K28" s="375" t="str">
        <x:v>Silent Icebreaker</x:v>
      </x:c>
      <x:c r="L28" s="375"/>
      <x:c r="M28" s="375" t="str">
        <x:v>切札</x:v>
      </x:c>
      <x:c r="N28" s="375"/>
      <x:c r="O28" s="375"/>
      <x:c r="P28" s="375"/>
      <x:c r="Q28" s="375"/>
      <x:c r="R28" s="375" t="str">
        <x:v>攻撃</x:v>
      </x:c>
      <x:c r="S28" s="375" t="str">
        <x:v>対応</x:v>
      </x:c>
      <x:c r="T28" s="376" t="str">
        <x:v>0-10</x:v>
      </x:c>
      <x:c r="U28" s="383"/>
      <x:c r="V28" s="382" t="str">
        <x:v>1/1</x:v>
      </x:c>
      <x:c r="W28" s="383"/>
      <x:c r="X28" s="382"/>
      <x:c r="Y28" s="382"/>
      <x:c r="Z28" s="382" t="n">
        <x:v>2</x:v>
      </x:c>
      <x:c r="AA28" s="382"/>
      <x:c r="AB28" s="385"/>
      <x:c r="AC28" s="385"/>
      <x:c r="AD28" s="386"/>
      <x:c r="AE28" s="440" t="str">
        <x:v>【攻撃後】対応した《攻撃》は-1/-1となる。
再起:八相―あなたのオーラが1以下である。</x:v>
      </x:c>
      <x:c r="AF28" s="441"/>
      <x:c r="AG28" s="488" t="str">
        <x:v>【攻击后】被对应的《攻击》得-1/-1。
----
【再起】八相～自装中樱花结晶数仅1个或更少。</x:v>
      </x:c>
      <x:c r="AH28" s="442"/>
      <x:c r="AI28" s="488" t="str">
        <x:v>【攻击后】被对应的《攻击》得-1/-1。
----
【再起】八相～自装中没有樱花结晶。</x:v>
      </x:c>
      <x:c r="AJ28" s="440"/>
      <x:c r="AK28" s="488" t="str">
        <x:v>【공격후】대응한 《공격》은 -1/-1이 된다.
 ----
 【재기】팔상-당신의 오라가 1이하이다.</x:v>
      </x:c>
      <x:c r="AL28" s="440"/>
      <x:c r="AM28" s="488" t="str">
        <x:v>After Attack: The attack you played this card as a Reaction to gets -1/-1.
Resurgence: Idea - You have 1 or fewer Sakura tokens on your Aura.</x:v>
      </x:c>
      <x:c r="AN28" s="440"/>
      <x:c r="AO28" s="440"/>
      <x:c r="AP28" s="440"/>
      <x:c r="AQ28" s="440"/>
      <x:c r="AR28" s="440"/>
      <x:c r="AS28" s="440"/>
      <x:c r="AT28" s="378" t="str">
        <x:f aca="0">IF(A28="", "","'"&amp;A28&amp;"': {megami: '"&amp;B28&amp;"'"&amp;IF(C28&lt;&gt;"",", anotherID: '"&amp;C28&amp;"', replace: '"&amp;D28&amp;"'","")&amp;", name: '"&amp;SUBSTITUTE(E28,"'","\'")&amp;"', nameEn: '"&amp;SUBSTITUTE(K28,"'","\'")&amp;"', nameZh: '"&amp;SUBSTITUTE(G28,"'","\'")&amp;"', nameZhG27: '"&amp;SUBSTITUTE(H28,"'","\'")&amp;"', nameKo: '"&amp;SUBSTITUTE(J28,"'","\'")&amp;"', ruby: '"&amp;F28&amp;"', rubyEn: '"&amp;L28&amp;IF(I28&lt;&gt;"", "', rubyZh: '"&amp;I28, "")&amp;"', baseType: '"&amp;IF(M28="通常札","normal",IF(M28="切札","special",IF(M28="追加札","extra",IF(M28="transform","transform",IF(M28="嵐","storm",IF(M28="兵員","troop",IF(M28="構想","plan",IF(M28="メインパーツ","mainParts",IF(M28="カスタムパーツ","customParts",IF(M28="運命","fate",IF(M28="仮想樹","virtualTree","")))))))))))&amp;"'"&amp;IF(N28="○",", extra: true","")&amp;IF(O28&lt;&gt;"",", extraFrom: '"&amp;O28&amp;"'","")&amp;IF(P28&lt;&gt;"",", exchangableTo: '"&amp;P28&amp;"'","")&amp;IF(Q28="○",", poison: true","")&amp;IF(R28&lt;&gt;"", ", type: '"&amp;IF(R28="攻撃","attack",IF(R28="行動","action",IF(R28="不定","variable",IF(R28="対応","reaction",IF(R28="全力","fullpower",IF(R28="付与","enhance",IF(R28="transform","transform","")))))))&amp;"'", "")&amp;IF(S28&lt;&gt;"",", subType: '"&amp;IF(S28="攻撃","attack",IF(S28="行動","action",IF(S28="不定","variable",IF(S28="対応","reaction",IF(S28="全力","fullpower",IF(S28="付与","enhance",IF(S28="transform","transform","")))))))&amp;"'","")&amp;""&amp;IF(T28&lt;&gt;"",", range: '"&amp;T28&amp;"'","")&amp;IF(V28&lt;&gt;"",", damage: '"&amp;V28&amp;"'","")&amp;IF(X28&lt;&gt;"",", capacity: '"&amp;X28&amp;"'","")&amp;IF(Y28&lt;&gt;"",", growth: "&amp;Y28&amp;"","")&amp;IF(Z28&lt;&gt;"",", cost: '"&amp;Z28&amp;"'","")&amp;", text: '"&amp;SUBSTITUTE(SUBSTITUTE(AE28, CHAR(13), ""),CHAR(10),"\n")&amp;IF(AF28&lt;&gt;"", "', textAdditional: '"&amp;SUBSTITUTE(SUBSTITUTE(AF28, CHAR(13), ""),CHAR(10),"\n"), "")&amp;"', textZh: '"&amp;SUBSTITUTE(SUBSTITUTE(SUBSTITUTE(AG28, CHAR(13), ""),CHAR(10),"\n"),"'","\'")&amp;"', textZhG27: '"&amp;SUBSTITUTE(SUBSTITUTE(SUBSTITUTE(AI28, CHAR(13), ""),CHAR(10),"\n"),"'","\'")&amp;IF(AH28&lt;&gt;"", "', textZhAdditional: '"&amp;SUBSTITUTE(SUBSTITUTE(AH28, CHAR(13), ""),CHAR(10),"\n"), "")&amp;IF(AK28&lt;&gt;"", "', textZhG27Additional: '"&amp;SUBSTITUTE(SUBSTITUTE(AK28, CHAR(13), ""),CHAR(10),"\n"), "")&amp;"', textKo: '"&amp;SUBSTITUTE(SUBSTITUTE(SUBSTITUTE(AM28, CHAR(13), ""),CHAR(10),"\n"),"'","\'")&amp;IF(AM28&lt;&gt;"", "', textKoAdditional: '"&amp;SUBSTITUTE(SUBSTITUTE(AM28, CHAR(13), ""),CHAR(10),"\n"), "")&amp;"', textEn: '"&amp;SUBSTITUTE(SUBSTITUTE(SUBSTITUTE(AM28, CHAR(13), ""),CHAR(10),"\n"),"'","\'")&amp;IF(AN28&lt;&gt;"", "', textEnAdditional: '"&amp;SUBSTITUTE(SUBSTITUTE(AN28, CHAR(13), ""),CHAR(10),"\n"), "")&amp;"'"&amp;IF(AB28="○",", sealable: true","")&amp;IF(AC28="○",", removable: true","")&amp;IF(AA28="○",", lie: true","")&amp;IF(AD28="○",", investable: true","")&amp;"},")</x:f>
        <x:v>'02-saine-o-s-3': {megami: 'saine', name: '音無砕氷', nameEn: 'Silent Icebreaker', nameZh: '音无碎冰', nameZhG27: '音无碎冰', nameKo: '음무쇄빙', ruby: 'おとなしさいひょう', rubyEn: '', baseType: 'special', type: 'attack', subType: 'reaction', range: '0-10', damage: '1/1', cost: '2', text: '【攻撃後】対応した《攻撃》は-1/-1となる。\n再起:八相―あなたのオーラが1以下である。', textZh: '【攻击后】被对应的《攻击》得-1/-1。\n----\n【再起】八相～自装中樱花结晶数仅1个或更少。', textZhG27: '【攻击后】被对应的《攻击》得-1/-1。\n----\n【再起】八相～自装中没有樱花结晶。', textZhG27Additional: '【공격후】대응한 《공격》은 -1/-1이 된다.\n ----\n 【재기】팔상-당신의 오라가 1이하이다.', textKo: 'After Attack: The attack you played this card as a Reaction to gets -1/-1.\n\nResurgence: Idea - You have 1 or fewer Sakura tokens on your Aura.', textKoAdditional: 'After Attack: The attack you played this card as a Reaction to gets -1/-1.\n\nResurgence: Idea - You have 1 or fewer Sakura tokens on your Aura.', textEn: 'After Attack: The attack you played this card as a Reaction to gets -1/-1.\n\nResurgence: Idea - You have 1 or fewer Sakura tokens on your Aura.'},</x:v>
      </x:c>
      <x:c r="AU28" s="379" t="str">
        <x:f aca="0">IF($A28&lt;&gt;"", "    /** 《"&amp;$E28&amp;"》 */ export const "&amp;SUBSTITUTE(UPPER(IF(MID($A28, 3, 1)="-", RIGHT($A28,LEN($A28)-3), $A28)), "-", "_")&amp;": TCardId = '"&amp;$A28&amp;"';", "")</x:f>
        <x:v>    /** 《音無砕氷》 */ export const SAINE_O_S_3: TCardId = '02-saine-o-s-3';</x:v>
      </x:c>
      <x:c r="AV28" s="380" t="str">
        <x:f aca="0">IF($A29&lt;&gt;"", "    | '"&amp;$A29&amp;"'", "")</x:f>
        <x:v>    | '02-saine-o-s-4'</x:v>
      </x:c>
    </x:row>
    <x:row r="29" ht="38" hidden="0" customHeight="1">
      <x:c r="A29" s="375" t="str">
        <x:v>02-saine-o-s-4</x:v>
      </x:c>
      <x:c r="B29" s="375" t="str">
        <x:v>saine</x:v>
      </x:c>
      <x:c r="C29" s="375"/>
      <x:c r="D29" s="375"/>
      <x:c r="E29" s="375" t="str">
        <x:v>氷雨細音の果ての果て</x:v>
      </x:c>
      <x:c r="F29" s="375" t="str">
        <x:v>ひさめさいねのはてのはて</x:v>
      </x:c>
      <x:c r="G29" s="375" t="str">
        <x:v>冰雨细音的终焉之末</x:v>
      </x:c>
      <x:c r="H29" s="375" t="str">
        <x:v>冰雨细音的终焉</x:v>
      </x:c>
      <x:c r="I29" s="375"/>
      <x:c r="J29" s="375" t="str">
        <x:v>히사메 사이네의 최후의 종극</x:v>
      </x:c>
      <x:c r="K29" s="375" t="str">
        <x:v>Saine's Final Stage</x:v>
      </x:c>
      <x:c r="L29" s="375"/>
      <x:c r="M29" s="375" t="str">
        <x:v>切札</x:v>
      </x:c>
      <x:c r="N29" s="375"/>
      <x:c r="O29" s="375"/>
      <x:c r="P29" s="375"/>
      <x:c r="Q29" s="375"/>
      <x:c r="R29" s="375" t="str">
        <x:v>攻撃</x:v>
      </x:c>
      <x:c r="S29" s="375" t="str">
        <x:v>対応</x:v>
      </x:c>
      <x:c r="T29" s="376" t="str">
        <x:v>1-5</x:v>
      </x:c>
      <x:c r="U29" s="383"/>
      <x:c r="V29" s="382" t="str">
        <x:v>5/5</x:v>
      </x:c>
      <x:c r="W29" s="383"/>
      <x:c r="X29" s="382"/>
      <x:c r="Y29" s="382"/>
      <x:c r="Z29" s="382" t="n">
        <x:v>5</x:v>
      </x:c>
      <x:c r="AA29" s="382"/>
      <x:c r="AB29" s="385"/>
      <x:c r="AC29" s="385"/>
      <x:c r="AD29" s="386"/>
      <x:c r="AE29" s="440" t="str">
        <x:v>【常時】このカードは切札に対する対応でしか使用できない。</x:v>
      </x:c>
      <x:c r="AF29" s="441"/>
      <x:c r="AG29" s="440" t="str">
        <x:v>【常时】仅当你对应王牌时可以使用此牌。</x:v>
      </x:c>
      <x:c r="AH29" s="442"/>
      <x:c r="AI29" s="440" t="str">
        <x:v>【常时】只能当你对应王牌时使用此牌。</x:v>
      </x:c>
      <x:c r="AJ29" s="440"/>
      <x:c r="AK29" s="440" t="str">
        <x:v>【상시】이 카드는 비장패에 대한 대응으로만 사용한다.</x:v>
      </x:c>
      <x:c r="AL29" s="440"/>
      <x:c r="AM29" s="440" t="str">
        <x:v>Forced: This can only be played as a Reaction to a Special card.</x:v>
      </x:c>
      <x:c r="AN29" s="440"/>
      <x:c r="AO29" s="440"/>
      <x:c r="AP29" s="440"/>
      <x:c r="AQ29" s="440"/>
      <x:c r="AR29" s="440"/>
      <x:c r="AS29" s="440"/>
      <x:c r="AT29" s="378" t="str">
        <x:f aca="0">IF(A29="", "","'"&amp;A29&amp;"': {megami: '"&amp;B29&amp;"'"&amp;IF(C29&lt;&gt;"",", anotherID: '"&amp;C29&amp;"', replace: '"&amp;D29&amp;"'","")&amp;", name: '"&amp;SUBSTITUTE(E29,"'","\'")&amp;"', nameEn: '"&amp;SUBSTITUTE(K29,"'","\'")&amp;"', nameZh: '"&amp;SUBSTITUTE(G29,"'","\'")&amp;"', nameZhG28: '"&amp;SUBSTITUTE(H29,"'","\'")&amp;"', nameKo: '"&amp;SUBSTITUTE(J29,"'","\'")&amp;"', ruby: '"&amp;F29&amp;"', rubyEn: '"&amp;L29&amp;IF(I29&lt;&gt;"", "', rubyZh: '"&amp;I29, "")&amp;"', baseType: '"&amp;IF(M29="通常札","normal",IF(M29="切札","special",IF(M29="追加札","extra",IF(M29="transform","transform",IF(M29="嵐","storm",IF(M29="兵員","troop",IF(M29="構想","plan",IF(M29="メインパーツ","mainParts",IF(M29="カスタムパーツ","customParts",IF(M29="運命","fate",IF(M29="仮想樹","virtualTree","")))))))))))&amp;"'"&amp;IF(N29="○",", extra: true","")&amp;IF(O29&lt;&gt;"",", extraFrom: '"&amp;O29&amp;"'","")&amp;IF(P29&lt;&gt;"",", exchangableTo: '"&amp;P29&amp;"'","")&amp;IF(Q29="○",", poison: true","")&amp;IF(R29&lt;&gt;"", ", type: '"&amp;IF(R29="攻撃","attack",IF(R29="行動","action",IF(R29="不定","variable",IF(R29="対応","reaction",IF(R29="全力","fullpower",IF(R29="付与","enhance",IF(R29="transform","transform","")))))))&amp;"'", "")&amp;IF(S29&lt;&gt;"",", subType: '"&amp;IF(S29="攻撃","attack",IF(S29="行動","action",IF(S29="不定","variable",IF(S29="対応","reaction",IF(S29="全力","fullpower",IF(S29="付与","enhance",IF(S29="transform","transform","")))))))&amp;"'","")&amp;""&amp;IF(T29&lt;&gt;"",",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textZhG28: '"&amp;SUBSTITUTE(SUBSTITUTE(SUBSTITUTE(AI29, CHAR(13), ""),CHAR(10),"\n"),"'","\'")&amp;IF(AH29&lt;&gt;"", "', textZhAdditional: '"&amp;SUBSTITUTE(SUBSTITUTE(AH29, CHAR(13), ""),CHAR(10),"\n"), "")&amp;IF(AK29&lt;&gt;"", "', textZhG28Additional: '"&amp;SUBSTITUTE(SUBSTITUTE(AK29, CHAR(13), ""),CHAR(10),"\n"), "")&amp;"', textKo: '"&amp;SUBSTITUTE(SUBSTITUTE(SUBSTITUTE(AM29, CHAR(13), ""),CHAR(10),"\n"),"'","\'")&amp;IF(AM29&lt;&gt;"", "', textKoAdditional: '"&amp;SUBSTITUTE(SUBSTITUTE(AM29, CHAR(13), ""),CHAR(10),"\n"), "")&amp;"', textEn: '"&amp;SUBSTITUTE(SUBSTITUTE(SUBSTITUTE(AM29, CHAR(13), ""),CHAR(10),"\n"),"'","\'")&amp;IF(AN29&lt;&gt;"", "', textEnAdditional: '"&amp;SUBSTITUTE(SUBSTITUTE(AN29, CHAR(13), ""),CHAR(10),"\n"), "")&amp;"'"&amp;IF(AB29="○",", sealable: true","")&amp;IF(AC29="○",", removable: true","")&amp;IF(AA29="○",", lie: true","")&amp;IF(AD29="○",", investable: true","")&amp;"},")</x:f>
        <x:v>'02-saine-o-s-4': {megami: 'saine', name: '氷雨細音の果ての果て', nameEn: 'Saine\'s Final Stage', nameZh: '冰雨细音的终焉之末', nameZhG28: '冰雨细音的终焉', nameKo: '히사메 사이네의 최후의 종극', ruby: 'ひさめさいねのはてのはて', rubyEn: '', baseType: 'special', type: 'attack', subType: 'reaction', range: '1-5', damage: '5/5', cost: '5', text: '【常時】このカードは切札に対する対応でしか使用できない。', textZh: '【常时】仅当你对应王牌时可以使用此牌。', textZhG28: '【常时】只能当你对应王牌时使用此牌。', textZhG28Additional: '【상시】이 카드는 비장패에 대한 대응으로만 사용한다.', textKo: 'Forced: This can only be played as a Reaction to a Special card.', textKoAdditional: 'Forced: This can only be played as a Reaction to a Special card.', textEn: 'Forced: This can only be played as a Reaction to a Special card.'},</x:v>
      </x:c>
      <x:c r="AU29" s="379" t="str">
        <x:f aca="0">IF($A29&lt;&gt;"", "    /** 《"&amp;$E29&amp;"》 */ export const "&amp;SUBSTITUTE(UPPER(IF(MID($A29, 3, 1)="-", RIGHT($A29,LEN($A29)-3), $A29)), "-", "_")&amp;": TCardId = '"&amp;$A29&amp;"';", "")</x:f>
        <x:v>    /** 《氷雨細音の果ての果て》 */ export const SAINE_O_S_4: TCardId = '02-saine-o-s-4';</x:v>
      </x:c>
      <x:c r="AV29" s="380" t="str">
        <x:f aca="0">IF($A30&lt;&gt;"", "    | '"&amp;$A30&amp;"'", "")</x:f>
        <x:v>    | '02_04-saine_tokoyo-A1-n-1_4'</x:v>
      </x:c>
    </x:row>
    <x:row r="30" ht="68" hidden="0" customHeight="1">
      <x:c r="A30" s="375" t="str">
        <x:v>02_04-saine_tokoyo-A1-n-1_4</x:v>
      </x:c>
      <x:c r="B30" s="375" t="str">
        <x:v>saine</x:v>
      </x:c>
      <x:c r="C30" s="375" t="str">
        <x:v>A1</x:v>
      </x:c>
      <x:c r="D30" s="375" t="str">
        <x:v>02-saine-o-n-1</x:v>
      </x:c>
      <x:c r="E30" s="375" t="str">
        <x:v>合奏</x:v>
      </x:c>
      <x:c r="F30" s="375" t="str">
        <x:v>がっそう</x:v>
      </x:c>
      <x:c r="G30" s="375" t="str">
        <x:v>合奏</x:v>
      </x:c>
      <x:c r="H30" s="375"/>
      <x:c r="I30" s="375"/>
      <x:c r="J30" s="375" t="str">
        <x:v>합주</x:v>
      </x:c>
      <x:c r="K30" s="375"/>
      <x:c r="L30" s="375"/>
      <x:c r="M30" s="375" t="str">
        <x:v>通常札</x:v>
      </x:c>
      <x:c r="N30" s="375"/>
      <x:c r="O30" s="375"/>
      <x:c r="P30" s="375"/>
      <x:c r="Q30" s="375"/>
      <x:c r="R30" s="375" t="str">
        <x:v>攻撃</x:v>
      </x:c>
      <x:c r="S30" s="375" t="str">
        <x:v>対応</x:v>
      </x:c>
      <x:c r="T30" s="376" t="str">
        <x:v>2-5</x:v>
      </x:c>
      <x:c r="U30" s="383"/>
      <x:c r="V30" s="382" t="str">
        <x:v>3/0</x:v>
      </x:c>
      <x:c r="W30" s="383"/>
      <x:c r="X30" s="382"/>
      <x:c r="Y30" s="382"/>
      <x:c r="Z30" s="382"/>
      <x:c r="AA30" s="382"/>
      <x:c r="AB30" s="385"/>
      <x:c r="AC30" s="385"/>
      <x:c r="AD30" s="386"/>
      <x:c r="AE30" s="441" t="str">
        <x:v>【攻撃後】サイネの切札が使用済ならば、相オーラ→ダスト：1
【攻撃後】八相/境地―あなたのオーラが1以下またはあなたの集中力が2ならば、ダスト→間合：1
【攻撃後】トコヨの切札が使用済ならば、ダスト→自オーラ：1
（このカードはサイネとトコヨのカードである）</x:v>
      </x:c>
      <x:c r="AF30" s="441"/>
      <x:c r="AG30" s="488" t="str">
        <x:v>【攻击后】若你有已使用状态的细音的王牌，敌装→1→虚
【攻击后】八相/境地～若自装中樱花结晶数仅1个或更少或你的集中力为2，虚→1→距
【攻击后】若你有已使用状态的常世的王牌，虚→1→自装
（此牌同时视为细音和常世的牌）</x:v>
      </x:c>
      <x:c r="AH30" s="442"/>
      <x:c r="AI30" s="440"/>
      <x:c r="AJ30" s="440"/>
      <x:c r="AK30" s="488" t="str">
        <x:v>【공격후】사이네의 비장패가 사용됨 상태라면, 오라(상대)→더스트:1
【공격후】팔상/경지-당신의 오라가 1 이하 또는 당신의 집중력이 2라면, 더스트→간격:1
【공격후】토코요의 비장패가 사용됨 상태라면, 더스트→오라(자신):1
(이 카드는 사이네와 토코요의 카드이다)</x:v>
      </x:c>
      <x:c r="AL30" s="440"/>
      <x:c r="AM30" s="440"/>
      <x:c r="AN30" s="440"/>
      <x:c r="AO30" s="440"/>
      <x:c r="AP30" s="440"/>
      <x:c r="AQ30" s="440"/>
      <x:c r="AR30" s="440"/>
      <x:c r="AS30" s="440"/>
      <x:c r="AT30" s="378" t="str">
        <x:f aca="0">IF(A30="", "","'"&amp;A30&amp;"': {megami: '"&amp;B30&amp;"'"&amp;IF(C30&lt;&gt;"",", anotherID: '"&amp;C30&amp;"', replace: '"&amp;D30&amp;"'","")&amp;", name: '"&amp;SUBSTITUTE(E30,"'","\'")&amp;"', nameEn: '"&amp;SUBSTITUTE(K30,"'","\'")&amp;"', nameZh: '"&amp;SUBSTITUTE(G30,"'","\'")&amp;"', nameZhG29: '"&amp;SUBSTITUTE(H30,"'","\'")&amp;"', nameKo: '"&amp;SUBSTITUTE(J30,"'","\'")&amp;"', ruby: '"&amp;F30&amp;"', rubyEn: '"&amp;L30&amp;IF(I30&lt;&gt;"", "', rubyZh: '"&amp;I30, "")&amp;"', baseType: '"&amp;IF(M30="通常札","normal",IF(M30="切札","special",IF(M30="追加札","extra",IF(M30="transform","transform",IF(M30="嵐","storm",IF(M30="兵員","troop",IF(M30="構想","plan",IF(M30="メインパーツ","mainParts",IF(M30="カスタムパーツ","customParts",IF(M30="運命","fate",IF(M30="仮想樹","virtualTree","")))))))))))&amp;"'"&amp;IF(N30="○",", extra: true","")&amp;IF(O30&lt;&gt;"",", extraFrom: '"&amp;O30&amp;"'","")&amp;IF(P30&lt;&gt;"",", exchangableTo: '"&amp;P30&amp;"'","")&amp;IF(Q30="○",", poison: true","")&amp;IF(R30&lt;&gt;"", ", type: '"&amp;IF(R30="攻撃","attack",IF(R30="行動","action",IF(R30="不定","variable",IF(R30="対応","reaction",IF(R30="全力","fullpower",IF(R30="付与","enhance",IF(R30="transform","transform","")))))))&amp;"'", "")&amp;IF(S30&lt;&gt;"",", subType: '"&amp;IF(S30="攻撃","attack",IF(S30="行動","action",IF(S30="不定","variable",IF(S30="対応","reaction",IF(S30="全力","fullpower",IF(S30="付与","enhance",IF(S30="transform","transform","")))))))&amp;"'","")&amp;""&amp;IF(T30&lt;&gt;"",",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textZhG29: '"&amp;SUBSTITUTE(SUBSTITUTE(SUBSTITUTE(AI30, CHAR(13), ""),CHAR(10),"\n"),"'","\'")&amp;IF(AH30&lt;&gt;"", "', textZhAdditional: '"&amp;SUBSTITUTE(SUBSTITUTE(AH30, CHAR(13), ""),CHAR(10),"\n"), "")&amp;IF(AK30&lt;&gt;"", "', textZhG29Additional: '"&amp;SUBSTITUTE(SUBSTITUTE(AK30, CHAR(13), ""),CHAR(10),"\n"), "")&amp;"', textKo: '"&amp;SUBSTITUTE(SUBSTITUTE(SUBSTITUTE(AM30, CHAR(13), ""),CHAR(10),"\n"),"'","\'")&amp;IF(AM30&lt;&gt;"", "', textKoAdditional: '"&amp;SUBSTITUTE(SUBSTITUTE(AM30, CHAR(13), ""),CHAR(10),"\n"), "")&amp;"', textEn: '"&amp;SUBSTITUTE(SUBSTITUTE(SUBSTITUTE(AM30, CHAR(13), ""),CHAR(10),"\n"),"'","\'")&amp;IF(AN30&lt;&gt;"", "', textEnAdditional: '"&amp;SUBSTITUTE(SUBSTITUTE(AN30, CHAR(13), ""),CHAR(10),"\n"), "")&amp;"'"&amp;IF(AB30="○",", sealable: true","")&amp;IF(AC30="○",", removable: true","")&amp;IF(AA30="○",", lie: true","")&amp;IF(AD30="○",", investable: true","")&amp;"},")</x:f>
        <x:v>'02_04-saine_tokoyo-A1-n-1_4': {megami: 'saine', anotherID: 'A1', replace: '02-saine-o-n-1', name: '合奏', nameEn: '', nameZh: '合奏', nameZhG29: '', nameKo: '합주', ruby: 'がっそう', rubyEn: '', baseType: 'normal', type: 'attack', subType: 'reaction', range: '2-5', damage: '3/0', text: '【攻撃後】サイネの切札が使用済ならば、相オーラ→ダスト：1\n【攻撃後】八相/境地―あなたのオーラが1以下またはあなたの集中力が2ならば、ダスト→間合：1\n【攻撃後】トコヨの切札が使用済ならば、ダスト→自オーラ：1\n（このカードはサイネとトコヨのカードである）', textZh: '【攻击后】若你有已使用状态的细音的王牌，敌装→1→虚\n【攻击后】八相/境地～若自装中樱花结晶数仅1个或更少或你的集中力为2，虚→1→距\n【攻击后】若你有已使用状态的常世的王牌，虚→1→自装\n（此牌同时视为细音和常世的牌）', textZhG29: '', textZhG29Additional: '【공격후】사이네의 비장패가 사용됨 상태라면, 오라(상대)→더스트:1\n【공격후】팔상/경지-당신의 오라가 1 이하 또는 당신의 집중력이 2라면, 더스트→간격:1\n【공격후】토코요의 비장패가 사용됨 상태라면, 더스트→오라(자신):1\n(이 카드는 사이네와 토코요의 카드이다)', textKo: '', textEn: ''},</x:v>
      </x:c>
      <x:c r="AU30" s="379" t="str">
        <x:f aca="0">IF($A30&lt;&gt;"", "    /** 《"&amp;$E30&amp;"》 */ export const "&amp;SUBSTITUTE(UPPER(IF(MID($A30, 3, 1)="-", RIGHT($A30,LEN($A30)-3), $A30)), "-", "_")&amp;": TCardId = '"&amp;$A30&amp;"';", "")</x:f>
        <x:v>    /** 《合奏》 */ export const 02_04_SAINE_TOKOYO_A1_N_1_4: TCardId = '02_04-saine_tokoyo-A1-n-1_4';</x:v>
      </x:c>
      <x:c r="AV30" s="380" t="str">
        <x:f aca="0">IF($A31&lt;&gt;"", "    | '"&amp;$A31&amp;"'", "")</x:f>
        <x:v>    | '02-saine-A1-n-6'</x:v>
      </x:c>
    </x:row>
    <x:row r="31" ht="83" hidden="0" customHeight="1">
      <x:c r="A31" s="375" t="str">
        <x:v>02-saine-A1-n-6</x:v>
      </x:c>
      <x:c r="B31" s="375" t="str">
        <x:v>saine</x:v>
      </x:c>
      <x:c r="C31" s="375" t="str">
        <x:v>A1</x:v>
      </x:c>
      <x:c r="D31" s="375" t="str">
        <x:v>02-saine-o-n-6</x:v>
      </x:c>
      <x:c r="E31" s="375" t="str">
        <x:v>伴奏</x:v>
      </x:c>
      <x:c r="F31" s="375" t="str">
        <x:v>ばんそう</x:v>
      </x:c>
      <x:c r="G31" s="375" t="str">
        <x:v>伴奏</x:v>
      </x:c>
      <x:c r="H31" s="375" t="str">
        <x:v>伴奏</x:v>
      </x:c>
      <x:c r="I31" s="375"/>
      <x:c r="J31" s="375" t="str">
        <x:v>반주</x:v>
      </x:c>
      <x:c r="K31" s="375" t="str">
        <x:v>Accompaniment</x:v>
      </x:c>
      <x:c r="L31" s="375"/>
      <x:c r="M31" s="375" t="str">
        <x:v>通常札</x:v>
      </x:c>
      <x:c r="N31" s="375"/>
      <x:c r="O31" s="375"/>
      <x:c r="P31" s="375"/>
      <x:c r="Q31" s="375"/>
      <x:c r="R31" s="375" t="str">
        <x:v>付与</x:v>
      </x:c>
      <x:c r="S31" s="375"/>
      <x:c r="T31" s="376"/>
      <x:c r="U31" s="383"/>
      <x:c r="V31" s="382"/>
      <x:c r="W31" s="383"/>
      <x:c r="X31" s="382" t="n">
        <x:v>3</x:v>
      </x:c>
      <x:c r="Y31" s="382"/>
      <x:c r="Z31" s="382"/>
      <x:c r="AA31" s="382"/>
      <x:c r="AB31" s="385"/>
      <x:c r="AC31" s="385"/>
      <x:c r="AD31" s="386"/>
      <x:c r="AE31" s="440" t="str">
        <x:v>【展開中】八相―相手が各ターンで初めて《攻撃》を行った時、あなたのオーラが1以下または他のメガミの切札が使用済ならば、その《攻撃》は対応不可を失い、-1/+0となる。
【展開時/破棄時】サイネの切札が使用済ならば、このターン中あなたの切札の消費は1少なくなる。</x:v>
      </x:c>
      <x:c r="AF31" s="441"/>
      <x:c r="AG31" s="488" t="str">
        <x:v>【展开中】八相～若自装中樱花结晶数仅1个或更少或你有已使用状态的其他女神的王牌，则每回合对手的第一次《攻击》失去不可被对应、得-1/+0。
【展开时/破弃时】若你有已使用状态的细音的王牌，则在这个回合中你使用王牌的费用减小1。</x:v>
      </x:c>
      <x:c r="AH31" s="442"/>
      <x:c r="AI31" s="440"/>
      <x:c r="AJ31" s="440"/>
      <x:c r="AK31" s="488" t="str">
        <x:v>【전개중】팔상- 상대가 각 턴에 처음으로 《공격》을 수행할 때, 당신의 오라가 1 이하 또는 다른 여신의 비장패가 사용됨 상태라면, 그 《공격》은 대응불가를 잃고, -1/+0 된다.
【전개시/파기시】사이네의 비장패가 사용됨 상태라면, 이 턴 중에 당신의 비장패의 소모값은 1 감소한다.
(0 미만이 되지는 않는다)</x:v>
      </x:c>
      <x:c r="AL31" s="440"/>
      <x:c r="AM31" s="440"/>
      <x:c r="AN31" s="440"/>
      <x:c r="AO31" s="440"/>
      <x:c r="AP31" s="440"/>
      <x:c r="AQ31" s="440"/>
      <x:c r="AR31" s="440"/>
      <x:c r="AS31" s="440"/>
      <x:c r="AT31" s="378" t="str">
        <x:f aca="0">IF(A31="", "","'"&amp;A31&amp;"': {megami: '"&amp;B31&amp;"'"&amp;IF(C31&lt;&gt;"",", anotherID: '"&amp;C31&amp;"', replace: '"&amp;D31&amp;"'","")&amp;", name: '"&amp;SUBSTITUTE(E31,"'","\'")&amp;"', nameEn: '"&amp;SUBSTITUTE(K31,"'","\'")&amp;"', nameZh: '"&amp;SUBSTITUTE(G31,"'","\'")&amp;"', nameZhG30: '"&amp;SUBSTITUTE(H31,"'","\'")&amp;"', nameKo: '"&amp;SUBSTITUTE(J31,"'","\'")&amp;"', ruby: '"&amp;F31&amp;"', rubyEn: '"&amp;L31&amp;IF(I31&lt;&gt;"", "', rubyZh: '"&amp;I31, "")&amp;"', baseType: '"&amp;IF(M31="通常札","normal",IF(M31="切札","special",IF(M31="追加札","extra",IF(M31="transform","transform",IF(M31="嵐","storm",IF(M31="兵員","troop",IF(M31="構想","plan",IF(M31="メインパーツ","mainParts",IF(M31="カスタムパーツ","customParts",IF(M31="運命","fate",IF(M31="仮想樹","virtualTree","")))))))))))&amp;"'"&amp;IF(N31="○",", extra: true","")&amp;IF(O31&lt;&gt;"",", extraFrom: '"&amp;O31&amp;"'","")&amp;IF(P31&lt;&gt;"",", exchangableTo: '"&amp;P31&amp;"'","")&amp;IF(Q31="○",", poison: true","")&amp;IF(R31&lt;&gt;"", ", type: '"&amp;IF(R31="攻撃","attack",IF(R31="行動","action",IF(R31="不定","variable",IF(R31="対応","reaction",IF(R31="全力","fullpower",IF(R31="付与","enhance",IF(R31="transform","transform","")))))))&amp;"'", "")&amp;IF(S31&lt;&gt;"",", subType: '"&amp;IF(S31="攻撃","attack",IF(S31="行動","action",IF(S31="不定","variable",IF(S31="対応","reaction",IF(S31="全力","fullpower",IF(S31="付与","enhance",IF(S31="transform","transform","")))))))&amp;"'","")&amp;""&amp;IF(T31&lt;&gt;"",",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textZhG30: '"&amp;SUBSTITUTE(SUBSTITUTE(SUBSTITUTE(AI31, CHAR(13), ""),CHAR(10),"\n"),"'","\'")&amp;IF(AH31&lt;&gt;"", "', textZhAdditional: '"&amp;SUBSTITUTE(SUBSTITUTE(AH31, CHAR(13), ""),CHAR(10),"\n"), "")&amp;IF(AK31&lt;&gt;"", "', textZhG30Additional: '"&amp;SUBSTITUTE(SUBSTITUTE(AK31, CHAR(13), ""),CHAR(10),"\n"), "")&amp;"', textKo: '"&amp;SUBSTITUTE(SUBSTITUTE(SUBSTITUTE(AM31, CHAR(13), ""),CHAR(10),"\n"),"'","\'")&amp;IF(AM31&lt;&gt;"", "', textKoAdditional: '"&amp;SUBSTITUTE(SUBSTITUTE(AM31, CHAR(13), ""),CHAR(10),"\n"), "")&amp;"', textEn: '"&amp;SUBSTITUTE(SUBSTITUTE(SUBSTITUTE(AM31, CHAR(13), ""),CHAR(10),"\n"),"'","\'")&amp;IF(AN31&lt;&gt;"", "', textEnAdditional: '"&amp;SUBSTITUTE(SUBSTITUTE(AN31, CHAR(13), ""),CHAR(10),"\n"), "")&amp;"'"&amp;IF(AB31="○",", sealable: true","")&amp;IF(AC31="○",", removable: true","")&amp;IF(AA31="○",", lie: true","")&amp;IF(AD31="○",", investable: true","")&amp;"},")</x:f>
        <x:v>'02-saine-A1-n-6': {megami: 'saine', anotherID: 'A1', replace: '02-saine-o-n-6', name: '伴奏', nameEn: 'Accompaniment', nameZh: '伴奏', nameZhG30: '伴奏', nameKo: '반주', ruby: 'ばんそう', rubyEn: '', baseType: 'normal', type: 'enhance', capacity: '3', text: '【展開中】八相―相手が各ターンで初めて《攻撃》を行った時、あなたのオーラが1以下または他のメガミの切札が使用済ならば、その《攻撃》は対応不可を失い、-1/+0となる。\n【展開時/破棄時】サイネの切札が使用済ならば、このターン中あなたの切札の消費は1少なくなる。', textZh: '【展开中】八相～若自装中樱花结晶数仅1个或更少或你有已使用状态的其他女神的王牌，则每回合对手的第一次《攻击》失去不可被对应、得-1/+0。\n【展开时/破弃时】若你有已使用状态的细音的王牌，则在这个回合中你使用王牌的费用减小1。', textZhG30: '', textZhG30Additional: '【전개중】팔상- 상대가 각 턴에 처음으로 《공격》을 수행할 때, 당신의 오라가 1 이하 또는 다른 여신의 비장패가 사용됨 상태라면, 그 《공격》은 대응불가를 잃고, -1/+0 된다.\n【전개시/파기시】사이네의 비장패가 사용됨 상태라면, 이 턴 중에 당신의 비장패의 소모값은 1 감소한다.\n(0 미만이 되지는 않는다)', textKo: '', textEn: ''},</x:v>
      </x:c>
      <x:c r="AU31" s="379" t="str">
        <x:f aca="0">IF($A31&lt;&gt;"", "    /** 《"&amp;$E31&amp;"》 */ export const "&amp;SUBSTITUTE(UPPER(IF(MID($A31, 3, 1)="-", RIGHT($A31,LEN($A31)-3), $A31)), "-", "_")&amp;": TCardId = '"&amp;$A31&amp;"';", "")</x:f>
        <x:v>    /** 《伴奏》 */ export const SAINE_A1_N_6: TCardId = '02-saine-A1-n-6';</x:v>
      </x:c>
      <x:c r="AV31" s="380" t="str">
        <x:f aca="0">IF($A32&lt;&gt;"", "    | '"&amp;$A32&amp;"'", "")</x:f>
        <x:v>    | '02-saine-A1-s-2'</x:v>
      </x:c>
    </x:row>
    <x:row r="32" ht="83" hidden="0" customHeight="1">
      <x:c r="A32" s="375" t="str">
        <x:v>02-saine-A1-s-2</x:v>
      </x:c>
      <x:c r="B32" s="375" t="str">
        <x:v>saine</x:v>
      </x:c>
      <x:c r="C32" s="375" t="str">
        <x:v>A1</x:v>
      </x:c>
      <x:c r="D32" s="375" t="str">
        <x:v>02-saine-o-s-2</x:v>
      </x:c>
      <x:c r="E32" s="375" t="str">
        <x:v>二重奏:弾奏氷瞑</x:v>
      </x:c>
      <x:c r="F32" s="375" t="str">
        <x:v>にじゅうそう だんそうひょうめい</x:v>
      </x:c>
      <x:c r="G32" s="375" t="str">
        <x:v>二重奏：弹奏冰瞑</x:v>
      </x:c>
      <x:c r="H32" s="375" t="str">
        <x:v>二重奏：弹奏冰瞑</x:v>
      </x:c>
      <x:c r="I32" s="375"/>
      <x:c r="J32" s="375" t="str">
        <x:v>이중주:탄주빙명</x:v>
      </x:c>
      <x:c r="K32" s="375" t="str">
        <x:v>Duet: Chilling Tranquility</x:v>
      </x:c>
      <x:c r="L32" s="375"/>
      <x:c r="M32" s="382" t="str">
        <x:v>切札</x:v>
      </x:c>
      <x:c r="N32" s="375"/>
      <x:c r="O32" s="375"/>
      <x:c r="P32" s="375"/>
      <x:c r="Q32" s="375"/>
      <x:c r="R32" s="375" t="str">
        <x:v>行動</x:v>
      </x:c>
      <x:c r="S32" s="375"/>
      <x:c r="T32" s="376"/>
      <x:c r="U32" s="383"/>
      <x:c r="V32" s="382"/>
      <x:c r="W32" s="383"/>
      <x:c r="X32" s="382"/>
      <x:c r="Y32" s="382"/>
      <x:c r="Z32" s="382" t="n">
        <x:v>2</x:v>
      </x:c>
      <x:c r="AA32" s="382"/>
      <x:c r="AB32" s="385"/>
      <x:c r="AC32" s="385"/>
      <x:c r="AD32" s="386"/>
      <x:c r="AE32" s="441" t="str">
        <x:v>【常時】八相―あなたのオーラが1以下ならば、このカードの消費は1少なくなる。
このターン中、あなたは《攻撃》を行えない。
【使用済】あなたの他のメガミによる《攻撃》は+0/+1となる。
即再起:あなたが《攻撃》によりライフに1以上のダメージを受ける。</x:v>
      </x:c>
      <x:c r="AF32" s="441"/>
      <x:c r="AG32" s="488" t="str">
        <x:v>【常时】八相～若自装中樱花结晶数仅1个或更少，此牌的消耗减少1。
 在本回合中，你不能进行《攻击》。
 【已使用】你的其他女神的《攻击》得+0/+1。
 ----
 【即再起】自命因《攻击》受到至少1点的伤害。</x:v>
      </x:c>
      <x:c r="AH32" s="442"/>
      <x:c r="AI32" s="440"/>
      <x:c r="AJ32" s="440"/>
      <x:c r="AK32" s="488" t="str">
        <x:v>	
【상시】 팔상 - 당신의 오라가 1 이하라면, 이 카드의 소모값이 1 감소한다. 이 턴 동안, 당신은 공격할 수 없다.
【사용됨】 당신의 다른 여신에 의한 《공격》은 +0/+1 된다.
【즉재기】 당신이 《공격》으로 인해 라이프 데미지를 1 이상 받는다.</x:v>
      </x:c>
      <x:c r="AL32" s="440"/>
      <x:c r="AM32" s="440"/>
      <x:c r="AN32" s="440"/>
      <x:c r="AO32" s="440"/>
      <x:c r="AP32" s="440"/>
      <x:c r="AQ32" s="440"/>
      <x:c r="AR32" s="440"/>
      <x:c r="AS32" s="440"/>
      <x:c r="AT32" s="378" t="str">
        <x:f aca="0">IF(A32="", "","'"&amp;A32&amp;"': {megami: '"&amp;B32&amp;"'"&amp;IF(C32&lt;&gt;"",", anotherID: '"&amp;C32&amp;"', replace: '"&amp;D32&amp;"'","")&amp;", name: '"&amp;SUBSTITUTE(E32,"'","\'")&amp;"', nameEn: '"&amp;SUBSTITUTE(K32,"'","\'")&amp;"', nameZh: '"&amp;SUBSTITUTE(G32,"'","\'")&amp;"', nameZhG31: '"&amp;SUBSTITUTE(H32,"'","\'")&amp;"', nameKo: '"&amp;SUBSTITUTE(J32,"'","\'")&amp;"', ruby: '"&amp;F32&amp;"', rubyEn: '"&amp;L32&amp;IF(I32&lt;&gt;"", "', rubyZh: '"&amp;I32, "")&amp;"', baseType: '"&amp;IF(M32="通常札","normal",IF(M32="切札","special",IF(M32="追加札","extra",IF(M32="transform","transform",IF(M32="嵐","storm",IF(M32="兵員","troop",IF(M32="構想","plan",IF(M32="メインパーツ","mainParts",IF(M32="カスタムパーツ","customParts",IF(M32="運命","fate",IF(M32="仮想樹","virtualTree","")))))))))))&amp;"'"&amp;IF(N32="○",", extra: true","")&amp;IF(O32&lt;&gt;"",", extraFrom: '"&amp;O32&amp;"'","")&amp;IF(P32&lt;&gt;"",", exchangableTo: '"&amp;P32&amp;"'","")&amp;IF(Q32="○",", poison: true","")&amp;IF(R32&lt;&gt;"", ", type: '"&amp;IF(R32="攻撃","attack",IF(R32="行動","action",IF(R32="不定","variable",IF(R32="対応","reaction",IF(R32="全力","fullpower",IF(R32="付与","enhance",IF(R32="transform","transform","")))))))&amp;"'", "")&amp;IF(S32&lt;&gt;"",", subType: '"&amp;IF(S32="攻撃","attack",IF(S32="行動","action",IF(S32="不定","variable",IF(S32="対応","reaction",IF(S32="全力","fullpower",IF(S32="付与","enhance",IF(S32="transform","transform","")))))))&amp;"'","")&amp;""&amp;IF(T32&lt;&gt;"",",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textZhG31: '"&amp;SUBSTITUTE(SUBSTITUTE(SUBSTITUTE(AI32, CHAR(13), ""),CHAR(10),"\n"),"'","\'")&amp;IF(AH32&lt;&gt;"", "', textZhAdditional: '"&amp;SUBSTITUTE(SUBSTITUTE(AH32, CHAR(13), ""),CHAR(10),"\n"), "")&amp;IF(AK32&lt;&gt;"", "', textZhG31Additional: '"&amp;SUBSTITUTE(SUBSTITUTE(AK32, CHAR(13), ""),CHAR(10),"\n"), "")&amp;"', textKo: '"&amp;SUBSTITUTE(SUBSTITUTE(SUBSTITUTE(AM32, CHAR(13), ""),CHAR(10),"\n"),"'","\'")&amp;IF(AM32&lt;&gt;"", "', textKoAdditional: '"&amp;SUBSTITUTE(SUBSTITUTE(AM32, CHAR(13), ""),CHAR(10),"\n"), "")&amp;"', textEn: '"&amp;SUBSTITUTE(SUBSTITUTE(SUBSTITUTE(AM32, CHAR(13), ""),CHAR(10),"\n"),"'","\'")&amp;IF(AN32&lt;&gt;"", "', textEnAdditional: '"&amp;SUBSTITUTE(SUBSTITUTE(AN32, CHAR(13), ""),CHAR(10),"\n"), "")&amp;"'"&amp;IF(AB32="○",", sealable: true","")&amp;IF(AC32="○",", removable: true","")&amp;IF(AA32="○",", lie: true","")&amp;IF(AD32="○",", investable: true","")&amp;"},")</x:f>
        <x:v>'02-saine-A1-s-2': {megami: 'saine', anotherID: 'A1', replace: '02-saine-o-s-2', name: '二重奏:弾奏氷瞑', nameEn: 'Duet: Chilling Tranquility', nameZh: '二重奏：弹奏冰瞑', nameZhG31: '二重奏：弹奏冰瞑', nameKo: '이중주:탄주빙명', ruby: 'にじゅうそう だんそうひょうめい', rubyEn: '', baseType: 'special', type: 'action', cost: '2', text: '【常時】八相―あなたのオーラが1以下ならば、このカードの消費は1少なくなる。\nこのターン中、あなたは《攻撃》を行えない。\n【使用済】あなたの他のメガミによる《攻撃》は+0/+1となる。\n即再起:あなたが《攻撃》によりライフに1以上のダメージを受ける。', textZh: '【常时】八相～若自装中樱花结晶数仅1个或更少，此牌的消耗减少1。\n 在本回合中，你不能进行《攻击》。\n 【已使用】你的其他女神的《攻击》得+0/+1。\n ----\n 【即再起】自命因《攻击》受到至少1点的伤害。', textZhG31: '', textZhG31Additional: '	\n【상시】 팔상 - 당신의 오라가 1 이하라면, 이 카드의 소모값이 1 감소한다. 이 턴 동안, 당신은 공격할 수 없다.\n【사용됨】 당신의 다른 여신에 의한 《공격》은 +0/+1 된다.\n【즉재기】 당신이 《공격》으로 인해 라이프 데미지를 1 이상 받는다.', textKo: '', textEn: ''},</x:v>
      </x:c>
      <x:c r="AU32" s="379" t="str">
        <x:f aca="0">IF($A32&lt;&gt;"", "    /** 《"&amp;$E32&amp;"》 */ export const "&amp;SUBSTITUTE(UPPER(IF(MID($A32, 3, 1)="-", RIGHT($A32,LEN($A32)-3), $A32)), "-", "_")&amp;": TCardId = '"&amp;$A32&amp;"';", "")</x:f>
        <x:v>    /** 《二重奏:弾奏氷瞑》 */ export const SAINE_A1_S_2: TCardId = '02-saine-A1-s-2';</x:v>
      </x:c>
      <x:c r="AV32" s="380" t="str">
        <x:f aca="0">IF($A33&lt;&gt;"", "    | '"&amp;$A33&amp;"'", "")</x:f>
        <x:v>    | '02-saine-A2-n-2'</x:v>
      </x:c>
    </x:row>
    <x:row r="33" ht="83" hidden="0" customHeight="1">
      <x:c r="A33" s="375" t="str">
        <x:v>02-saine-A2-n-2</x:v>
      </x:c>
      <x:c r="B33" s="375" t="str">
        <x:v>saine</x:v>
      </x:c>
      <x:c r="C33" s="375" t="str">
        <x:v>A2</x:v>
      </x:c>
      <x:c r="D33" s="375" t="str">
        <x:v>02-saine-o-n-2</x:v>
      </x:c>
      <x:c r="E33" s="375" t="str">
        <x:v>裏斬り</x:v>
      </x:c>
      <x:c r="F33" s="375" t="str">
        <x:v>うらぎり</x:v>
      </x:c>
      <x:c r="G33" s="375" t="str">
        <x:v>里斩</x:v>
      </x:c>
      <x:c r="H33" s="375"/>
      <x:c r="I33" s="375"/>
      <x:c r="J33" s="375" t="str">
        <x:v>등 베기</x:v>
      </x:c>
      <x:c r="K33" s="375" t="str">
        <x:v>Treachery</x:v>
      </x:c>
      <x:c r="L33" s="375"/>
      <x:c r="M33" s="382" t="str">
        <x:v>通常札</x:v>
      </x:c>
      <x:c r="N33" s="375"/>
      <x:c r="O33" s="375"/>
      <x:c r="P33" s="375"/>
      <x:c r="Q33" s="375"/>
      <x:c r="R33" s="375" t="str">
        <x:v>攻撃</x:v>
      </x:c>
      <x:c r="S33" s="375"/>
      <x:c r="T33" s="376" t="str">
        <x:v>4-5</x:v>
      </x:c>
      <x:c r="U33" s="383"/>
      <x:c r="V33" s="382" t="str">
        <x:v>3/1</x:v>
      </x:c>
      <x:c r="W33" s="383"/>
      <x:c r="X33" s="382"/>
      <x:c r="Y33" s="382"/>
      <x:c r="Z33" s="382"/>
      <x:c r="AA33" s="382"/>
      <x:c r="AB33" s="385"/>
      <x:c r="AC33" s="385"/>
      <x:c r="AD33" s="386"/>
      <x:c r="AE33" s="440" t="str">
        <x:v>対応不可（切札）
【常時】この《攻撃》が行われた時、相手のオーラが1以下ならば、この《攻撃》のオーラへのダメージとライフへのダメージを入れ替える。</x:v>
      </x:c>
      <x:c r="AF33" s="441"/>
      <x:c r="AG33" s="488" t="str">
        <x:v>不可被对应（王牌）
【常时】进行此《攻击》时若敌装不大于1，交换此《攻击》的对装伤害和对命伤害。</x:v>
      </x:c>
      <x:c r="AH33" s="442"/>
      <x:c r="AI33" s="440"/>
      <x:c r="AJ33" s="440"/>
      <x:c r="AK33" s="488" t="str">
        <x:v>대응불가(비장패)
【상시】 이 《공격》을 수행할 때, 상대의 오라가 1 이하라면, 이 《공격》의 오라 데미지와 라이프 데미지를 서로 바꾼다</x:v>
      </x:c>
      <x:c r="AL33" s="440"/>
      <x:c r="AM33" s="488" t="str">
        <x:v>No Reactions (Special)
Forced: When this Attack is launched, if your opponent's Aura is 1 or less, swap this Attack's Aura damage and Life damage values.</x:v>
      </x:c>
      <x:c r="AN33" s="440"/>
      <x:c r="AO33" s="440"/>
      <x:c r="AP33" s="440"/>
      <x:c r="AQ33" s="440"/>
      <x:c r="AR33" s="440"/>
      <x:c r="AS33" s="440"/>
      <x:c r="AT33" s="378" t="str">
        <x:f aca="0">IF(A33="", "","'"&amp;A33&amp;"': {megami: '"&amp;B33&amp;"'"&amp;IF(C33&lt;&gt;"",", anotherID: '"&amp;C33&amp;"', replace: '"&amp;D33&amp;"'","")&amp;", name: '"&amp;SUBSTITUTE(E33,"'","\'")&amp;"', nameEn: '"&amp;SUBSTITUTE(K33,"'","\'")&amp;"', nameZh: '"&amp;SUBSTITUTE(G33,"'","\'")&amp;"', nameZhG32: '"&amp;SUBSTITUTE(H33,"'","\'")&amp;"', nameKo: '"&amp;SUBSTITUTE(J33,"'","\'")&amp;"', ruby: '"&amp;F33&amp;"', rubyEn: '"&amp;L33&amp;IF(I33&lt;&gt;"", "', rubyZh: '"&amp;I33, "")&amp;"', baseType: '"&amp;IF(M33="通常札","normal",IF(M33="切札","special",IF(M33="追加札","extra",IF(M33="transform","transform",IF(M33="嵐","storm",IF(M33="兵員","troop",IF(M33="構想","plan",IF(M33="メインパーツ","mainParts",IF(M33="カスタムパーツ","customParts",IF(M33="運命","fate",IF(M33="仮想樹","virtualTree","")))))))))))&amp;"'"&amp;IF(N33="○",", extra: true","")&amp;IF(O33&lt;&gt;"",", extraFrom: '"&amp;O33&amp;"'","")&amp;IF(P33&lt;&gt;"",", exchangableTo: '"&amp;P33&amp;"'","")&amp;IF(Q33="○",", poison: true","")&amp;IF(R33&lt;&gt;"", ", type: '"&amp;IF(R33="攻撃","attack",IF(R33="行動","action",IF(R33="不定","variable",IF(R33="対応","reaction",IF(R33="全力","fullpower",IF(R33="付与","enhance",IF(R33="transform","transform","")))))))&amp;"'", "")&amp;IF(S33&lt;&gt;"",", subType: '"&amp;IF(S33="攻撃","attack",IF(S33="行動","action",IF(S33="不定","variable",IF(S33="対応","reaction",IF(S33="全力","fullpower",IF(S33="付与","enhance",IF(S33="transform","transform","")))))))&amp;"'","")&amp;""&amp;IF(T33&lt;&gt;"",",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textZhG32: '"&amp;SUBSTITUTE(SUBSTITUTE(SUBSTITUTE(AI33, CHAR(13), ""),CHAR(10),"\n"),"'","\'")&amp;IF(AH33&lt;&gt;"", "', textZhAdditional: '"&amp;SUBSTITUTE(SUBSTITUTE(AH33, CHAR(13), ""),CHAR(10),"\n"), "")&amp;IF(AK33&lt;&gt;"", "', textZhG32Additional: '"&amp;SUBSTITUTE(SUBSTITUTE(AK33, CHAR(13), ""),CHAR(10),"\n"), "")&amp;"', textKo: '"&amp;SUBSTITUTE(SUBSTITUTE(SUBSTITUTE(AM33, CHAR(13), ""),CHAR(10),"\n"),"'","\'")&amp;IF(AM33&lt;&gt;"", "', textKoAdditional: '"&amp;SUBSTITUTE(SUBSTITUTE(AM33, CHAR(13), ""),CHAR(10),"\n"), "")&amp;"', textEn: '"&amp;SUBSTITUTE(SUBSTITUTE(SUBSTITUTE(AM33, CHAR(13), ""),CHAR(10),"\n"),"'","\'")&amp;IF(AN33&lt;&gt;"", "', textEnAdditional: '"&amp;SUBSTITUTE(SUBSTITUTE(AN33, CHAR(13), ""),CHAR(10),"\n"), "")&amp;"'"&amp;IF(AB33="○",", sealable: true","")&amp;IF(AC33="○",", removable: true","")&amp;IF(AA33="○",", lie: true","")&amp;IF(AD33="○",", investable: true","")&amp;"},")</x:f>
        <x:v>'02-saine-A2-n-2': {megami: 'saine', anotherID: 'A2', replace: '02-saine-o-n-2', name: '裏斬り', nameEn: 'Treachery', nameZh: '里斩', nameZhG32: '', nameKo: '등 베기', ruby: 'うらぎり', rubyEn: '', baseType: 'normal', type: 'attack', range: '4-5', damage: '3/1', text: '対応不可（切札）\n【常時】この《攻撃》が行われた時、相手のオーラが1以下ならば、この《攻撃》のオーラへのダメージとライフへのダメージを入れ替える。', textZh: '不可被对应（王牌）\n【常时】进行此《攻击》时若敌装不大于1，交换此《攻击》的对装伤害和对命伤害。', textZhG32: '', textZhG32Additional: '대응불가(비장패)\n【상시】 이 《공격》을 수행할 때, 상대의 오라가 1 이하라면, 이 《공격》의 오라 데미지와 라이프 데미지를 서로 바꾼다', textKo: 'No Reactions (Special)\n\nForced: When this Attack is launched, if your opponent\'s Aura is 1 or less, swap this Attack\'s Aura damage and Life damage values.', textKoAdditional: 'No Reactions (Special)\n\nForced: When this Attack is launched, if your opponent's Aura is 1 or less, swap this Attack's Aura damage and Life damage values.', textEn: 'No Reactions (Special)\n\nForced: When this Attack is launched, if your opponent\'s Aura is 1 or less, swap this Attack\'s Aura damage and Life damage values.'},</x:v>
      </x:c>
      <x:c r="AU33" s="379" t="str">
        <x:f aca="0">IF($A33&lt;&gt;"", "    /** 《"&amp;$E33&amp;"》 */ export const "&amp;SUBSTITUTE(UPPER(IF(MID($A33, 3, 1)="-", RIGHT($A33,LEN($A33)-3), $A33)), "-", "_")&amp;": TCardId = '"&amp;$A33&amp;"';", "")</x:f>
        <x:v>    /** 《裏斬り》 */ export const SAINE_A2_N_2: TCardId = '02-saine-A2-n-2';</x:v>
      </x:c>
      <x:c r="AV33" s="380" t="str">
        <x:f aca="0">IF($A34&lt;&gt;"", "    | '"&amp;$A34&amp;"'", "")</x:f>
        <x:v>    | '02-saine-A2-n-7'</x:v>
      </x:c>
    </x:row>
    <x:row r="34" ht="128" hidden="0" customHeight="1">
      <x:c r="A34" s="375" t="str">
        <x:v>02-saine-A2-n-7</x:v>
      </x:c>
      <x:c r="B34" s="375" t="str">
        <x:v>saine</x:v>
      </x:c>
      <x:c r="C34" s="375" t="str">
        <x:v>A2</x:v>
      </x:c>
      <x:c r="D34" s="375" t="str">
        <x:v>02-saine-o-n-7</x:v>
      </x:c>
      <x:c r="E34" s="375" t="str">
        <x:v>遺響壁</x:v>
      </x:c>
      <x:c r="F34" s="375" t="str">
        <x:v>いきょうへき</x:v>
      </x:c>
      <x:c r="G34" s="375" t="str">
        <x:v>遗响壁</x:v>
      </x:c>
      <x:c r="H34" s="375" t="str">
        <x:v>遗响壁</x:v>
      </x:c>
      <x:c r="I34" s="375"/>
      <x:c r="J34" s="375" t="str">
        <x:v>유향벽</x:v>
      </x:c>
      <x:c r="K34" s="375" t="str">
        <x:v>Reverberant Wall</x:v>
      </x:c>
      <x:c r="L34" s="375"/>
      <x:c r="M34" s="382" t="str">
        <x:v>通常札</x:v>
      </x:c>
      <x:c r="N34" s="375"/>
      <x:c r="O34" s="375"/>
      <x:c r="P34" s="375"/>
      <x:c r="Q34" s="375"/>
      <x:c r="R34" s="375" t="str">
        <x:v>付与</x:v>
      </x:c>
      <x:c r="S34" s="375"/>
      <x:c r="T34" s="376"/>
      <x:c r="U34" s="383"/>
      <x:c r="V34" s="382"/>
      <x:c r="W34" s="383"/>
      <x:c r="X34" s="382" t="n">
        <x:v>2</x:v>
      </x:c>
      <x:c r="Y34" s="382"/>
      <x:c r="Z34" s="382"/>
      <x:c r="AA34" s="382"/>
      <x:c r="AB34" s="385"/>
      <x:c r="AC34" s="385"/>
      <x:c r="AD34" s="386"/>
      <x:c r="AE34" s="440" t="str">
        <x:v>【展開中】あなたへのダメージを解決するに際し、このカードの上に置かれた桜花結晶をあなたのオーラにあるかのように扱う。
【破棄時】八相―あなたのオーラが1以下かつ現在のターンがあなたのターンならば、攻撃『適正距離0-5、0/0、【攻撃後】相手のオーラに2ダメージを与え、このターンにあなたが次に行う《攻撃》は+0/+1となる』を行う。</x:v>
      </x:c>
      <x:c r="AF34" s="441"/>
      <x:c r="AG34" s="488" t="str">
        <x:v>【展开中】对你造成的伤害结算时，此牌上的樱花结晶视为在自装中。 
【破弃时】八相～若自装中樱花结晶数仅1个或更少，且当前为你的回合，则进行一次“攻击距离0-5、伤害0/0、【攻击后】给与敌装2点伤害，本回合你的下一次《攻击》得+0/+1”的攻击。</x:v>
      </x:c>
      <x:c r="AH34" s="442"/>
      <x:c r="AI34" s="488" t="str">
        <x:v>【展开中】当妳结算对装伤害时，此牌上的樱花结晶视为在自装中。
【破弃时】八相～若当前为妳的回合，且自装中的樱花结晶的数目小于等于1，则进行一次“攻击距离0-5 伤害0/0 【攻击后】对敌装造成2点伤害，本回合内妳进行的下一次《攻击》获得+0/+1。”的攻击。</x:v>
      </x:c>
      <x:c r="AJ34" s="440"/>
      <x:c r="AK34" s="488" t="str">
        <x:v>【전개중】당신이 받는 데미지를 해결할 때, 이 카드 위에 놓인 벛꽃결정을 당신의 오라에 있는 것처럼 취급한다.
【파기시】팔상 - 당신의 오라가 1 이하면서 현재 턴이 당신의 턴이라면, 공격『적정거리0-5、0/0, 【공격후】 상대의 오라에 2 데미지를 주고, 이번 턴에 당신이 수행하는 다음번 《공격》은 +0/+1 된다.』을 수행한다.</x:v>
      </x:c>
      <x:c r="AL34" s="440"/>
      <x:c r="AM34" s="488" t="str">
        <x:v>Ongoing: Treat Sakura tokens on this card as if they were on your Aura whenever you are dealt damage.
Disenchant: Idea - If it's currently your turn and you have 1 or fewer Sakura tokens on your Aura, you attack with "Range: 0-5, Damage: 0/0, After Attack: Deal 2 damage to your opponent's Aura, and the next attack you make this turn gets +0/+1."</x:v>
      </x:c>
      <x:c r="AN34" s="440"/>
      <x:c r="AO34" s="440"/>
      <x:c r="AP34" s="440"/>
      <x:c r="AQ34" s="488" t="str">
        <x:v>    | '02-saine-A2-n-7'</x:v>
      </x:c>
      <x:c r="AR34" s="440"/>
      <x:c r="AS34" s="440"/>
      <x:c r="AT34" s="378" t="str">
        <x:f aca="0">IF(A34="", "","'"&amp;A34&amp;"': {megami: '"&amp;B34&amp;"'"&amp;IF(C34&lt;&gt;"",", anotherID: '"&amp;C34&amp;"', replace: '"&amp;D34&amp;"'","")&amp;", name: '"&amp;SUBSTITUTE(E34,"'","\'")&amp;"', nameEn: '"&amp;SUBSTITUTE(K34,"'","\'")&amp;"', nameZh: '"&amp;SUBSTITUTE(G34,"'","\'")&amp;"', nameZhG33: '"&amp;SUBSTITUTE(H34,"'","\'")&amp;"', nameKo: '"&amp;SUBSTITUTE(J34,"'","\'")&amp;"', ruby: '"&amp;F34&amp;"', rubyEn: '"&amp;L34&amp;IF(I34&lt;&gt;"", "', rubyZh: '"&amp;I34, "")&amp;"', baseType: '"&amp;IF(M34="通常札","normal",IF(M34="切札","special",IF(M34="追加札","extra",IF(M34="transform","transform",IF(M34="嵐","storm",IF(M34="兵員","troop",IF(M34="構想","plan",IF(M34="メインパーツ","mainParts",IF(M34="カスタムパーツ","customParts",IF(M34="運命","fate",IF(M34="仮想樹","virtualTree","")))))))))))&amp;"'"&amp;IF(N34="○",", extra: true","")&amp;IF(O34&lt;&gt;"",", extraFrom: '"&amp;O34&amp;"'","")&amp;IF(P34&lt;&gt;"",", exchangableTo: '"&amp;P34&amp;"'","")&amp;IF(Q34="○",", poison: true","")&amp;IF(R34&lt;&gt;"", ", type: '"&amp;IF(R34="攻撃","attack",IF(R34="行動","action",IF(R34="不定","variable",IF(R34="対応","reaction",IF(R34="全力","fullpower",IF(R34="付与","enhance",IF(R34="transform","transform","")))))))&amp;"'", "")&amp;IF(S34&lt;&gt;"",", subType: '"&amp;IF(S34="攻撃","attack",IF(S34="行動","action",IF(S34="不定","variable",IF(S34="対応","reaction",IF(S34="全力","fullpower",IF(S34="付与","enhance",IF(S34="transform","transform","")))))))&amp;"'","")&amp;""&amp;IF(T34&lt;&gt;"",", range: '"&amp;T34&amp;"'","")&amp;IF(V34&lt;&gt;"",", damage: '"&amp;V34&amp;"'","")&amp;IF(X34&lt;&gt;"",", capacity: '"&amp;X34&amp;"'","")&amp;IF(Y34&lt;&gt;"",", growth: "&amp;Y34&amp;"","")&amp;IF(Z34&lt;&gt;"",", cost: '"&amp;Z34&amp;"'","")&amp;", text: '"&amp;SUBSTITUTE(SUBSTITUTE(AE34, CHAR(13), ""),CHAR(10),"\n")&amp;IF(AF34&lt;&gt;"", "', textAdditional: '"&amp;SUBSTITUTE(SUBSTITUTE(AF34, CHAR(13), ""),CHAR(10),"\n"), "")&amp;"', textZh: '"&amp;SUBSTITUTE(SUBSTITUTE(SUBSTITUTE(AG34, CHAR(13), ""),CHAR(10),"\n"),"'","\'")&amp;"', textZhG33: '"&amp;SUBSTITUTE(SUBSTITUTE(SUBSTITUTE(AI34, CHAR(13), ""),CHAR(10),"\n"),"'","\'")&amp;IF(AH34&lt;&gt;"", "', textZhAdditional: '"&amp;SUBSTITUTE(SUBSTITUTE(AH34, CHAR(13), ""),CHAR(10),"\n"), "")&amp;IF(AK34&lt;&gt;"", "', textZhG33Additional: '"&amp;SUBSTITUTE(SUBSTITUTE(AK34, CHAR(13), ""),CHAR(10),"\n"), "")&amp;"', textKo: '"&amp;SUBSTITUTE(SUBSTITUTE(SUBSTITUTE(AM34, CHAR(13), ""),CHAR(10),"\n"),"'","\'")&amp;IF(AM34&lt;&gt;"", "', textKoAdditional: '"&amp;SUBSTITUTE(SUBSTITUTE(AM34, CHAR(13), ""),CHAR(10),"\n"), "")&amp;"', textEn: '"&amp;SUBSTITUTE(SUBSTITUTE(SUBSTITUTE(AM34, CHAR(13), ""),CHAR(10),"\n"),"'","\'")&amp;IF(AN34&lt;&gt;"", "', textEnAdditional: '"&amp;SUBSTITUTE(SUBSTITUTE(AN34, CHAR(13), ""),CHAR(10),"\n"), "")&amp;"'"&amp;IF(AB34="○",", sealable: true","")&amp;IF(AC34="○",", removable: true","")&amp;IF(AA34="○",", lie: true","")&amp;IF(AD34="○",", investable: true","")&amp;"},")</x:f>
        <x:v>'02-saine-A2-n-7': {megami: 'saine', anotherID: 'A2', replace: '02-saine-o-n-7', name: '遺響壁', nameEn: 'Reverberant Wall', nameZh: '遗响壁', nameZhG33: '遗响壁', nameKo: '유향벽', ruby: 'いきょうへき', rubyEn: '', baseType: 'normal', type: 'enhance', capacity: '2', text: '【展開中】あなたへのダメージを解決するに際し、このカードの上に置かれた桜花結晶をあなたのオーラにあるかのように扱う。\n【破棄時】八相―あなたのオーラが1以下かつ現在のターンがあなたのターンならば、攻撃『適正距離0-5、0/0、【攻撃後】相手のオーラに2ダメージを与え、このターンにあなたが次に行う《攻撃》は+0/+1となる』を行う。', textZh: '【展开中】对你造成的伤害结算时，此牌上的樱花结晶视为在自装中。 \n【破弃时】八相～若自装中樱花结晶数仅1个或更少，且当前为你的回合，则进行一次“攻击距离0-5、伤害0/0、【攻击后】给与敌装2点伤害，本回合你的下一次《攻击》得+0/+1”的攻击。', textZhG33: '【展开中】当妳结算对装伤害时，此牌上的樱花结晶视为在自装中。\n【破弃时】八相～若当前为妳的回合，且自装中的樱花结晶的数目小于等于1，则进行一次“攻击距离0-5 伤害0/0 【攻击后】对敌装造成2点伤害，本回合内妳进行的下一次《攻击》获得+0/+1。”的攻击。', textZhG33Additional: '【전개중】당신이 받는 데미지를 해결할 때, 이 카드 위에 놓인 벛꽃결정을 당신의 오라에 있는 것처럼 취급한다.\n【파기시】팔상 - 당신의 오라가 1 이하면서 현재 턴이 당신의 턴이라면, 공격『적정거리0-5、0/0, 【공격후】 상대의 오라에 2 데미지를 주고, 이번 턴에 당신이 수행하는 다음번 《공격》은 +0/+1 된다.』을 수행한다.', textKo: 'Ongoing: Treat Sakura tokens on this card as if they were on your Aura whenever you are dealt damage.\n\nDisenchant: Idea - If it\'s currently your turn and you have 1 or fewer Sakura tokens on your Aura, you attack with "Range: 0-5, Damage: 0/0, After Attack: Deal 2 damage to your opponent\'s Aura, and the next attack you make this turn gets +0/+1."', textKoAdditional: 'Ongoing: Treat Sakura tokens on this card as if they were on your Aura whenever you are dealt damage.\n\nDisenchant: Idea - If it's currently your turn and you have 1 or fewer Sakura tokens on your Aura, you attack with "Range: 0-5, Damage: 0/0, After Attack: Deal 2 damage to your opponent's Aura, and the next attack you make this turn gets +0/+1."', textEn: 'Ongoing: Treat Sakura tokens on this card as if they were on your Aura whenever you are dealt damage.\n\nDisenchant: Idea - If it\'s currently your turn and you have 1 or fewer Sakura tokens on your Aura, you attack with "Range: 0-5, Damage: 0/0, After Attack: Deal 2 damage to your opponent\'s Aura, and the next attack you make this turn gets +0/+1."'},</x:v>
      </x:c>
      <x:c r="AU34" s="379" t="str">
        <x:f aca="0">IF($A34&lt;&gt;"", "    /** 《"&amp;$E34&amp;"》 */ export const "&amp;SUBSTITUTE(UPPER(IF(MID($A34, 3, 1)="-", RIGHT($A34,LEN($A34)-3), $A34)), "-", "_")&amp;": TCardId = '"&amp;$A34&amp;"';", "")</x:f>
        <x:v>    /** 《遺響壁》 */ export const SAINE_A2_N_7: TCardId = '02-saine-A2-n-7';</x:v>
      </x:c>
      <x:c r="AV34" s="380" t="str">
        <x:f aca="0">IF($A35&lt;&gt;"", "    | '"&amp;$A35&amp;"'", "")</x:f>
        <x:v>    | '02-saine-A2-s-3'</x:v>
      </x:c>
    </x:row>
    <x:row r="35" ht="98" hidden="0" customHeight="1">
      <x:c r="A35" s="375" t="str">
        <x:v>02-saine-A2-s-3</x:v>
      </x:c>
      <x:c r="B35" s="375" t="str">
        <x:v>saine</x:v>
      </x:c>
      <x:c r="C35" s="375" t="str">
        <x:v>A2</x:v>
      </x:c>
      <x:c r="D35" s="375" t="str">
        <x:v>02-saine-o-s-3</x:v>
      </x:c>
      <x:c r="E35" s="375" t="str">
        <x:v>絶唱絶華</x:v>
      </x:c>
      <x:c r="F35" s="375" t="str">
        <x:v>ぜっしょうぜっか</x:v>
      </x:c>
      <x:c r="G35" s="375" t="str">
        <x:v>绝唱绝华</x:v>
      </x:c>
      <x:c r="H35" s="375" t="str">
        <x:v>絶唱絶华</x:v>
      </x:c>
      <x:c r="I35" s="375"/>
      <x:c r="J35" s="375" t="str">
        <x:v>절창절화</x:v>
      </x:c>
      <x:c r="K35" s="375" t="str">
        <x:v>Withering Fragment</x:v>
      </x:c>
      <x:c r="L35" s="375"/>
      <x:c r="M35" s="375" t="str">
        <x:v>切札</x:v>
      </x:c>
      <x:c r="N35" s="375"/>
      <x:c r="O35" s="375"/>
      <x:c r="P35" s="375"/>
      <x:c r="Q35" s="375"/>
      <x:c r="R35" s="375" t="str">
        <x:v>攻撃</x:v>
      </x:c>
      <x:c r="S35" s="375" t="str">
        <x:v>対応</x:v>
      </x:c>
      <x:c r="T35" s="376" t="str">
        <x:v>0-10</x:v>
      </x:c>
      <x:c r="U35" s="383"/>
      <x:c r="V35" s="382" t="str">
        <x:v>2/-</x:v>
      </x:c>
      <x:c r="W35" s="383"/>
      <x:c r="X35" s="382"/>
      <x:c r="Y35" s="382"/>
      <x:c r="Z35" s="382" t="n">
        <x:v>1</x:v>
      </x:c>
      <x:c r="AA35" s="382"/>
      <x:c r="AB35" s="385"/>
      <x:c r="AC35" s="385"/>
      <x:c r="AD35" s="386"/>
      <x:c r="AE35" s="440" t="str">
        <x:v>終端
【攻撃後】対応した《攻撃》の解決後に、その《攻撃》でオーラへのダメージが選ばれ、かつあなたのオーラが0ならば現在のフェイズを終了する。</x:v>
      </x:c>
      <x:c r="AF35" s="441"/>
      <x:c r="AG35" s="488" t="str">
        <x:v>终端
【攻击后】被对应的《攻击》结算完毕后，若你选择由装承受此次《攻击》的伤害，且现自装中已没有樱花结晶，则结束当前阶段。</x:v>
      </x:c>
      <x:c r="AH35" s="442"/>
      <x:c r="AI35" s="488" t="str">
        <x:v>被对应的《攻击》结算完毕后，若你选择由装承受此次《攻击》的伤害，且现自装中已没有樱花结晶，则结束当前阶段。
----
【再起】八相～自装中没有樱花结晶。</x:v>
      </x:c>
      <x:c r="AJ35" s="440"/>
      <x:c r="AK35" s="488" t="str">
        <x:v>종단
대응한 《공격》 해결 후에 그 《공격》에서 오라 데미지를 선택했고 당신의 오라가 0이라면 현재의 페이즈를 종료한다.</x:v>
      </x:c>
      <x:c r="AL35" s="440"/>
      <x:c r="AM35" s="488" t="str">
        <x:v>Terminal
After Attack: After the attack you played this card as Reaction to resolves, if damage to Aura was chosen for that attack, and you now have no Sakura tokens on your Aura, end the current phase.</x:v>
      </x:c>
      <x:c r="AN35" s="440"/>
      <x:c r="AO35" s="440"/>
      <x:c r="AP35" s="440"/>
      <x:c r="AQ35" s="440"/>
      <x:c r="AR35" s="440"/>
      <x:c r="AS35" s="440"/>
      <x:c r="AT35" s="378" t="str">
        <x:f aca="0">IF(A35="", "","'"&amp;A35&amp;"': {megami: '"&amp;B35&amp;"'"&amp;IF(C35&lt;&gt;"",", anotherID: '"&amp;C35&amp;"', replace: '"&amp;D35&amp;"'","")&amp;", name: '"&amp;SUBSTITUTE(E35,"'","\'")&amp;"', nameEn: '"&amp;SUBSTITUTE(K35,"'","\'")&amp;"', nameZh: '"&amp;SUBSTITUTE(G35,"'","\'")&amp;"', nameZhG34: '"&amp;SUBSTITUTE(H35,"'","\'")&amp;"', nameKo: '"&amp;SUBSTITUTE(J35,"'","\'")&amp;"', ruby: '"&amp;F35&amp;"', rubyEn: '"&amp;L35&amp;IF(I35&lt;&gt;"", "', rubyZh: '"&amp;I35, "")&amp;"', baseType: '"&amp;IF(M35="通常札","normal",IF(M35="切札","special",IF(M35="追加札","extra",IF(M35="transform","transform",IF(M35="嵐","storm",IF(M35="兵員","troop",IF(M35="構想","plan",IF(M35="メインパーツ","mainParts",IF(M35="カスタムパーツ","customParts",IF(M35="運命","fate",IF(M35="仮想樹","virtualTree","")))))))))))&amp;"'"&amp;IF(N35="○",", extra: true","")&amp;IF(O35&lt;&gt;"",", extraFrom: '"&amp;O35&amp;"'","")&amp;IF(P35&lt;&gt;"",", exchangableTo: '"&amp;P35&amp;"'","")&amp;IF(Q35="○",", poison: true","")&amp;IF(R35&lt;&gt;"", ", type: '"&amp;IF(R35="攻撃","attack",IF(R35="行動","action",IF(R35="不定","variable",IF(R35="対応","reaction",IF(R35="全力","fullpower",IF(R35="付与","enhance",IF(R35="transform","transform","")))))))&amp;"'", "")&amp;IF(S35&lt;&gt;"",", subType: '"&amp;IF(S35="攻撃","attack",IF(S35="行動","action",IF(S35="不定","variable",IF(S35="対応","reaction",IF(S35="全力","fullpower",IF(S35="付与","enhance",IF(S35="transform","transform","")))))))&amp;"'","")&amp;""&amp;IF(T35&lt;&gt;"",", range: '"&amp;T35&amp;"'","")&amp;IF(V35&lt;&gt;"",", damage: '"&amp;V35&amp;"'","")&amp;IF(X35&lt;&gt;"",", capacity: '"&amp;X35&amp;"'","")&amp;IF(Y35&lt;&gt;"",", growth: "&amp;Y35&amp;"","")&amp;IF(Z35&lt;&gt;"",", cost: '"&amp;Z35&amp;"'","")&amp;", text: '"&amp;SUBSTITUTE(SUBSTITUTE(AE35, CHAR(13), ""),CHAR(10),"\n")&amp;IF(AF35&lt;&gt;"", "', textAdditional: '"&amp;SUBSTITUTE(SUBSTITUTE(AF35, CHAR(13), ""),CHAR(10),"\n"), "")&amp;"', textZh: '"&amp;SUBSTITUTE(SUBSTITUTE(SUBSTITUTE(AG35, CHAR(13), ""),CHAR(10),"\n"),"'","\'")&amp;"', textZhG34: '"&amp;SUBSTITUTE(SUBSTITUTE(SUBSTITUTE(AI35, CHAR(13), ""),CHAR(10),"\n"),"'","\'")&amp;IF(AH35&lt;&gt;"", "', textZhAdditional: '"&amp;SUBSTITUTE(SUBSTITUTE(AH35, CHAR(13), ""),CHAR(10),"\n"), "")&amp;IF(AK35&lt;&gt;"", "', textZhG34Additional: '"&amp;SUBSTITUTE(SUBSTITUTE(AK35, CHAR(13), ""),CHAR(10),"\n"), "")&amp;"', textKo: '"&amp;SUBSTITUTE(SUBSTITUTE(SUBSTITUTE(AM35, CHAR(13), ""),CHAR(10),"\n"),"'","\'")&amp;IF(AM35&lt;&gt;"", "', textKoAdditional: '"&amp;SUBSTITUTE(SUBSTITUTE(AM35, CHAR(13), ""),CHAR(10),"\n"), "")&amp;"', textEn: '"&amp;SUBSTITUTE(SUBSTITUTE(SUBSTITUTE(AM35, CHAR(13), ""),CHAR(10),"\n"),"'","\'")&amp;IF(AN35&lt;&gt;"", "', textEnAdditional: '"&amp;SUBSTITUTE(SUBSTITUTE(AN35, CHAR(13), ""),CHAR(10),"\n"), "")&amp;"'"&amp;IF(AB35="○",", sealable: true","")&amp;IF(AC35="○",", removable: true","")&amp;IF(AA35="○",", lie: true","")&amp;IF(AD35="○",", investable: true","")&amp;"},")</x:f>
        <x:v>'02-saine-A2-s-3': {megami: 'saine', anotherID: 'A2', replace: '02-saine-o-s-3', name: '絶唱絶華', nameEn: 'Withering Fragment', nameZh: '绝唱绝华', nameZhG34: '絶唱絶华', nameKo: '절창절화', ruby: 'ぜっしょうぜっか', rubyEn: '', baseType: 'special', type: 'attack', subType: 'reaction', range: '0-10', damage: '2/-', cost: '1', text: '終端\n【攻撃後】対応した《攻撃》の解決後に、その《攻撃》でオーラへのダメージが選ばれ、かつあなたのオーラが0ならば現在のフェイズを終了する。', textZh: '终端\n【攻击后】被对应的《攻击》结算完毕后，若你选择由装承受此次《攻击》的伤害，且现自装中已没有樱花结晶，则结束当前阶段。', textZhG34: '被对应的《攻击》结算完毕后，若你选择由装承受此次《攻击》的伤害，且现自装中已没有樱花结晶，则结束当前阶段。\n----\n【再起】八相～自装中没有樱花结晶。', textZhG34Additional: '종단\n대응한 《공격》 해결 후에 그 《공격》에서 오라 데미지를 선택했고 당신의 오라가 0이라면 현재의 페이즈를 종료한다.', textKo: 'Terminal\n\nAfter Attack: After the attack you played this card as Reaction to resolves, if damage to Aura was chosen for that attack, and you now have no Sakura tokens on your Aura, end the current phase.', textKoAdditional: 'Terminal\n\nAfter Attack: After the attack you played this card as Reaction to resolves, if damage to Aura was chosen for that attack, and you now have no Sakura tokens on your Aura, end the current phase.', textEn: 'Terminal\n\nAfter Attack: After the attack you played this card as Reaction to resolves, if damage to Aura was chosen for that attack, and you now have no Sakura tokens on your Aura, end the current phase.'},</x:v>
      </x:c>
      <x:c r="AU35" s="379" t="str">
        <x:f aca="0">IF($A35&lt;&gt;"", "    /** 《"&amp;$E35&amp;"》 */ export const "&amp;SUBSTITUTE(UPPER(IF(MID($A35, 3, 1)="-", RIGHT($A35,LEN($A35)-3), $A35)), "-", "_")&amp;": TCardId = '"&amp;$A35&amp;"';", "")</x:f>
        <x:v>    /** 《絶唱絶華》 */ export const SAINE_A2_S_3: TCardId = '02-saine-A2-s-3';</x:v>
      </x:c>
      <x:c r="AV35" s="380" t="str">
        <x:f aca="0">IF($A36&lt;&gt;"", "    | '"&amp;$A36&amp;"'", "")</x:f>
        <x:v>    | '03-himika-o-n-1'</x:v>
      </x:c>
    </x:row>
    <x:row r="36" ht="30" hidden="0" customHeight="1">
      <x:c r="A36" s="375" t="str">
        <x:v>03-himika-o-n-1</x:v>
      </x:c>
      <x:c r="B36" s="375" t="str">
        <x:v>himika</x:v>
      </x:c>
      <x:c r="C36" s="375"/>
      <x:c r="D36" s="375"/>
      <x:c r="E36" s="375" t="str">
        <x:v>シュート</x:v>
      </x:c>
      <x:c r="F36" s="375"/>
      <x:c r="G36" s="375" t="str">
        <x:v>射击</x:v>
      </x:c>
      <x:c r="H36" s="375" t="str">
        <x:v>射击</x:v>
      </x:c>
      <x:c r="I36" s="375" t="str">
        <x:v>Shoot</x:v>
      </x:c>
      <x:c r="J36" s="375" t="str">
        <x:v>슛</x:v>
      </x:c>
      <x:c r="K36" s="375" t="str">
        <x:v>Shoot</x:v>
      </x:c>
      <x:c r="L36" s="375"/>
      <x:c r="M36" s="375" t="str">
        <x:v>通常札</x:v>
      </x:c>
      <x:c r="N36" s="375"/>
      <x:c r="O36" s="375"/>
      <x:c r="P36" s="375"/>
      <x:c r="Q36" s="375"/>
      <x:c r="R36" s="375" t="str">
        <x:v>攻撃</x:v>
      </x:c>
      <x:c r="S36" s="375"/>
      <x:c r="T36" s="376" t="str">
        <x:v>4-10</x:v>
      </x:c>
      <x:c r="U36" s="383"/>
      <x:c r="V36" s="382" t="str">
        <x:v>2/1</x:v>
      </x:c>
      <x:c r="W36" s="383"/>
      <x:c r="X36" s="382"/>
      <x:c r="Y36" s="382"/>
      <x:c r="Z36" s="382"/>
      <x:c r="AA36" s="382"/>
      <x:c r="AB36" s="385"/>
      <x:c r="AC36" s="385"/>
      <x:c r="AD36" s="386"/>
      <x:c r="AE36" s="440"/>
      <x:c r="AF36" s="441"/>
      <x:c r="AG36" s="440"/>
      <x:c r="AH36" s="442"/>
      <x:c r="AI36" s="440"/>
      <x:c r="AJ36" s="440"/>
      <x:c r="AK36" s="440"/>
      <x:c r="AL36" s="440"/>
      <x:c r="AM36" s="440"/>
      <x:c r="AN36" s="440"/>
      <x:c r="AO36" s="440"/>
      <x:c r="AP36" s="440"/>
      <x:c r="AQ36" s="440"/>
      <x:c r="AR36" s="440"/>
      <x:c r="AS36" s="440"/>
      <x:c r="AT36" s="378" t="str">
        <x:f aca="0">IF(A36="", "","'"&amp;A36&amp;"': {megami: '"&amp;B36&amp;"'"&amp;IF(C36&lt;&gt;"",", anotherID: '"&amp;C36&amp;"', replace: '"&amp;D36&amp;"'","")&amp;", name: '"&amp;SUBSTITUTE(E36,"'","\'")&amp;"', nameEn: '"&amp;SUBSTITUTE(K36,"'","\'")&amp;"', nameZh: '"&amp;SUBSTITUTE(G36,"'","\'")&amp;"', nameZhG35: '"&amp;SUBSTITUTE(H36,"'","\'")&amp;"', nameKo: '"&amp;SUBSTITUTE(J36,"'","\'")&amp;"', ruby: '"&amp;F36&amp;"', rubyEn: '"&amp;L36&amp;IF(I36&lt;&gt;"", "', rubyZh: '"&amp;I36, "")&amp;"', baseType: '"&amp;IF(M36="通常札","normal",IF(M36="切札","special",IF(M36="追加札","extra",IF(M36="transform","transform",IF(M36="嵐","storm",IF(M36="兵員","troop",IF(M36="構想","plan",IF(M36="メインパーツ","mainParts",IF(M36="カスタムパーツ","customParts",IF(M36="運命","fate",IF(M36="仮想樹","virtualTree","")))))))))))&amp;"'"&amp;IF(N36="○",", extra: true","")&amp;IF(O36&lt;&gt;"",", extraFrom: '"&amp;O36&amp;"'","")&amp;IF(P36&lt;&gt;"",", exchangableTo: '"&amp;P36&amp;"'","")&amp;IF(Q36="○",", poison: true","")&amp;IF(R36&lt;&gt;"", ", type: '"&amp;IF(R36="攻撃","attack",IF(R36="行動","action",IF(R36="不定","variable",IF(R36="対応","reaction",IF(R36="全力","fullpower",IF(R36="付与","enhance",IF(R36="transform","transform","")))))))&amp;"'", "")&amp;IF(S36&lt;&gt;"",", subType: '"&amp;IF(S36="攻撃","attack",IF(S36="行動","action",IF(S36="不定","variable",IF(S36="対応","reaction",IF(S36="全力","fullpower",IF(S36="付与","enhance",IF(S36="transform","transform","")))))))&amp;"'","")&amp;""&amp;IF(T36&lt;&gt;"",", range: '"&amp;T36&amp;"'","")&amp;IF(V36&lt;&gt;"",", damage: '"&amp;V36&amp;"'","")&amp;IF(X36&lt;&gt;"",", capacity: '"&amp;X36&amp;"'","")&amp;IF(Y36&lt;&gt;"",", growth: "&amp;Y36&amp;"","")&amp;IF(Z36&lt;&gt;"",", cost: '"&amp;Z36&amp;"'","")&amp;", text: '"&amp;SUBSTITUTE(SUBSTITUTE(AE36, CHAR(13), ""),CHAR(10),"\n")&amp;IF(AF36&lt;&gt;"", "', textAdditional: '"&amp;SUBSTITUTE(SUBSTITUTE(AF36, CHAR(13), ""),CHAR(10),"\n"), "")&amp;"', textZh: '"&amp;SUBSTITUTE(SUBSTITUTE(SUBSTITUTE(AG36, CHAR(13), ""),CHAR(10),"\n"),"'","\'")&amp;"', textZhG35: '"&amp;SUBSTITUTE(SUBSTITUTE(SUBSTITUTE(AI36, CHAR(13), ""),CHAR(10),"\n"),"'","\'")&amp;IF(AH36&lt;&gt;"", "', textZhAdditional: '"&amp;SUBSTITUTE(SUBSTITUTE(AH36, CHAR(13), ""),CHAR(10),"\n"), "")&amp;IF(AK36&lt;&gt;"", "', textZhG35Additional: '"&amp;SUBSTITUTE(SUBSTITUTE(AK36, CHAR(13), ""),CHAR(10),"\n"), "")&amp;"', textKo: '"&amp;SUBSTITUTE(SUBSTITUTE(SUBSTITUTE(AM36, CHAR(13), ""),CHAR(10),"\n"),"'","\'")&amp;IF(AM36&lt;&gt;"", "', textKoAdditional: '"&amp;SUBSTITUTE(SUBSTITUTE(AM36, CHAR(13), ""),CHAR(10),"\n"), "")&amp;"', textEn: '"&amp;SUBSTITUTE(SUBSTITUTE(SUBSTITUTE(AM36, CHAR(13), ""),CHAR(10),"\n"),"'","\'")&amp;IF(AN36&lt;&gt;"", "', textEnAdditional: '"&amp;SUBSTITUTE(SUBSTITUTE(AN36, CHAR(13), ""),CHAR(10),"\n"), "")&amp;"'"&amp;IF(AB36="○",", sealable: true","")&amp;IF(AC36="○",", removable: true","")&amp;IF(AA36="○",", lie: true","")&amp;IF(AD36="○",", investable: true","")&amp;"},")</x:f>
        <x:v>'03-himika-o-n-1': {megami: 'himika', name: 'シュート', nameEn: 'Shoot', nameZh: '射击', nameZhG35: '射击', nameKo: '슛', ruby: '', rubyEn: '', rubyZh: 'Shoot', baseType: 'normal', type: 'attack', range: '4-10', damage: '2/1', text: '', textZh: '', textZhG35: '', textKo: '', textEn: ''},</x:v>
      </x:c>
      <x:c r="AU36" s="379" t="str">
        <x:f aca="0">IF($A36&lt;&gt;"", "    /** 《"&amp;$E36&amp;"》 */ export const "&amp;SUBSTITUTE(UPPER(IF(MID($A36, 3, 1)="-", RIGHT($A36,LEN($A36)-3), $A36)), "-", "_")&amp;": TCardId = '"&amp;$A36&amp;"';", "")</x:f>
        <x:v>    /** 《シュート》 */ export const HIMIKA_O_N_1: TCardId = '03-himika-o-n-1';</x:v>
      </x:c>
      <x:c r="AV36" s="380" t="str">
        <x:f aca="0">IF($A37&lt;&gt;"", "    | '"&amp;$A37&amp;"'", "")</x:f>
        <x:v>    | '03-himika-o-n-2'</x:v>
      </x:c>
    </x:row>
    <x:row r="37" ht="38" hidden="0" customHeight="1">
      <x:c r="A37" s="375" t="str">
        <x:v>03-himika-o-n-2</x:v>
      </x:c>
      <x:c r="B37" s="375" t="str">
        <x:v>himika</x:v>
      </x:c>
      <x:c r="C37" s="375"/>
      <x:c r="D37" s="375"/>
      <x:c r="E37" s="375" t="str">
        <x:v>ラピッドファイア</x:v>
      </x:c>
      <x:c r="F37" s="375"/>
      <x:c r="G37" s="375" t="str">
        <x:v>速射</x:v>
      </x:c>
      <x:c r="H37" s="375" t="str">
        <x:v>速射</x:v>
      </x:c>
      <x:c r="I37" s="375" t="str">
        <x:v>Rapid Fire</x:v>
      </x:c>
      <x:c r="J37" s="375" t="str">
        <x:v>래피드 파이어</x:v>
      </x:c>
      <x:c r="K37" s="375" t="str">
        <x:v>Quick Shot</x:v>
      </x:c>
      <x:c r="L37" s="375"/>
      <x:c r="M37" s="375" t="str">
        <x:v>通常札</x:v>
      </x:c>
      <x:c r="N37" s="375"/>
      <x:c r="O37" s="375"/>
      <x:c r="P37" s="375"/>
      <x:c r="Q37" s="375"/>
      <x:c r="R37" s="375" t="str">
        <x:v>攻撃</x:v>
      </x:c>
      <x:c r="S37" s="375"/>
      <x:c r="T37" s="376" t="str">
        <x:v>6-8</x:v>
      </x:c>
      <x:c r="U37" s="383"/>
      <x:c r="V37" s="382" t="str">
        <x:v>2/1</x:v>
      </x:c>
      <x:c r="W37" s="383"/>
      <x:c r="X37" s="382"/>
      <x:c r="Y37" s="382"/>
      <x:c r="Z37" s="382"/>
      <x:c r="AA37" s="382"/>
      <x:c r="AB37" s="385"/>
      <x:c r="AC37" s="385"/>
      <x:c r="AD37" s="386"/>
      <x:c r="AE37" s="441" t="str">
        <x:v>【常時】連火―このカードがこのターンに使用した3枚目以降のカードならば、この《攻撃》は+1/+1となる。</x:v>
      </x:c>
      <x:c r="AF37" s="441"/>
      <x:c r="AG37" s="488" t="str">
        <x:v>【常时】连火～若此牌是本回合你使用的第3张或更多的牌，则此《攻击》得+1/+1。</x:v>
      </x:c>
      <x:c r="AH37" s="442"/>
      <x:c r="AI37" s="488" t="str">
        <x:v>【常时】连火～若本回合你已使用至少2张牌，则此《攻击》得+1/+1。</x:v>
      </x:c>
      <x:c r="AJ37" s="440"/>
      <x:c r="AK37" s="488" t="str">
        <x:v>【상시】연화-이 카드가 이 턴에 사용한 3장째 이후의 카드라면, 이 《공격》은 +1/+1이 된다.</x:v>
      </x:c>
      <x:c r="AL37" s="440"/>
      <x:c r="AM37" s="488" t="str">
        <x:v>Forced: Inferno - This attack gains +1/+1 if this is the third or later card you've played this turn.</x:v>
      </x:c>
      <x:c r="AN37" s="440"/>
      <x:c r="AO37" s="440"/>
      <x:c r="AP37" s="440"/>
      <x:c r="AQ37" s="440"/>
      <x:c r="AR37" s="440"/>
      <x:c r="AS37" s="440"/>
      <x:c r="AT37" s="378" t="str">
        <x:f aca="0">IF(A37="", "","'"&amp;A37&amp;"': {megami: '"&amp;B37&amp;"'"&amp;IF(C37&lt;&gt;"",", anotherID: '"&amp;C37&amp;"', replace: '"&amp;D37&amp;"'","")&amp;", name: '"&amp;SUBSTITUTE(E37,"'","\'")&amp;"', nameEn: '"&amp;SUBSTITUTE(K37,"'","\'")&amp;"', nameZh: '"&amp;SUBSTITUTE(G37,"'","\'")&amp;"', nameZhG36: '"&amp;SUBSTITUTE(H37,"'","\'")&amp;"', nameKo: '"&amp;SUBSTITUTE(J37,"'","\'")&amp;"', ruby: '"&amp;F37&amp;"', rubyEn: '"&amp;L37&amp;IF(I37&lt;&gt;"", "', rubyZh: '"&amp;I37, "")&amp;"', baseType: '"&amp;IF(M37="通常札","normal",IF(M37="切札","special",IF(M37="追加札","extra",IF(M37="transform","transform",IF(M37="嵐","storm",IF(M37="兵員","troop",IF(M37="構想","plan",IF(M37="メインパーツ","mainParts",IF(M37="カスタムパーツ","customParts",IF(M37="運命","fate",IF(M37="仮想樹","virtualTree","")))))))))))&amp;"'"&amp;IF(N37="○",", extra: true","")&amp;IF(O37&lt;&gt;"",", extraFrom: '"&amp;O37&amp;"'","")&amp;IF(P37&lt;&gt;"",", exchangableTo: '"&amp;P37&amp;"'","")&amp;IF(Q37="○",", poison: true","")&amp;IF(R37&lt;&gt;"", ", type: '"&amp;IF(R37="攻撃","attack",IF(R37="行動","action",IF(R37="不定","variable",IF(R37="対応","reaction",IF(R37="全力","fullpower",IF(R37="付与","enhance",IF(R37="transform","transform","")))))))&amp;"'", "")&amp;IF(S37&lt;&gt;"",", subType: '"&amp;IF(S37="攻撃","attack",IF(S37="行動","action",IF(S37="不定","variable",IF(S37="対応","reaction",IF(S37="全力","fullpower",IF(S37="付与","enhance",IF(S37="transform","transform","")))))))&amp;"'","")&amp;""&amp;IF(T37&lt;&gt;"",", range: '"&amp;T37&amp;"'","")&amp;IF(V37&lt;&gt;"",", damage: '"&amp;V37&amp;"'","")&amp;IF(X37&lt;&gt;"",", capacity: '"&amp;X37&amp;"'","")&amp;IF(Y37&lt;&gt;"",", growth: "&amp;Y37&amp;"","")&amp;IF(Z37&lt;&gt;"",", cost: '"&amp;Z37&amp;"'","")&amp;", text: '"&amp;SUBSTITUTE(SUBSTITUTE(AE37, CHAR(13), ""),CHAR(10),"\n")&amp;IF(AF37&lt;&gt;"", "', textAdditional: '"&amp;SUBSTITUTE(SUBSTITUTE(AF37, CHAR(13), ""),CHAR(10),"\n"), "")&amp;"', textZh: '"&amp;SUBSTITUTE(SUBSTITUTE(SUBSTITUTE(AG37, CHAR(13), ""),CHAR(10),"\n"),"'","\'")&amp;"', textZhG36: '"&amp;SUBSTITUTE(SUBSTITUTE(SUBSTITUTE(AI37, CHAR(13), ""),CHAR(10),"\n"),"'","\'")&amp;IF(AH37&lt;&gt;"", "', textZhAdditional: '"&amp;SUBSTITUTE(SUBSTITUTE(AH37, CHAR(13), ""),CHAR(10),"\n"), "")&amp;IF(AK37&lt;&gt;"", "', textZhG36Additional: '"&amp;SUBSTITUTE(SUBSTITUTE(AK37, CHAR(13), ""),CHAR(10),"\n"), "")&amp;"', textKo: '"&amp;SUBSTITUTE(SUBSTITUTE(SUBSTITUTE(AM37, CHAR(13), ""),CHAR(10),"\n"),"'","\'")&amp;IF(AM37&lt;&gt;"", "', textKoAdditional: '"&amp;SUBSTITUTE(SUBSTITUTE(AM37, CHAR(13), ""),CHAR(10),"\n"), "")&amp;"', textEn: '"&amp;SUBSTITUTE(SUBSTITUTE(SUBSTITUTE(AM37, CHAR(13), ""),CHAR(10),"\n"),"'","\'")&amp;IF(AN37&lt;&gt;"", "', textEnAdditional: '"&amp;SUBSTITUTE(SUBSTITUTE(AN37, CHAR(13), ""),CHAR(10),"\n"), "")&amp;"'"&amp;IF(AB37="○",", sealable: true","")&amp;IF(AC37="○",", removable: true","")&amp;IF(AA37="○",", lie: true","")&amp;IF(AD37="○",", investable: true","")&amp;"},")</x:f>
        <x:v>'03-himika-o-n-2': {megami: 'himika', name: 'ラピッドファイア', nameEn: 'Quick Shot', nameZh: '速射', nameZhG36: '速射', nameKo: '래피드 파이어', ruby: '', rubyEn: '', rubyZh: 'Rapid Fire', baseType: 'normal', type: 'attack', range: '6-8', damage: '2/1', text: '【常時】連火―このカードがこのターンに使用した3枚目以降のカードならば、この《攻撃》は+1/+1となる。', textZh: '【常时】连火～若此牌是本回合你使用的第3张或更多的牌，则此《攻击》得+1/+1。', textZhG36: '【常时】连火～若本回合你已使用至少2张牌，则此《攻击》得+1/+1。', textZhG36Additional: '【상시】연화-이 카드가 이 턴에 사용한 3장째 이후의 카드라면, 이 《공격》은 +1/+1이 된다.', textKo: 'Forced: Inferno - This attack gains +1/+1 if this is the third or later card you\'ve played this turn.', textKoAdditional: 'Forced: Inferno - This attack gains +1/+1 if this is the third or later card you've played this turn.', textEn: 'Forced: Inferno - This attack gains +1/+1 if this is the third or later card you\'ve played this turn.'},</x:v>
      </x:c>
      <x:c r="AU37" s="379" t="str">
        <x:f aca="0">IF($A37&lt;&gt;"", "    /** 《"&amp;$E37&amp;"》 */ export const "&amp;SUBSTITUTE(UPPER(IF(MID($A37, 3, 1)="-", RIGHT($A37,LEN($A37)-3), $A37)), "-", "_")&amp;": TCardId = '"&amp;$A37&amp;"';", "")</x:f>
        <x:v>    /** 《ラピッドファイア》 */ export const HIMIKA_O_N_2: TCardId = '03-himika-o-n-2';</x:v>
      </x:c>
      <x:c r="AV37" s="380" t="str">
        <x:f aca="0">IF($A38&lt;&gt;"", "    | '"&amp;$A38&amp;"'", "")</x:f>
        <x:v>    | '03-himika-o-n-3'</x:v>
      </x:c>
    </x:row>
    <x:row r="38" ht="38" hidden="0" customHeight="1">
      <x:c r="A38" s="375" t="str">
        <x:v>03-himika-o-n-3</x:v>
      </x:c>
      <x:c r="B38" s="375" t="str">
        <x:v>himika</x:v>
      </x:c>
      <x:c r="C38" s="375"/>
      <x:c r="D38" s="375"/>
      <x:c r="E38" s="375" t="str">
        <x:v>リコイルバーン</x:v>
      </x:c>
      <x:c r="F38" s="375"/>
      <x:c r="G38" s="375" t="str">
        <x:v>麦林加农炮</x:v>
      </x:c>
      <x:c r="H38" s="375" t="str">
        <x:v>麦林加农炮</x:v>
      </x:c>
      <x:c r="I38" s="375" t="str">
        <x:v>Magnum Cannon</x:v>
      </x:c>
      <x:c r="J38" s="375" t="str">
        <x:v>매그넘 캐논</x:v>
      </x:c>
      <x:c r="K38" s="375" t="str">
        <x:v>Magnum</x:v>
      </x:c>
      <x:c r="L38" s="375"/>
      <x:c r="M38" s="375" t="str">
        <x:v>通常札</x:v>
      </x:c>
      <x:c r="N38" s="375"/>
      <x:c r="O38" s="375"/>
      <x:c r="P38" s="375"/>
      <x:c r="Q38" s="375"/>
      <x:c r="R38" s="375" t="str">
        <x:v>攻撃</x:v>
      </x:c>
      <x:c r="S38" s="375"/>
      <x:c r="T38" s="376" t="str">
        <x:v>2-8</x:v>
      </x:c>
      <x:c r="U38" s="383"/>
      <x:c r="V38" s="382" t="str">
        <x:v>2/2</x:v>
      </x:c>
      <x:c r="W38" s="383"/>
      <x:c r="X38" s="382"/>
      <x:c r="Y38" s="382"/>
      <x:c r="Z38" s="382"/>
      <x:c r="AA38" s="382"/>
      <x:c r="AB38" s="385"/>
      <x:c r="AC38" s="385"/>
      <x:c r="AD38" s="386"/>
      <x:c r="AE38" s="440" t="str">
        <x:v>【攻撃後】あなたのライフが2以上ならば、自ライフ→間合：1</x:v>
      </x:c>
      <x:c r="AF38" s="441"/>
      <x:c r="AG38" s="488" t="str">
        <x:v>【攻击后】自命→1→虚</x:v>
      </x:c>
      <x:c r="AH38" s="442"/>
      <x:c r="AI38" s="488" t="str">
        <x:v>【攻击后】自命（1）→虚</x:v>
      </x:c>
      <x:c r="AJ38" s="440"/>
      <x:c r="AK38" s="488" t="str">
        <x:v>【공격후】자신 라이프→더스트：1</x:v>
      </x:c>
      <x:c r="AL38" s="440"/>
      <x:c r="AM38" s="488" t="str">
        <x:v>After Attack:
Your Life (1)→ Shadow</x:v>
      </x:c>
      <x:c r="AN38" s="440"/>
      <x:c r="AO38" s="440"/>
      <x:c r="AP38" s="440"/>
      <x:c r="AQ38" s="440"/>
      <x:c r="AR38" s="440"/>
      <x:c r="AS38" s="440"/>
      <x:c r="AT38" s="378" t="str">
        <x:f aca="0">IF(A38="", "","'"&amp;A38&amp;"': {megami: '"&amp;B38&amp;"'"&amp;IF(C38&lt;&gt;"",", anotherID: '"&amp;C38&amp;"', replace: '"&amp;D38&amp;"'","")&amp;", name: '"&amp;SUBSTITUTE(E38,"'","\'")&amp;"', nameEn: '"&amp;SUBSTITUTE(K38,"'","\'")&amp;"', nameZh: '"&amp;SUBSTITUTE(G38,"'","\'")&amp;"', nameZhG37: '"&amp;SUBSTITUTE(H38,"'","\'")&amp;"', nameKo: '"&amp;SUBSTITUTE(J38,"'","\'")&amp;"', ruby: '"&amp;F38&amp;"', rubyEn: '"&amp;L38&amp;IF(I38&lt;&gt;"", "', rubyZh: '"&amp;I38, "")&amp;"', baseType: '"&amp;IF(M38="通常札","normal",IF(M38="切札","special",IF(M38="追加札","extra",IF(M38="transform","transform",IF(M38="嵐","storm",IF(M38="兵員","troop",IF(M38="構想","plan",IF(M38="メインパーツ","mainParts",IF(M38="カスタムパーツ","customParts",IF(M38="運命","fate",IF(M38="仮想樹","virtualTree","")))))))))))&amp;"'"&amp;IF(N38="○",", extra: true","")&amp;IF(O38&lt;&gt;"",", extraFrom: '"&amp;O38&amp;"'","")&amp;IF(P38&lt;&gt;"",", exchangableTo: '"&amp;P38&amp;"'","")&amp;IF(Q38="○",", poison: true","")&amp;IF(R38&lt;&gt;"", ", type: '"&amp;IF(R38="攻撃","attack",IF(R38="行動","action",IF(R38="不定","variable",IF(R38="対応","reaction",IF(R38="全力","fullpower",IF(R38="付与","enhance",IF(R38="transform","transform","")))))))&amp;"'", "")&amp;IF(S38&lt;&gt;"",", subType: '"&amp;IF(S38="攻撃","attack",IF(S38="行動","action",IF(S38="不定","variable",IF(S38="対応","reaction",IF(S38="全力","fullpower",IF(S38="付与","enhance",IF(S38="transform","transform","")))))))&amp;"'","")&amp;""&amp;IF(T38&lt;&gt;"",", range: '"&amp;T38&amp;"'","")&amp;IF(V38&lt;&gt;"",", damage: '"&amp;V38&amp;"'","")&amp;IF(X38&lt;&gt;"",", capacity: '"&amp;X38&amp;"'","")&amp;IF(Y38&lt;&gt;"",", growth: "&amp;Y38&amp;"","")&amp;IF(Z38&lt;&gt;"",", cost: '"&amp;Z38&amp;"'","")&amp;", text: '"&amp;SUBSTITUTE(SUBSTITUTE(AE38, CHAR(13), ""),CHAR(10),"\n")&amp;IF(AF38&lt;&gt;"", "', textAdditional: '"&amp;SUBSTITUTE(SUBSTITUTE(AF38, CHAR(13), ""),CHAR(10),"\n"), "")&amp;"', textZh: '"&amp;SUBSTITUTE(SUBSTITUTE(SUBSTITUTE(AG38, CHAR(13), ""),CHAR(10),"\n"),"'","\'")&amp;"', textZhG37: '"&amp;SUBSTITUTE(SUBSTITUTE(SUBSTITUTE(AI38, CHAR(13), ""),CHAR(10),"\n"),"'","\'")&amp;IF(AH38&lt;&gt;"", "', textZhAdditional: '"&amp;SUBSTITUTE(SUBSTITUTE(AH38, CHAR(13), ""),CHAR(10),"\n"), "")&amp;IF(AK38&lt;&gt;"", "', textZhG37Additional: '"&amp;SUBSTITUTE(SUBSTITUTE(AK38, CHAR(13), ""),CHAR(10),"\n"), "")&amp;"', textKo: '"&amp;SUBSTITUTE(SUBSTITUTE(SUBSTITUTE(AM38, CHAR(13), ""),CHAR(10),"\n"),"'","\'")&amp;IF(AM38&lt;&gt;"", "', textKoAdditional: '"&amp;SUBSTITUTE(SUBSTITUTE(AM38, CHAR(13), ""),CHAR(10),"\n"), "")&amp;"', textEn: '"&amp;SUBSTITUTE(SUBSTITUTE(SUBSTITUTE(AM38, CHAR(13), ""),CHAR(10),"\n"),"'","\'")&amp;IF(AN38&lt;&gt;"", "', textEnAdditional: '"&amp;SUBSTITUTE(SUBSTITUTE(AN38, CHAR(13), ""),CHAR(10),"\n"), "")&amp;"'"&amp;IF(AB38="○",", sealable: true","")&amp;IF(AC38="○",", removable: true","")&amp;IF(AA38="○",", lie: true","")&amp;IF(AD38="○",", investable: true","")&amp;"},")</x:f>
        <x:v>'03-himika-o-n-3': {megami: 'himika', name: 'リコイルバーン', nameEn: 'Magnum', nameZh: '麦林加农炮', nameZhG37: '麦林加农炮', nameKo: '매그넘 캐논', ruby: '', rubyEn: '', rubyZh: 'Magnum Cannon', baseType: 'normal', type: 'attack', range: '2-8', damage: '2/2', text: '【攻撃後】あなたのライフが2以上ならば、自ライフ→間合：1', textZh: '【攻击后】自命→1→虚', textZhG37: '【攻击后】自命（1）→虚', textZhG37Additional: '【공격후】자신 라이프→더스트：1', textKo: 'After Attack:\nYour Life (1)→ Shadow', textKoAdditional: 'After Attack:\nYour Life (1)→ Shadow', textEn: 'After Attack:\nYour Life (1)→ Shadow'},</x:v>
      </x:c>
      <x:c r="AU38" s="379" t="str">
        <x:f aca="0">IF($A38&lt;&gt;"", "    /** 《"&amp;$E38&amp;"》 */ export const "&amp;SUBSTITUTE(UPPER(IF(MID($A38, 3, 1)="-", RIGHT($A38,LEN($A38)-3), $A38)), "-", "_")&amp;": TCardId = '"&amp;$A38&amp;"';", "")</x:f>
        <x:v>    /** 《リコイルバーン》 */ export const HIMIKA_O_N_3: TCardId = '03-himika-o-n-3';</x:v>
      </x:c>
      <x:c r="AV38" s="380" t="str">
        <x:f aca="0">IF($A39&lt;&gt;"", "    | '"&amp;$A39&amp;"'", "")</x:f>
        <x:v>    | '03-himika-o-n-4'</x:v>
      </x:c>
    </x:row>
    <x:row r="39" ht="38" hidden="0" customHeight="1">
      <x:c r="A39" s="375" t="str">
        <x:v>03-himika-o-n-4</x:v>
      </x:c>
      <x:c r="B39" s="375" t="str">
        <x:v>himika</x:v>
      </x:c>
      <x:c r="C39" s="375"/>
      <x:c r="D39" s="375"/>
      <x:c r="E39" s="375" t="str">
        <x:v>フルバースト</x:v>
      </x:c>
      <x:c r="F39" s="375"/>
      <x:c r="G39" s="375" t="str">
        <x:v>全弹发射</x:v>
      </x:c>
      <x:c r="H39" s="375" t="str">
        <x:v>完全爆破</x:v>
      </x:c>
      <x:c r="I39" s="375" t="str">
        <x:v>Full Burst</x:v>
      </x:c>
      <x:c r="J39" s="375" t="str">
        <x:v>풀 버스트</x:v>
      </x:c>
      <x:c r="K39" s="375" t="str">
        <x:v>Barrage</x:v>
      </x:c>
      <x:c r="L39" s="375"/>
      <x:c r="M39" s="382" t="str">
        <x:v>通常札</x:v>
      </x:c>
      <x:c r="N39" s="375"/>
      <x:c r="O39" s="375"/>
      <x:c r="P39" s="375"/>
      <x:c r="Q39" s="375"/>
      <x:c r="R39" s="375" t="str">
        <x:v>攻撃</x:v>
      </x:c>
      <x:c r="S39" s="375" t="str">
        <x:v>全力</x:v>
      </x:c>
      <x:c r="T39" s="376" t="str">
        <x:v>5-9</x:v>
      </x:c>
      <x:c r="U39" s="383"/>
      <x:c r="V39" s="382" t="str">
        <x:v>3/1</x:v>
      </x:c>
      <x:c r="W39" s="383"/>
      <x:c r="X39" s="382"/>
      <x:c r="Y39" s="382"/>
      <x:c r="Z39" s="382"/>
      <x:c r="AA39" s="382"/>
      <x:c r="AB39" s="385"/>
      <x:c r="AC39" s="385"/>
      <x:c r="AD39" s="386"/>
      <x:c r="AE39" s="440" t="str">
        <x:v>【常時】この《攻撃》がダメージを与えるならば、相手は片方を選ぶのではなく両方のダメージを受ける。</x:v>
      </x:c>
      <x:c r="AF39" s="441"/>
      <x:c r="AG39" s="440" t="str">
        <x:v>【常时】此《攻击》对敌装和敌命均造成伤害。</x:v>
      </x:c>
      <x:c r="AH39" s="442"/>
      <x:c r="AI39" s="440" t="str">
        <x:v>【常时】对方结算伤害时，装和命需要同时结算。</x:v>
      </x:c>
      <x:c r="AJ39" s="440"/>
      <x:c r="AK39" s="440" t="str">
        <x:v>【상시】이 《공격》이 대미지를 준다면, 상대는 한쪽을 고르는 것이 아닌 양방 모두의 대미지를 받는다.</x:v>
      </x:c>
      <x:c r="AL39" s="440"/>
      <x:c r="AM39" s="440" t="str">
        <x:v>Forced: This attack deals Damage to both Aura and Life.</x:v>
      </x:c>
      <x:c r="AN39" s="440"/>
      <x:c r="AO39" s="440"/>
      <x:c r="AP39" s="440"/>
      <x:c r="AQ39" s="440"/>
      <x:c r="AR39" s="440"/>
      <x:c r="AS39" s="440"/>
      <x:c r="AT39" s="378" t="str">
        <x:f aca="0">IF(A39="", "","'"&amp;A39&amp;"': {megami: '"&amp;B39&amp;"'"&amp;IF(C39&lt;&gt;"",", anotherID: '"&amp;C39&amp;"', replace: '"&amp;D39&amp;"'","")&amp;", name: '"&amp;SUBSTITUTE(E39,"'","\'")&amp;"', nameEn: '"&amp;SUBSTITUTE(K39,"'","\'")&amp;"', nameZh: '"&amp;SUBSTITUTE(G39,"'","\'")&amp;"', nameZhG38: '"&amp;SUBSTITUTE(H39,"'","\'")&amp;"', nameKo: '"&amp;SUBSTITUTE(J39,"'","\'")&amp;"', ruby: '"&amp;F39&amp;"', rubyEn: '"&amp;L39&amp;IF(I39&lt;&gt;"", "', rubyZh: '"&amp;I39, "")&amp;"', baseType: '"&amp;IF(M39="通常札","normal",IF(M39="切札","special",IF(M39="追加札","extra",IF(M39="transform","transform",IF(M39="嵐","storm",IF(M39="兵員","troop",IF(M39="構想","plan",IF(M39="メインパーツ","mainParts",IF(M39="カスタムパーツ","customParts",IF(M39="運命","fate",IF(M39="仮想樹","virtualTree","")))))))))))&amp;"'"&amp;IF(N39="○",", extra: true","")&amp;IF(O39&lt;&gt;"",", extraFrom: '"&amp;O39&amp;"'","")&amp;IF(P39&lt;&gt;"",", exchangableTo: '"&amp;P39&amp;"'","")&amp;IF(Q39="○",", poison: true","")&amp;IF(R39&lt;&gt;"", ", type: '"&amp;IF(R39="攻撃","attack",IF(R39="行動","action",IF(R39="不定","variable",IF(R39="対応","reaction",IF(R39="全力","fullpower",IF(R39="付与","enhance",IF(R39="transform","transform","")))))))&amp;"'", "")&amp;IF(S39&lt;&gt;"",", subType: '"&amp;IF(S39="攻撃","attack",IF(S39="行動","action",IF(S39="不定","variable",IF(S39="対応","reaction",IF(S39="全力","fullpower",IF(S39="付与","enhance",IF(S39="transform","transform","")))))))&amp;"'","")&amp;""&amp;IF(T39&lt;&gt;"",", range: '"&amp;T39&amp;"'","")&amp;IF(V39&lt;&gt;"",", damage: '"&amp;V39&amp;"'","")&amp;IF(X39&lt;&gt;"",", capacity: '"&amp;X39&amp;"'","")&amp;IF(Y39&lt;&gt;"",", growth: "&amp;Y39&amp;"","")&amp;IF(Z39&lt;&gt;"",", cost: '"&amp;Z39&amp;"'","")&amp;", text: '"&amp;SUBSTITUTE(SUBSTITUTE(AE39, CHAR(13), ""),CHAR(10),"\n")&amp;IF(AF39&lt;&gt;"", "', textAdditional: '"&amp;SUBSTITUTE(SUBSTITUTE(AF39, CHAR(13), ""),CHAR(10),"\n"), "")&amp;"', textZh: '"&amp;SUBSTITUTE(SUBSTITUTE(SUBSTITUTE(AG39, CHAR(13), ""),CHAR(10),"\n"),"'","\'")&amp;"', textZhG38: '"&amp;SUBSTITUTE(SUBSTITUTE(SUBSTITUTE(AI39, CHAR(13), ""),CHAR(10),"\n"),"'","\'")&amp;IF(AH39&lt;&gt;"", "', textZhAdditional: '"&amp;SUBSTITUTE(SUBSTITUTE(AH39, CHAR(13), ""),CHAR(10),"\n"), "")&amp;IF(AK39&lt;&gt;"", "', textZhG38Additional: '"&amp;SUBSTITUTE(SUBSTITUTE(AK39, CHAR(13), ""),CHAR(10),"\n"), "")&amp;"', textKo: '"&amp;SUBSTITUTE(SUBSTITUTE(SUBSTITUTE(AM39, CHAR(13), ""),CHAR(10),"\n"),"'","\'")&amp;IF(AM39&lt;&gt;"", "', textKoAdditional: '"&amp;SUBSTITUTE(SUBSTITUTE(AM39, CHAR(13), ""),CHAR(10),"\n"), "")&amp;"', textEn: '"&amp;SUBSTITUTE(SUBSTITUTE(SUBSTITUTE(AM39, CHAR(13), ""),CHAR(10),"\n"),"'","\'")&amp;IF(AN39&lt;&gt;"", "', textEnAdditional: '"&amp;SUBSTITUTE(SUBSTITUTE(AN39, CHAR(13), ""),CHAR(10),"\n"), "")&amp;"'"&amp;IF(AB39="○",", sealable: true","")&amp;IF(AC39="○",", removable: true","")&amp;IF(AA39="○",", lie: true","")&amp;IF(AD39="○",", investable: true","")&amp;"},")</x:f>
        <x:v>'03-himika-o-n-4': {megami: 'himika', name: 'フルバースト', nameEn: 'Barrage', nameZh: '全弹发射', nameZhG38: '完全爆破', nameKo: '풀 버스트', ruby: '', rubyEn: '', rubyZh: 'Full Burst', baseType: 'normal', type: 'attack', subType: 'fullpower', range: '5-9', damage: '3/1', text: '【常時】この《攻撃》がダメージを与えるならば、相手は片方を選ぶのではなく両方のダメージを受ける。', textZh: '【常时】此《攻击》对敌装和敌命均造成伤害。', textZhG38: '【常时】对方结算伤害时，装和命需要同时结算。', textZhG38Additional: '【상시】이 《공격》이 대미지를 준다면, 상대는 한쪽을 고르는 것이 아닌 양방 모두의 대미지를 받는다.', textKo: 'Forced: This attack deals Damage to both Aura and Life.', textKoAdditional: 'Forced: This attack deals Damage to both Aura and Life.', textEn: 'Forced: This attack deals Damage to both Aura and Life.'},</x:v>
      </x:c>
      <x:c r="AU39" s="379" t="str">
        <x:f aca="0">IF($A39&lt;&gt;"", "    /** 《"&amp;$E39&amp;"》 */ export const "&amp;SUBSTITUTE(UPPER(IF(MID($A39, 3, 1)="-", RIGHT($A39,LEN($A39)-3), $A39)), "-", "_")&amp;": TCardId = '"&amp;$A39&amp;"';", "")</x:f>
        <x:v>    /** 《フルバースト》 */ export const HIMIKA_O_N_4: TCardId = '03-himika-o-n-4';</x:v>
      </x:c>
      <x:c r="AV39" s="380" t="str">
        <x:f aca="0">IF($A40&lt;&gt;"", "    | '"&amp;$A40&amp;"'", "")</x:f>
        <x:v>    | '03-himika-o-n-5'</x:v>
      </x:c>
    </x:row>
    <x:row r="40" ht="53" hidden="0" customHeight="1">
      <x:c r="A40" s="375" t="str">
        <x:v>03-himika-o-n-5</x:v>
      </x:c>
      <x:c r="B40" s="375" t="str">
        <x:v>himika</x:v>
      </x:c>
      <x:c r="C40" s="375"/>
      <x:c r="D40" s="375"/>
      <x:c r="E40" s="375" t="str">
        <x:v>バックステップ</x:v>
      </x:c>
      <x:c r="F40" s="375"/>
      <x:c r="G40" s="375" t="str">
        <x:v>后撤</x:v>
      </x:c>
      <x:c r="H40" s="375" t="str">
        <x:v>后跳</x:v>
      </x:c>
      <x:c r="I40" s="375" t="str">
        <x:v>Backstep</x:v>
      </x:c>
      <x:c r="J40" s="375" t="str">
        <x:v>백스탭</x:v>
      </x:c>
      <x:c r="K40" s="375" t="str">
        <x:v>Backstep</x:v>
      </x:c>
      <x:c r="L40" s="375"/>
      <x:c r="M40" s="382" t="str">
        <x:v>通常札</x:v>
      </x:c>
      <x:c r="N40" s="375"/>
      <x:c r="O40" s="375"/>
      <x:c r="P40" s="375"/>
      <x:c r="Q40" s="375"/>
      <x:c r="R40" s="375" t="str">
        <x:v>行動</x:v>
      </x:c>
      <x:c r="S40" s="375"/>
      <x:c r="T40" s="376"/>
      <x:c r="U40" s="383"/>
      <x:c r="V40" s="382"/>
      <x:c r="W40" s="383"/>
      <x:c r="X40" s="382"/>
      <x:c r="Y40" s="382"/>
      <x:c r="Z40" s="382"/>
      <x:c r="AA40" s="382"/>
      <x:c r="AB40" s="385"/>
      <x:c r="AC40" s="385"/>
      <x:c r="AD40" s="386"/>
      <x:c r="AE40" s="440" t="str">
        <x:v>カードを1枚引く。
ダスト→間合：1</x:v>
      </x:c>
      <x:c r="AF40" s="441"/>
      <x:c r="AG40" s="488" t="str">
        <x:v>抓一张牌。 
虚→1→距</x:v>
      </x:c>
      <x:c r="AH40" s="442"/>
      <x:c r="AI40" s="488" t="str">
        <x:v>抓一张牌。 
虚（1）→距</x:v>
      </x:c>
      <x:c r="AJ40" s="440"/>
      <x:c r="AK40" s="488" t="str">
        <x:v>카드를 1장 뽑는다.   더스트→간격：1</x:v>
      </x:c>
      <x:c r="AL40" s="440"/>
      <x:c r="AM40" s="488" t="str">
        <x:v>Draw a card.
Shadow (1)→ Distance</x:v>
      </x:c>
      <x:c r="AN40" s="440"/>
      <x:c r="AO40" s="440"/>
      <x:c r="AP40" s="440"/>
      <x:c r="AQ40" s="440"/>
      <x:c r="AR40" s="440"/>
      <x:c r="AS40" s="440"/>
      <x:c r="AT40" s="378" t="str">
        <x:f aca="0">IF(A40="", "","'"&amp;A40&amp;"': {megami: '"&amp;B40&amp;"'"&amp;IF(C40&lt;&gt;"",", anotherID: '"&amp;C40&amp;"', replace: '"&amp;D40&amp;"'","")&amp;", name: '"&amp;SUBSTITUTE(E40,"'","\'")&amp;"', nameEn: '"&amp;SUBSTITUTE(K40,"'","\'")&amp;"', nameZh: '"&amp;SUBSTITUTE(G40,"'","\'")&amp;"', nameZhG39: '"&amp;SUBSTITUTE(H40,"'","\'")&amp;"', nameKo: '"&amp;SUBSTITUTE(J40,"'","\'")&amp;"', ruby: '"&amp;F40&amp;"', rubyEn: '"&amp;L40&amp;IF(I40&lt;&gt;"", "', rubyZh: '"&amp;I40, "")&amp;"', baseType: '"&amp;IF(M40="通常札","normal",IF(M40="切札","special",IF(M40="追加札","extra",IF(M40="transform","transform",IF(M40="嵐","storm",IF(M40="兵員","troop",IF(M40="構想","plan",IF(M40="メインパーツ","mainParts",IF(M40="カスタムパーツ","customParts",IF(M40="運命","fate",IF(M40="仮想樹","virtualTree","")))))))))))&amp;"'"&amp;IF(N40="○",", extra: true","")&amp;IF(O40&lt;&gt;"",", extraFrom: '"&amp;O40&amp;"'","")&amp;IF(P40&lt;&gt;"",", exchangableTo: '"&amp;P40&amp;"'","")&amp;IF(Q40="○",", poison: true","")&amp;IF(R40&lt;&gt;"", ", type: '"&amp;IF(R40="攻撃","attack",IF(R40="行動","action",IF(R40="不定","variable",IF(R40="対応","reaction",IF(R40="全力","fullpower",IF(R40="付与","enhance",IF(R40="transform","transform","")))))))&amp;"'", "")&amp;IF(S40&lt;&gt;"",", subType: '"&amp;IF(S40="攻撃","attack",IF(S40="行動","action",IF(S40="不定","variable",IF(S40="対応","reaction",IF(S40="全力","fullpower",IF(S40="付与","enhance",IF(S40="transform","transform","")))))))&amp;"'","")&amp;""&amp;IF(T40&lt;&gt;"",", range: '"&amp;T40&amp;"'","")&amp;IF(V40&lt;&gt;"",", damage: '"&amp;V40&amp;"'","")&amp;IF(X40&lt;&gt;"",", capacity: '"&amp;X40&amp;"'","")&amp;IF(Y40&lt;&gt;"",", growth: "&amp;Y40&amp;"","")&amp;IF(Z40&lt;&gt;"",", cost: '"&amp;Z40&amp;"'","")&amp;", text: '"&amp;SUBSTITUTE(SUBSTITUTE(AE40, CHAR(13), ""),CHAR(10),"\n")&amp;IF(AF40&lt;&gt;"", "', textAdditional: '"&amp;SUBSTITUTE(SUBSTITUTE(AF40, CHAR(13), ""),CHAR(10),"\n"), "")&amp;"', textZh: '"&amp;SUBSTITUTE(SUBSTITUTE(SUBSTITUTE(AG40, CHAR(13), ""),CHAR(10),"\n"),"'","\'")&amp;"', textZhG39: '"&amp;SUBSTITUTE(SUBSTITUTE(SUBSTITUTE(AI40, CHAR(13), ""),CHAR(10),"\n"),"'","\'")&amp;IF(AH40&lt;&gt;"", "', textZhAdditional: '"&amp;SUBSTITUTE(SUBSTITUTE(AH40, CHAR(13), ""),CHAR(10),"\n"), "")&amp;IF(AK40&lt;&gt;"", "', textZhG39Additional: '"&amp;SUBSTITUTE(SUBSTITUTE(AK40, CHAR(13), ""),CHAR(10),"\n"), "")&amp;"', textKo: '"&amp;SUBSTITUTE(SUBSTITUTE(SUBSTITUTE(AM40, CHAR(13), ""),CHAR(10),"\n"),"'","\'")&amp;IF(AM40&lt;&gt;"", "', textKoAdditional: '"&amp;SUBSTITUTE(SUBSTITUTE(AM40, CHAR(13), ""),CHAR(10),"\n"), "")&amp;"', textEn: '"&amp;SUBSTITUTE(SUBSTITUTE(SUBSTITUTE(AM40, CHAR(13), ""),CHAR(10),"\n"),"'","\'")&amp;IF(AN40&lt;&gt;"", "', textEnAdditional: '"&amp;SUBSTITUTE(SUBSTITUTE(AN40, CHAR(13), ""),CHAR(10),"\n"), "")&amp;"'"&amp;IF(AB40="○",", sealable: true","")&amp;IF(AC40="○",", removable: true","")&amp;IF(AA40="○",", lie: true","")&amp;IF(AD40="○",", investable: true","")&amp;"},")</x:f>
        <x:v>'03-himika-o-n-5': {megami: 'himika', name: 'バックステップ', nameEn: 'Backstep', nameZh: '后撤', nameZhG39: '后跳', nameKo: '백스탭', ruby: '', rubyEn: '', rubyZh: 'Backstep', baseType: 'normal', type: 'action', text: 'カードを1枚引く。\nダスト→間合：1', textZh: '抓一张牌。 \n虚→1→距', textZhG39: '抓一张牌。 \n虚（1）→距', textZhG39Additional: '카드를 1장 뽑는다.   더스트→간격：1', textKo: 'Draw a card.\n\nShadow (1)→ Distance', textKoAdditional: 'Draw a card.\n\nShadow (1)→ Distance', textEn: 'Draw a card.\n\nShadow (1)→ Distance'},</x:v>
      </x:c>
      <x:c r="AU40" s="379" t="str">
        <x:f aca="0">IF($A40&lt;&gt;"", "    /** 《"&amp;$E40&amp;"》 */ export const "&amp;SUBSTITUTE(UPPER(IF(MID($A40, 3, 1)="-", RIGHT($A40,LEN($A40)-3), $A40)), "-", "_")&amp;": TCardId = '"&amp;$A40&amp;"';", "")</x:f>
        <x:v>    /** 《バックステップ》 */ export const HIMIKA_O_N_5: TCardId = '03-himika-o-n-5';</x:v>
      </x:c>
      <x:c r="AV40" s="380" t="str">
        <x:f aca="0">IF($A41&lt;&gt;"", "    | '"&amp;$A41&amp;"'", "")</x:f>
        <x:v>    | '03-himika-o-n-6'</x:v>
      </x:c>
    </x:row>
    <x:row r="41" ht="98" hidden="0" customHeight="1">
      <x:c r="A41" s="375" t="str">
        <x:v>03-himika-o-n-6</x:v>
      </x:c>
      <x:c r="B41" s="375" t="str">
        <x:v>himika</x:v>
      </x:c>
      <x:c r="C41" s="375"/>
      <x:c r="D41" s="375"/>
      <x:c r="E41" s="375" t="str">
        <x:v>バックドラフト</x:v>
      </x:c>
      <x:c r="F41" s="375"/>
      <x:c r="G41" s="375" t="str">
        <x:v>回燃</x:v>
      </x:c>
      <x:c r="H41" s="375" t="str">
        <x:v>回燃</x:v>
      </x:c>
      <x:c r="I41" s="375" t="str">
        <x:v>Backdraft</x:v>
      </x:c>
      <x:c r="J41" s="375" t="str">
        <x:v>백드래프트</x:v>
      </x:c>
      <x:c r="K41" s="375" t="str">
        <x:v>Backdraft</x:v>
      </x:c>
      <x:c r="L41" s="375"/>
      <x:c r="M41" s="382" t="str">
        <x:v>通常札</x:v>
      </x:c>
      <x:c r="N41" s="375"/>
      <x:c r="O41" s="375"/>
      <x:c r="P41" s="375"/>
      <x:c r="Q41" s="375"/>
      <x:c r="R41" s="375" t="str">
        <x:v>行動</x:v>
      </x:c>
      <x:c r="S41" s="375"/>
      <x:c r="T41" s="376"/>
      <x:c r="U41" s="383"/>
      <x:c r="V41" s="382"/>
      <x:c r="W41" s="383"/>
      <x:c r="X41" s="382"/>
      <x:c r="Y41" s="382"/>
      <x:c r="Z41" s="382"/>
      <x:c r="AA41" s="382"/>
      <x:c r="AB41" s="385"/>
      <x:c r="AC41" s="385"/>
      <x:c r="AD41" s="386"/>
      <x:c r="AE41" s="440" t="str">
        <x:v>相手を畏縮させる。
連火ーこのカードがこのターンに使用した3枚目以降のカードならば、このターンにあなたが次に行う他のメガミによるオーラへのダメージが3以下の《攻撃》は+1/+1となる。</x:v>
      </x:c>
      <x:c r="AF41" s="441"/>
      <x:c r="AG41" s="488" t="str">
        <x:v>令对手畏缩。
连火～若此牌是本回合你使用的第3张或更多的牌，则本回合你的下一次其他女神的对装伤害不为「-」的《攻击》得+1/+1。</x:v>
      </x:c>
      <x:c r="AH41" s="442"/>
      <x:c r="AI41" s="440"/>
      <x:c r="AJ41" s="440"/>
      <x:c r="AK41" s="488" t="str">
        <x:v>상대를 위축시킨다。
 연화-이 카드가 이 턴에 사용한 3장째 이후의 카드라면, 이 턴 당신이 다음에 행하는 다른 여신에 의한 오라 데미지가 「-」이 아닌 《공격》을 +1/+1 한다.</x:v>
      </x:c>
      <x:c r="AL41" s="440"/>
      <x:c r="AM41" s="488" t="str">
        <x:v>Flinch your opponent.
Inferno - If this is the third or later card you've played this turn, your next attack this turn from a non-Himika Megami that does not have "-" Damage to Aura gains +1/+1.</x:v>
      </x:c>
      <x:c r="AN41" s="440"/>
      <x:c r="AO41" s="440"/>
      <x:c r="AP41" s="440"/>
      <x:c r="AQ41" s="440"/>
      <x:c r="AR41" s="440"/>
      <x:c r="AS41" s="440"/>
      <x:c r="AT41" s="378" t="str">
        <x:f aca="0">IF(A41="", "","'"&amp;A41&amp;"': {megami: '"&amp;B41&amp;"'"&amp;IF(C41&lt;&gt;"",", anotherID: '"&amp;C41&amp;"', replace: '"&amp;D41&amp;"'","")&amp;", name: '"&amp;SUBSTITUTE(E41,"'","\'")&amp;"', nameEn: '"&amp;SUBSTITUTE(K41,"'","\'")&amp;"', nameZh: '"&amp;SUBSTITUTE(G41,"'","\'")&amp;"', nameZhG40: '"&amp;SUBSTITUTE(H41,"'","\'")&amp;"', nameKo: '"&amp;SUBSTITUTE(J41,"'","\'")&amp;"', ruby: '"&amp;F41&amp;"', rubyEn: '"&amp;L41&amp;IF(I41&lt;&gt;"", "', rubyZh: '"&amp;I41, "")&amp;"', baseType: '"&amp;IF(M41="通常札","normal",IF(M41="切札","special",IF(M41="追加札","extra",IF(M41="transform","transform",IF(M41="嵐","storm",IF(M41="兵員","troop",IF(M41="構想","plan",IF(M41="メインパーツ","mainParts",IF(M41="カスタムパーツ","customParts",IF(M41="運命","fate",IF(M41="仮想樹","virtualTree","")))))))))))&amp;"'"&amp;IF(N41="○",", extra: true","")&amp;IF(O41&lt;&gt;"",", extraFrom: '"&amp;O41&amp;"'","")&amp;IF(P41&lt;&gt;"",", exchangableTo: '"&amp;P41&amp;"'","")&amp;IF(Q41="○",", poison: true","")&amp;IF(R41&lt;&gt;"", ", type: '"&amp;IF(R41="攻撃","attack",IF(R41="行動","action",IF(R41="不定","variable",IF(R41="対応","reaction",IF(R41="全力","fullpower",IF(R41="付与","enhance",IF(R41="transform","transform","")))))))&amp;"'", "")&amp;IF(S41&lt;&gt;"",", subType: '"&amp;IF(S41="攻撃","attack",IF(S41="行動","action",IF(S41="不定","variable",IF(S41="対応","reaction",IF(S41="全力","fullpower",IF(S41="付与","enhance",IF(S41="transform","transform","")))))))&amp;"'","")&amp;""&amp;IF(T41&lt;&gt;"",", range: '"&amp;T41&amp;"'","")&amp;IF(V41&lt;&gt;"",", damage: '"&amp;V41&amp;"'","")&amp;IF(X41&lt;&gt;"",", capacity: '"&amp;X41&amp;"'","")&amp;IF(Y41&lt;&gt;"",", growth: "&amp;Y41&amp;"","")&amp;IF(Z41&lt;&gt;"",", cost: '"&amp;Z41&amp;"'","")&amp;", text: '"&amp;SUBSTITUTE(SUBSTITUTE(AE41, CHAR(13), ""),CHAR(10),"\n")&amp;IF(AF41&lt;&gt;"", "', textAdditional: '"&amp;SUBSTITUTE(SUBSTITUTE(AF41, CHAR(13), ""),CHAR(10),"\n"), "")&amp;"', textZh: '"&amp;SUBSTITUTE(SUBSTITUTE(SUBSTITUTE(AG41, CHAR(13), ""),CHAR(10),"\n"),"'","\'")&amp;"', textZhG40: '"&amp;SUBSTITUTE(SUBSTITUTE(SUBSTITUTE(AI41, CHAR(13), ""),CHAR(10),"\n"),"'","\'")&amp;IF(AH41&lt;&gt;"", "', textZhAdditional: '"&amp;SUBSTITUTE(SUBSTITUTE(AH41, CHAR(13), ""),CHAR(10),"\n"), "")&amp;IF(AK41&lt;&gt;"", "', textZhG40Additional: '"&amp;SUBSTITUTE(SUBSTITUTE(AK41, CHAR(13), ""),CHAR(10),"\n"), "")&amp;"', textKo: '"&amp;SUBSTITUTE(SUBSTITUTE(SUBSTITUTE(AM41, CHAR(13), ""),CHAR(10),"\n"),"'","\'")&amp;IF(AM41&lt;&gt;"", "', textKoAdditional: '"&amp;SUBSTITUTE(SUBSTITUTE(AM41, CHAR(13), ""),CHAR(10),"\n"), "")&amp;"', textEn: '"&amp;SUBSTITUTE(SUBSTITUTE(SUBSTITUTE(AM41, CHAR(13), ""),CHAR(10),"\n"),"'","\'")&amp;IF(AN41&lt;&gt;"", "', textEnAdditional: '"&amp;SUBSTITUTE(SUBSTITUTE(AN41, CHAR(13), ""),CHAR(10),"\n"), "")&amp;"'"&amp;IF(AB41="○",", sealable: true","")&amp;IF(AC41="○",", removable: true","")&amp;IF(AA41="○",", lie: true","")&amp;IF(AD41="○",", investable: true","")&amp;"},")</x:f>
        <x:v>'03-himika-o-n-6': {megami: 'himika', name: 'バックドラフト', nameEn: 'Backdraft', nameZh: '回燃', nameZhG40: '回燃', nameKo: '백드래프트', ruby: '', rubyEn: '', rubyZh: 'Backdraft', baseType: 'normal', type: 'action', text: '相手を畏縮させる。\n連火ーこのカードがこのターンに使用した3枚目以降のカードならば、このターンにあなたが次に行う他のメガミによるオーラへのダメージが3以下の《攻撃》は+1/+1となる。', textZh: '令对手畏缩。\n连火～若此牌是本回合你使用的第3张或更多的牌，则本回合你的下一次其他女神的对装伤害不为「-」的《攻击》得+1/+1。', textZhG40: '', textZhG40Additional: '상대를 위축시킨다。\n 연화-이 카드가 이 턴에 사용한 3장째 이후의 카드라면, 이 턴 당신이 다음에 행하는 다른 여신에 의한 오라 데미지가 「-」이 아닌 《공격》을 +1/+1 한다.', textKo: 'Flinch your opponent.\n\nInferno - If this is the third or later card you\'ve played this turn, your next attack this turn from a non-Himika Megami that does not have "-" Damage to Aura gains +1/+1.', textKoAdditional: 'Flinch your opponent.\n\nInferno - If this is the third or later card you've played this turn, your next attack this turn from a non-Himika Megami that does not have "-" Damage to Aura gains +1/+1.', textEn: 'Flinch your opponent.\n\nInferno - If this is the third or later card you\'ve played this turn, your next attack this turn from a non-Himika Megami that does not have "-" Damage to Aura gains +1/+1.'},</x:v>
      </x:c>
      <x:c r="AU41" s="379" t="str">
        <x:f aca="0">IF($A41&lt;&gt;"", "    /** 《"&amp;$E41&amp;"》 */ export const "&amp;SUBSTITUTE(UPPER(IF(MID($A41, 3, 1)="-", RIGHT($A41,LEN($A41)-3), $A41)), "-", "_")&amp;": TCardId = '"&amp;$A41&amp;"';", "")</x:f>
        <x:v>    /** 《バックドラフト》 */ export const HIMIKA_O_N_6: TCardId = '03-himika-o-n-6';</x:v>
      </x:c>
      <x:c r="AV41" s="380" t="str">
        <x:f aca="0">IF($A42&lt;&gt;"", "    | '"&amp;$A42&amp;"'", "")</x:f>
        <x:v>    | '03-himika-o-n-7'</x:v>
      </x:c>
    </x:row>
    <x:row r="42" ht="38" hidden="0" customHeight="1">
      <x:c r="A42" s="375" t="str">
        <x:v>03-himika-o-n-7</x:v>
      </x:c>
      <x:c r="B42" s="375" t="str">
        <x:v>himika</x:v>
      </x:c>
      <x:c r="C42" s="375"/>
      <x:c r="D42" s="375"/>
      <x:c r="E42" s="375" t="str">
        <x:v>リローディング</x:v>
      </x:c>
      <x:c r="F42" s="375"/>
      <x:c r="G42" s="375" t="str">
        <x:v>烟幕</x:v>
      </x:c>
      <x:c r="H42" s="375" t="str">
        <x:v>迷烟</x:v>
      </x:c>
      <x:c r="I42" s="375" t="str">
        <x:v>Smoke</x:v>
      </x:c>
      <x:c r="J42" s="375" t="str">
        <x:v>스모크</x:v>
      </x:c>
      <x:c r="K42" s="375" t="str">
        <x:v>Smoke</x:v>
      </x:c>
      <x:c r="L42" s="375"/>
      <x:c r="M42" s="375" t="str">
        <x:v>通常札</x:v>
      </x:c>
      <x:c r="N42" s="375"/>
      <x:c r="O42" s="375"/>
      <x:c r="P42" s="375"/>
      <x:c r="Q42" s="375"/>
      <x:c r="R42" s="375" t="str">
        <x:v>付与</x:v>
      </x:c>
      <x:c r="S42" s="375"/>
      <x:c r="T42" s="376"/>
      <x:c r="U42" s="383"/>
      <x:c r="V42" s="382"/>
      <x:c r="W42" s="383"/>
      <x:c r="X42" s="382" t="n">
        <x:v>3</x:v>
      </x:c>
      <x:c r="Y42" s="382"/>
      <x:c r="Z42" s="382"/>
      <x:c r="AA42" s="382"/>
      <x:c r="AB42" s="385"/>
      <x:c r="AC42" s="385"/>
      <x:c r="AD42" s="386"/>
      <x:c r="AE42" s="440" t="str">
        <x:v>【展開中】あなたの終了フェイズに手札が0枚ならば、カードを1枚引いてもよい。</x:v>
      </x:c>
      <x:c r="AF42" s="441"/>
      <x:c r="AG42" s="488" t="str">
        <x:v>【展开中】距中的樱花结晶不能被卡牌上的箭头效果移出距。</x:v>
      </x:c>
      <x:c r="AH42" s="442"/>
      <x:c r="AI42" s="488" t="str">
        <x:v>【展开中】所有从距中移出樱花结晶的卡牌效果无效。</x:v>
      </x:c>
      <x:c r="AJ42" s="440"/>
      <x:c r="AK42" s="488" t="str">
        <x:v>【전개중】간격에 있는 벚꽃 결정은 카드의 화살표(→)에 의해서는 이동하지 않는다.</x:v>
      </x:c>
      <x:c r="AL42" s="440"/>
      <x:c r="AM42" s="488" t="str">
        <x:v>Ongoing: Cards cannot move Sakura tokens from Distance using arrows (→).</x:v>
      </x:c>
      <x:c r="AN42" s="440"/>
      <x:c r="AO42" s="440"/>
      <x:c r="AP42" s="440"/>
      <x:c r="AQ42" s="440"/>
      <x:c r="AR42" s="440"/>
      <x:c r="AS42" s="440"/>
      <x:c r="AT42" s="378" t="str">
        <x:f aca="0">IF(A42="", "","'"&amp;A42&amp;"': {megami: '"&amp;B42&amp;"'"&amp;IF(C42&lt;&gt;"",", anotherID: '"&amp;C42&amp;"', replace: '"&amp;D42&amp;"'","")&amp;", name: '"&amp;SUBSTITUTE(E42,"'","\'")&amp;"', nameEn: '"&amp;SUBSTITUTE(K42,"'","\'")&amp;"', nameZh: '"&amp;SUBSTITUTE(G42,"'","\'")&amp;"', nameZhG41: '"&amp;SUBSTITUTE(H42,"'","\'")&amp;"', nameKo: '"&amp;SUBSTITUTE(J42,"'","\'")&amp;"', ruby: '"&amp;F42&amp;"', rubyEn: '"&amp;L42&amp;IF(I42&lt;&gt;"", "', rubyZh: '"&amp;I42, "")&amp;"', baseType: '"&amp;IF(M42="通常札","normal",IF(M42="切札","special",IF(M42="追加札","extra",IF(M42="transform","transform",IF(M42="嵐","storm",IF(M42="兵員","troop",IF(M42="構想","plan",IF(M42="メインパーツ","mainParts",IF(M42="カスタムパーツ","customParts",IF(M42="運命","fate",IF(M42="仮想樹","virtualTree","")))))))))))&amp;"'"&amp;IF(N42="○",", extra: true","")&amp;IF(O42&lt;&gt;"",", extraFrom: '"&amp;O42&amp;"'","")&amp;IF(P42&lt;&gt;"",", exchangableTo: '"&amp;P42&amp;"'","")&amp;IF(Q42="○",", poison: true","")&amp;IF(R42&lt;&gt;"", ", type: '"&amp;IF(R42="攻撃","attack",IF(R42="行動","action",IF(R42="不定","variable",IF(R42="対応","reaction",IF(R42="全力","fullpower",IF(R42="付与","enhance",IF(R42="transform","transform","")))))))&amp;"'", "")&amp;IF(S42&lt;&gt;"",", subType: '"&amp;IF(S42="攻撃","attack",IF(S42="行動","action",IF(S42="不定","variable",IF(S42="対応","reaction",IF(S42="全力","fullpower",IF(S42="付与","enhance",IF(S42="transform","transform","")))))))&amp;"'","")&amp;""&amp;IF(T42&lt;&gt;"",", range: '"&amp;T42&amp;"'","")&amp;IF(V42&lt;&gt;"",", damage: '"&amp;V42&amp;"'","")&amp;IF(X42&lt;&gt;"",", capacity: '"&amp;X42&amp;"'","")&amp;IF(Y42&lt;&gt;"",", growth: "&amp;Y42&amp;"","")&amp;IF(Z42&lt;&gt;"",", cost: '"&amp;Z42&amp;"'","")&amp;", text: '"&amp;SUBSTITUTE(SUBSTITUTE(AE42, CHAR(13), ""),CHAR(10),"\n")&amp;IF(AF42&lt;&gt;"", "', textAdditional: '"&amp;SUBSTITUTE(SUBSTITUTE(AF42, CHAR(13), ""),CHAR(10),"\n"), "")&amp;"', textZh: '"&amp;SUBSTITUTE(SUBSTITUTE(SUBSTITUTE(AG42, CHAR(13), ""),CHAR(10),"\n"),"'","\'")&amp;"', textZhG41: '"&amp;SUBSTITUTE(SUBSTITUTE(SUBSTITUTE(AI42, CHAR(13), ""),CHAR(10),"\n"),"'","\'")&amp;IF(AH42&lt;&gt;"", "', textZhAdditional: '"&amp;SUBSTITUTE(SUBSTITUTE(AH42, CHAR(13), ""),CHAR(10),"\n"), "")&amp;IF(AK42&lt;&gt;"", "', textZhG41Additional: '"&amp;SUBSTITUTE(SUBSTITUTE(AK42, CHAR(13), ""),CHAR(10),"\n"), "")&amp;"', textKo: '"&amp;SUBSTITUTE(SUBSTITUTE(SUBSTITUTE(AM42, CHAR(13), ""),CHAR(10),"\n"),"'","\'")&amp;IF(AM42&lt;&gt;"", "', textKoAdditional: '"&amp;SUBSTITUTE(SUBSTITUTE(AM42, CHAR(13), ""),CHAR(10),"\n"), "")&amp;"', textEn: '"&amp;SUBSTITUTE(SUBSTITUTE(SUBSTITUTE(AM42, CHAR(13), ""),CHAR(10),"\n"),"'","\'")&amp;IF(AN42&lt;&gt;"", "', textEnAdditional: '"&amp;SUBSTITUTE(SUBSTITUTE(AN42, CHAR(13), ""),CHAR(10),"\n"), "")&amp;"'"&amp;IF(AB42="○",", sealable: true","")&amp;IF(AC42="○",", removable: true","")&amp;IF(AA42="○",", lie: true","")&amp;IF(AD42="○",", investable: true","")&amp;"},")</x:f>
        <x:v>'03-himika-o-n-7': {megami: 'himika', name: 'リローディング', nameEn: 'Smoke', nameZh: '烟幕', nameZhG41: '迷烟', nameKo: '스모크', ruby: '', rubyEn: '', rubyZh: 'Smoke', baseType: 'normal', type: 'enhance', capacity: '3', text: '【展開中】あなたの終了フェイズに手札が0枚ならば、カードを1枚引いてもよい。', textZh: '【展开中】距中的樱花结晶不能被卡牌上的箭头效果移出距。', textZhG41: '【展开中】所有从距中移出樱花结晶的卡牌效果无效。', textZhG41Additional: '【전개중】간격에 있는 벚꽃 결정은 카드의 화살표(→)에 의해서는 이동하지 않는다.', textKo: 'Ongoing: Cards cannot move Sakura tokens from Distance using arrows (→).', textKoAdditional: 'Ongoing: Cards cannot move Sakura tokens from Distance using arrows (→).', textEn: 'Ongoing: Cards cannot move Sakura tokens from Distance using arrows (→).'},</x:v>
      </x:c>
      <x:c r="AU42" s="379" t="str">
        <x:f aca="0">IF($A42&lt;&gt;"", "    /** 《"&amp;$E42&amp;"》 */ export const "&amp;SUBSTITUTE(UPPER(IF(MID($A42, 3, 1)="-", RIGHT($A42,LEN($A42)-3), $A42)), "-", "_")&amp;": TCardId = '"&amp;$A42&amp;"';", "")</x:f>
        <x:v>    /** 《リローディング》 */ export const HIMIKA_O_N_7: TCardId = '03-himika-o-n-7';</x:v>
      </x:c>
      <x:c r="AV42" s="380" t="str">
        <x:f aca="0">IF($A43&lt;&gt;"", "    | '"&amp;$A43&amp;"'", "")</x:f>
        <x:v>    | '03-himika-o-s-1'</x:v>
      </x:c>
    </x:row>
    <x:row r="43" ht="30" hidden="0" customHeight="1">
      <x:c r="A43" s="375" t="str">
        <x:v>03-himika-o-s-1</x:v>
      </x:c>
      <x:c r="B43" s="375" t="str">
        <x:v>himika</x:v>
      </x:c>
      <x:c r="C43" s="375"/>
      <x:c r="D43" s="375"/>
      <x:c r="E43" s="375" t="str">
        <x:v>レッドバレット</x:v>
      </x:c>
      <x:c r="F43" s="375"/>
      <x:c r="G43" s="375" t="str">
        <x:v>真红凶弹</x:v>
      </x:c>
      <x:c r="H43" s="375" t="str">
        <x:v>真红凶弹</x:v>
      </x:c>
      <x:c r="I43" s="375" t="str">
        <x:v>Red Bullet</x:v>
      </x:c>
      <x:c r="J43" s="375" t="str">
        <x:v>레드 불릿</x:v>
      </x:c>
      <x:c r="K43" s="375" t="str">
        <x:v>Red Bullet</x:v>
      </x:c>
      <x:c r="L43" s="375"/>
      <x:c r="M43" s="375" t="str">
        <x:v>切札</x:v>
      </x:c>
      <x:c r="N43" s="375"/>
      <x:c r="O43" s="375"/>
      <x:c r="P43" s="375"/>
      <x:c r="Q43" s="375"/>
      <x:c r="R43" s="375" t="str">
        <x:v>攻撃</x:v>
      </x:c>
      <x:c r="S43" s="375"/>
      <x:c r="T43" s="376" t="str">
        <x:v>5-10</x:v>
      </x:c>
      <x:c r="U43" s="383"/>
      <x:c r="V43" s="382" t="str">
        <x:v>3/1</x:v>
      </x:c>
      <x:c r="W43" s="383"/>
      <x:c r="X43" s="382"/>
      <x:c r="Y43" s="382"/>
      <x:c r="Z43" s="382" t="n">
        <x:v>0</x:v>
      </x:c>
      <x:c r="AA43" s="382"/>
      <x:c r="AB43" s="385"/>
      <x:c r="AC43" s="385"/>
      <x:c r="AD43" s="386"/>
      <x:c r="AE43" s="440"/>
      <x:c r="AF43" s="441"/>
      <x:c r="AG43" s="440"/>
      <x:c r="AH43" s="442"/>
      <x:c r="AI43" s="440"/>
      <x:c r="AJ43" s="440"/>
      <x:c r="AK43" s="440"/>
      <x:c r="AL43" s="440"/>
      <x:c r="AM43" s="440"/>
      <x:c r="AN43" s="440"/>
      <x:c r="AO43" s="440"/>
      <x:c r="AP43" s="440"/>
      <x:c r="AQ43" s="440"/>
      <x:c r="AR43" s="440"/>
      <x:c r="AS43" s="440"/>
      <x:c r="AT43" s="378" t="str">
        <x:f aca="0">IF(A43="", "","'"&amp;A43&amp;"': {megami: '"&amp;B43&amp;"'"&amp;IF(C43&lt;&gt;"",", anotherID: '"&amp;C43&amp;"', replace: '"&amp;D43&amp;"'","")&amp;", name: '"&amp;SUBSTITUTE(E43,"'","\'")&amp;"', nameEn: '"&amp;SUBSTITUTE(K43,"'","\'")&amp;"', nameZh: '"&amp;SUBSTITUTE(G43,"'","\'")&amp;"', nameZhG42: '"&amp;SUBSTITUTE(H43,"'","\'")&amp;"', nameKo: '"&amp;SUBSTITUTE(J43,"'","\'")&amp;"', ruby: '"&amp;F43&amp;"', rubyEn: '"&amp;L43&amp;IF(I43&lt;&gt;"", "', rubyZh: '"&amp;I43, "")&amp;"', baseType: '"&amp;IF(M43="通常札","normal",IF(M43="切札","special",IF(M43="追加札","extra",IF(M43="transform","transform",IF(M43="嵐","storm",IF(M43="兵員","troop",IF(M43="構想","plan",IF(M43="メインパーツ","mainParts",IF(M43="カスタムパーツ","customParts",IF(M43="運命","fate",IF(M43="仮想樹","virtualTree","")))))))))))&amp;"'"&amp;IF(N43="○",", extra: true","")&amp;IF(O43&lt;&gt;"",", extraFrom: '"&amp;O43&amp;"'","")&amp;IF(P43&lt;&gt;"",", exchangableTo: '"&amp;P43&amp;"'","")&amp;IF(Q43="○",", poison: true","")&amp;IF(R43&lt;&gt;"", ", type: '"&amp;IF(R43="攻撃","attack",IF(R43="行動","action",IF(R43="不定","variable",IF(R43="対応","reaction",IF(R43="全力","fullpower",IF(R43="付与","enhance",IF(R43="transform","transform","")))))))&amp;"'", "")&amp;IF(S43&lt;&gt;"",", subType: '"&amp;IF(S43="攻撃","attack",IF(S43="行動","action",IF(S43="不定","variable",IF(S43="対応","reaction",IF(S43="全力","fullpower",IF(S43="付与","enhance",IF(S43="transform","transform","")))))))&amp;"'","")&amp;""&amp;IF(T43&lt;&gt;"",", range: '"&amp;T43&amp;"'","")&amp;IF(V43&lt;&gt;"",", damage: '"&amp;V43&amp;"'","")&amp;IF(X43&lt;&gt;"",", capacity: '"&amp;X43&amp;"'","")&amp;IF(Y43&lt;&gt;"",", growth: "&amp;Y43&amp;"","")&amp;IF(Z43&lt;&gt;"",", cost: '"&amp;Z43&amp;"'","")&amp;", text: '"&amp;SUBSTITUTE(SUBSTITUTE(AE43, CHAR(13), ""),CHAR(10),"\n")&amp;IF(AF43&lt;&gt;"", "', textAdditional: '"&amp;SUBSTITUTE(SUBSTITUTE(AF43, CHAR(13), ""),CHAR(10),"\n"), "")&amp;"', textZh: '"&amp;SUBSTITUTE(SUBSTITUTE(SUBSTITUTE(AG43, CHAR(13), ""),CHAR(10),"\n"),"'","\'")&amp;"', textZhG42: '"&amp;SUBSTITUTE(SUBSTITUTE(SUBSTITUTE(AI43, CHAR(13), ""),CHAR(10),"\n"),"'","\'")&amp;IF(AH43&lt;&gt;"", "', textZhAdditional: '"&amp;SUBSTITUTE(SUBSTITUTE(AH43, CHAR(13), ""),CHAR(10),"\n"), "")&amp;IF(AK43&lt;&gt;"", "', textZhG42Additional: '"&amp;SUBSTITUTE(SUBSTITUTE(AK43, CHAR(13), ""),CHAR(10),"\n"), "")&amp;"', textKo: '"&amp;SUBSTITUTE(SUBSTITUTE(SUBSTITUTE(AM43, CHAR(13), ""),CHAR(10),"\n"),"'","\'")&amp;IF(AM43&lt;&gt;"", "', textKoAdditional: '"&amp;SUBSTITUTE(SUBSTITUTE(AM43, CHAR(13), ""),CHAR(10),"\n"), "")&amp;"', textEn: '"&amp;SUBSTITUTE(SUBSTITUTE(SUBSTITUTE(AM43, CHAR(13), ""),CHAR(10),"\n"),"'","\'")&amp;IF(AN43&lt;&gt;"", "', textEnAdditional: '"&amp;SUBSTITUTE(SUBSTITUTE(AN43, CHAR(13), ""),CHAR(10),"\n"), "")&amp;"'"&amp;IF(AB43="○",", sealable: true","")&amp;IF(AC43="○",", removable: true","")&amp;IF(AA43="○",", lie: true","")&amp;IF(AD43="○",", investable: true","")&amp;"},")</x:f>
        <x:v>'03-himika-o-s-1': {megami: 'himika', name: 'レッドバレット', nameEn: 'Red Bullet', nameZh: '真红凶弹', nameZhG42: '真红凶弹', nameKo: '레드 불릿', ruby: '', rubyEn: '', rubyZh: 'Red Bullet', baseType: 'special', type: 'attack', range: '5-10', damage: '3/1', text: '', textZh: '', textZhG42: '', textKo: '', textEn: ''},</x:v>
      </x:c>
      <x:c r="AU43" s="379" t="str">
        <x:f aca="0">IF($A43&lt;&gt;"", "    /** 《"&amp;$E43&amp;"》 */ export const "&amp;SUBSTITUTE(UPPER(IF(MID($A43, 3, 1)="-", RIGHT($A43,LEN($A43)-3), $A43)), "-", "_")&amp;": TCardId = '"&amp;$A43&amp;"';", "")</x:f>
        <x:v>    /** 《レッドバレット》 */ export const HIMIKA_O_S_1: TCardId = '03-himika-o-s-1';</x:v>
      </x:c>
      <x:c r="AV43" s="380" t="str">
        <x:f aca="0">IF($A44&lt;&gt;"", "    | '"&amp;$A44&amp;"'", "")</x:f>
        <x:v>    | '03-himika-o-s-2'</x:v>
      </x:c>
    </x:row>
    <x:row r="44" ht="68" hidden="0" customHeight="1">
      <x:c r="A44" s="375" t="str">
        <x:v>03-himika-o-s-2</x:v>
      </x:c>
      <x:c r="B44" s="375" t="str">
        <x:v>himika</x:v>
      </x:c>
      <x:c r="C44" s="375"/>
      <x:c r="D44" s="375"/>
      <x:c r="E44" s="375" t="str">
        <x:v>クリムゾンゼロ</x:v>
      </x:c>
      <x:c r="F44" s="375"/>
      <x:c r="G44" s="375" t="str">
        <x:v>绯红零时</x:v>
      </x:c>
      <x:c r="H44" s="375" t="str">
        <x:v>绯红零时</x:v>
      </x:c>
      <x:c r="I44" s="375" t="str">
        <x:v>Crimson Zero</x:v>
      </x:c>
      <x:c r="J44" s="375" t="str">
        <x:v>크림슨 제로</x:v>
      </x:c>
      <x:c r="K44" s="375" t="str">
        <x:v>Crimson Zero</x:v>
      </x:c>
      <x:c r="L44" s="375"/>
      <x:c r="M44" s="375" t="str">
        <x:v>切札</x:v>
      </x:c>
      <x:c r="N44" s="375"/>
      <x:c r="O44" s="375"/>
      <x:c r="P44" s="375"/>
      <x:c r="Q44" s="375"/>
      <x:c r="R44" s="375" t="str">
        <x:v>攻撃</x:v>
      </x:c>
      <x:c r="S44" s="375"/>
      <x:c r="T44" s="376" t="str">
        <x:v>0-2</x:v>
      </x:c>
      <x:c r="U44" s="383"/>
      <x:c r="V44" s="382" t="str">
        <x:v>2/2</x:v>
      </x:c>
      <x:c r="W44" s="383"/>
      <x:c r="X44" s="382"/>
      <x:c r="Y44" s="382"/>
      <x:c r="Z44" s="382" t="n">
        <x:v>5</x:v>
      </x:c>
      <x:c r="AA44" s="382"/>
      <x:c r="AB44" s="385"/>
      <x:c r="AC44" s="385"/>
      <x:c r="AD44" s="386"/>
      <x:c r="AE44" s="441" t="str">
        <x:v>【常時】この《攻撃》がダメージを与えるならば、相手は片方を選ぶのではなく両方のダメージを受ける。
【常時】現在の間合が0ならば、この《攻撃》は対応不可を得る。</x:v>
      </x:c>
      <x:c r="AF44" s="441"/>
      <x:c r="AG44" s="488" t="str">
        <x:v>【常时】此《攻击》对敌装和敌命均造成伤害。
【常时】若当前距离为0，则此《攻击》得不可被对应。</x:v>
      </x:c>
      <x:c r="AH44" s="442"/>
      <x:c r="AI44" s="488" t="str">
        <x:v>【常时】此牌对装和命均造成伤害。
【常时】若当前距离等于0，则此《攻击》得不可被对应。</x:v>
      </x:c>
      <x:c r="AJ44" s="440"/>
      <x:c r="AK44" s="488" t="str">
        <x:v>【상시】이 《공격》이 대미지를 주었다면, 상대는 한쪽을 고르는 것이 아닌 양쪽의 대미지를 받는다.
 【상시】현재 간격이 0이라면, 이 《공격》은 대응불가를 얻는다.</x:v>
      </x:c>
      <x:c r="AL44" s="440"/>
      <x:c r="AM44" s="488" t="str">
        <x:v>Forced: This attack deals Damage to both Aura and Life.
Forced: If the current Distance is 0, this attack gains No Reactions.</x:v>
      </x:c>
      <x:c r="AN44" s="440"/>
      <x:c r="AO44" s="440"/>
      <x:c r="AP44" s="440"/>
      <x:c r="AQ44" s="440"/>
      <x:c r="AR44" s="440"/>
      <x:c r="AS44" s="440"/>
      <x:c r="AT44" s="378" t="str">
        <x:f aca="0">IF(A44="", "","'"&amp;A44&amp;"': {megami: '"&amp;B44&amp;"'"&amp;IF(C44&lt;&gt;"",", anotherID: '"&amp;C44&amp;"', replace: '"&amp;D44&amp;"'","")&amp;", name: '"&amp;SUBSTITUTE(E44,"'","\'")&amp;"', nameEn: '"&amp;SUBSTITUTE(K44,"'","\'")&amp;"', nameZh: '"&amp;SUBSTITUTE(G44,"'","\'")&amp;"', nameZhG43: '"&amp;SUBSTITUTE(H44,"'","\'")&amp;"', nameKo: '"&amp;SUBSTITUTE(J44,"'","\'")&amp;"', ruby: '"&amp;F44&amp;"', rubyEn: '"&amp;L44&amp;IF(I44&lt;&gt;"", "', rubyZh: '"&amp;I44, "")&amp;"', baseType: '"&amp;IF(M44="通常札","normal",IF(M44="切札","special",IF(M44="追加札","extra",IF(M44="transform","transform",IF(M44="嵐","storm",IF(M44="兵員","troop",IF(M44="構想","plan",IF(M44="メインパーツ","mainParts",IF(M44="カスタムパーツ","customParts",IF(M44="運命","fate",IF(M44="仮想樹","virtualTree","")))))))))))&amp;"'"&amp;IF(N44="○",", extra: true","")&amp;IF(O44&lt;&gt;"",", extraFrom: '"&amp;O44&amp;"'","")&amp;IF(P44&lt;&gt;"",", exchangableTo: '"&amp;P44&amp;"'","")&amp;IF(Q44="○",", poison: true","")&amp;IF(R44&lt;&gt;"", ", type: '"&amp;IF(R44="攻撃","attack",IF(R44="行動","action",IF(R44="不定","variable",IF(R44="対応","reaction",IF(R44="全力","fullpower",IF(R44="付与","enhance",IF(R44="transform","transform","")))))))&amp;"'", "")&amp;IF(S44&lt;&gt;"",", subType: '"&amp;IF(S44="攻撃","attack",IF(S44="行動","action",IF(S44="不定","variable",IF(S44="対応","reaction",IF(S44="全力","fullpower",IF(S44="付与","enhance",IF(S44="transform","transform","")))))))&amp;"'","")&amp;""&amp;IF(T44&lt;&gt;"",", range: '"&amp;T44&amp;"'","")&amp;IF(V44&lt;&gt;"",", damage: '"&amp;V44&amp;"'","")&amp;IF(X44&lt;&gt;"",", capacity: '"&amp;X44&amp;"'","")&amp;IF(Y44&lt;&gt;"",", growth: "&amp;Y44&amp;"","")&amp;IF(Z44&lt;&gt;"",", cost: '"&amp;Z44&amp;"'","")&amp;", text: '"&amp;SUBSTITUTE(SUBSTITUTE(AE44, CHAR(13), ""),CHAR(10),"\n")&amp;IF(AF44&lt;&gt;"", "', textAdditional: '"&amp;SUBSTITUTE(SUBSTITUTE(AF44, CHAR(13), ""),CHAR(10),"\n"), "")&amp;"', textZh: '"&amp;SUBSTITUTE(SUBSTITUTE(SUBSTITUTE(AG44, CHAR(13), ""),CHAR(10),"\n"),"'","\'")&amp;"', textZhG43: '"&amp;SUBSTITUTE(SUBSTITUTE(SUBSTITUTE(AI44, CHAR(13), ""),CHAR(10),"\n"),"'","\'")&amp;IF(AH44&lt;&gt;"", "', textZhAdditional: '"&amp;SUBSTITUTE(SUBSTITUTE(AH44, CHAR(13), ""),CHAR(10),"\n"), "")&amp;IF(AK44&lt;&gt;"", "', textZhG43Additional: '"&amp;SUBSTITUTE(SUBSTITUTE(AK44, CHAR(13), ""),CHAR(10),"\n"), "")&amp;"', textKo: '"&amp;SUBSTITUTE(SUBSTITUTE(SUBSTITUTE(AM44, CHAR(13), ""),CHAR(10),"\n"),"'","\'")&amp;IF(AM44&lt;&gt;"", "', textKoAdditional: '"&amp;SUBSTITUTE(SUBSTITUTE(AM44, CHAR(13), ""),CHAR(10),"\n"), "")&amp;"', textEn: '"&amp;SUBSTITUTE(SUBSTITUTE(SUBSTITUTE(AM44, CHAR(13), ""),CHAR(10),"\n"),"'","\'")&amp;IF(AN44&lt;&gt;"", "', textEnAdditional: '"&amp;SUBSTITUTE(SUBSTITUTE(AN44, CHAR(13), ""),CHAR(10),"\n"), "")&amp;"'"&amp;IF(AB44="○",", sealable: true","")&amp;IF(AC44="○",", removable: true","")&amp;IF(AA44="○",", lie: true","")&amp;IF(AD44="○",", investable: true","")&amp;"},")</x:f>
        <x:v>'03-himika-o-s-2': {megami: 'himika', name: 'クリムゾンゼロ', nameEn: 'Crimson Zero', nameZh: '绯红零时', nameZhG43: '绯红零时', nameKo: '크림슨 제로', ruby: '', rubyEn: '', rubyZh: 'Crimson Zero', baseType: 'special', type: 'attack', range: '0-2', damage: '2/2', cost: '5', text: '【常時】この《攻撃》がダメージを与えるならば、相手は片方を選ぶのではなく両方のダメージを受ける。\n【常時】現在の間合が0ならば、この《攻撃》は対応不可を得る。', textZh: '【常时】此《攻击》对敌装和敌命均造成伤害。\n【常时】若当前距离为0，则此《攻击》得不可被对应。', textZhG43: '【常时】此牌对装和命均造成伤害。\n【常时】若当前距离等于0，则此《攻击》得不可被对应。', textZhG43Additional: '【상시】이 《공격》이 대미지를 주었다면, 상대는 한쪽을 고르는 것이 아닌 양쪽의 대미지를 받는다.\n 【상시】현재 간격이 0이라면, 이 《공격》은 대응불가를 얻는다.', textKo: 'Forced: This attack deals Damage to both Aura and Life.\n\nForced: If the current Distance is 0, this attack gains No Reactions.', textKoAdditional: 'Forced: This attack deals Damage to both Aura and Life.\n\nForced: If the current Distance is 0, this attack gains No Reactions.', textEn: 'Forced: This attack deals Damage to both Aura and Life.\n\nForced: If the current Distance is 0, this attack gains No Reactions.'},</x:v>
      </x:c>
      <x:c r="AU44" s="379" t="str">
        <x:f aca="0">IF($A44&lt;&gt;"", "    /** 《"&amp;$E44&amp;"》 */ export const "&amp;SUBSTITUTE(UPPER(IF(MID($A44, 3, 1)="-", RIGHT($A44,LEN($A44)-3), $A44)), "-", "_")&amp;": TCardId = '"&amp;$A44&amp;"';", "")</x:f>
        <x:v>    /** 《クリムゾンゼロ》 */ export const HIMIKA_O_S_2: TCardId = '03-himika-o-s-2';</x:v>
      </x:c>
      <x:c r="AV44" s="380" t="str">
        <x:f aca="0">IF($A45&lt;&gt;"", "    | '"&amp;$A45&amp;"'", "")</x:f>
        <x:v>    | '03-himika-o-s-3'</x:v>
      </x:c>
    </x:row>
    <x:row r="45" ht="30" hidden="0" customHeight="1">
      <x:c r="A45" s="375" t="str">
        <x:v>03-himika-o-s-3</x:v>
      </x:c>
      <x:c r="B45" s="375" t="str">
        <x:v>himika</x:v>
      </x:c>
      <x:c r="C45" s="375"/>
      <x:c r="D45" s="375"/>
      <x:c r="E45" s="375" t="str">
        <x:v>スカーレットイマジン</x:v>
      </x:c>
      <x:c r="F45" s="375"/>
      <x:c r="G45" s="375" t="str">
        <x:v>猩红狂想</x:v>
      </x:c>
      <x:c r="H45" s="375" t="str">
        <x:v>猩红狂想</x:v>
      </x:c>
      <x:c r="I45" s="375" t="str">
        <x:v>Scarlet Imagine</x:v>
      </x:c>
      <x:c r="J45" s="375" t="str">
        <x:v>스칼렛 이매진</x:v>
      </x:c>
      <x:c r="K45" s="375" t="str">
        <x:v>Scarlet Visions</x:v>
      </x:c>
      <x:c r="L45" s="375"/>
      <x:c r="M45" s="375" t="str">
        <x:v>切札</x:v>
      </x:c>
      <x:c r="N45" s="375"/>
      <x:c r="O45" s="375"/>
      <x:c r="P45" s="375"/>
      <x:c r="Q45" s="375"/>
      <x:c r="R45" s="375" t="str">
        <x:v>行動</x:v>
      </x:c>
      <x:c r="S45" s="375"/>
      <x:c r="T45" s="376"/>
      <x:c r="U45" s="383"/>
      <x:c r="V45" s="382"/>
      <x:c r="W45" s="383"/>
      <x:c r="X45" s="382"/>
      <x:c r="Y45" s="382"/>
      <x:c r="Z45" s="382" t="n">
        <x:v>3</x:v>
      </x:c>
      <x:c r="AA45" s="382"/>
      <x:c r="AB45" s="385"/>
      <x:c r="AC45" s="385"/>
      <x:c r="AD45" s="386"/>
      <x:c r="AE45" s="440" t="str">
        <x:v>カードを2枚引く。その後、あなたは手札を1枚伏せ札にする。</x:v>
      </x:c>
      <x:c r="AF45" s="441"/>
      <x:c r="AG45" s="488" t="str">
        <x:v>抓2张牌，然后盖伏1张手牌。</x:v>
      </x:c>
      <x:c r="AH45" s="442"/>
      <x:c r="AI45" s="488" t="str">
        <x:v>抓2张牌，然后盖伏一张牌。</x:v>
      </x:c>
      <x:c r="AJ45" s="440"/>
      <x:c r="AK45" s="488" t="str">
        <x:v>카드를 2장 뽑는다. 그 후, 당신은 손패를 1장 덮임패로 한다.</x:v>
      </x:c>
      <x:c r="AL45" s="440"/>
      <x:c r="AM45" s="488" t="str">
        <x:v>Draw two cards, then discard a card.</x:v>
      </x:c>
      <x:c r="AN45" s="440"/>
      <x:c r="AO45" s="440"/>
      <x:c r="AP45" s="440"/>
      <x:c r="AQ45" s="440"/>
      <x:c r="AR45" s="440"/>
      <x:c r="AS45" s="440"/>
      <x:c r="AT45" s="378" t="str">
        <x:f aca="0">IF(A45="", "","'"&amp;A45&amp;"': {megami: '"&amp;B45&amp;"'"&amp;IF(C45&lt;&gt;"",", anotherID: '"&amp;C45&amp;"', replace: '"&amp;D45&amp;"'","")&amp;", name: '"&amp;SUBSTITUTE(E45,"'","\'")&amp;"', nameEn: '"&amp;SUBSTITUTE(K45,"'","\'")&amp;"', nameZh: '"&amp;SUBSTITUTE(G45,"'","\'")&amp;"', nameZhG44: '"&amp;SUBSTITUTE(H45,"'","\'")&amp;"', nameKo: '"&amp;SUBSTITUTE(J45,"'","\'")&amp;"', ruby: '"&amp;F45&amp;"', rubyEn: '"&amp;L45&amp;IF(I45&lt;&gt;"", "', rubyZh: '"&amp;I45, "")&amp;"', baseType: '"&amp;IF(M45="通常札","normal",IF(M45="切札","special",IF(M45="追加札","extra",IF(M45="transform","transform",IF(M45="嵐","storm",IF(M45="兵員","troop",IF(M45="構想","plan",IF(M45="メインパーツ","mainParts",IF(M45="カスタムパーツ","customParts",IF(M45="運命","fate",IF(M45="仮想樹","virtualTree","")))))))))))&amp;"'"&amp;IF(N45="○",", extra: true","")&amp;IF(O45&lt;&gt;"",", extraFrom: '"&amp;O45&amp;"'","")&amp;IF(P45&lt;&gt;"",", exchangableTo: '"&amp;P45&amp;"'","")&amp;IF(Q45="○",", poison: true","")&amp;IF(R45&lt;&gt;"", ", type: '"&amp;IF(R45="攻撃","attack",IF(R45="行動","action",IF(R45="不定","variable",IF(R45="対応","reaction",IF(R45="全力","fullpower",IF(R45="付与","enhance",IF(R45="transform","transform","")))))))&amp;"'", "")&amp;IF(S45&lt;&gt;"",", subType: '"&amp;IF(S45="攻撃","attack",IF(S45="行動","action",IF(S45="不定","variable",IF(S45="対応","reaction",IF(S45="全力","fullpower",IF(S45="付与","enhance",IF(S45="transform","transform","")))))))&amp;"'","")&amp;""&amp;IF(T45&lt;&gt;"",", range: '"&amp;T45&amp;"'","")&amp;IF(V45&lt;&gt;"",", damage: '"&amp;V45&amp;"'","")&amp;IF(X45&lt;&gt;"",", capacity: '"&amp;X45&amp;"'","")&amp;IF(Y45&lt;&gt;"",", growth: "&amp;Y45&amp;"","")&amp;IF(Z45&lt;&gt;"",", cost: '"&amp;Z45&amp;"'","")&amp;", text: '"&amp;SUBSTITUTE(SUBSTITUTE(AE45, CHAR(13), ""),CHAR(10),"\n")&amp;IF(AF45&lt;&gt;"", "', textAdditional: '"&amp;SUBSTITUTE(SUBSTITUTE(AF45, CHAR(13), ""),CHAR(10),"\n"), "")&amp;"', textZh: '"&amp;SUBSTITUTE(SUBSTITUTE(SUBSTITUTE(AG45, CHAR(13), ""),CHAR(10),"\n"),"'","\'")&amp;"', textZhG44: '"&amp;SUBSTITUTE(SUBSTITUTE(SUBSTITUTE(AI45, CHAR(13), ""),CHAR(10),"\n"),"'","\'")&amp;IF(AH45&lt;&gt;"", "', textZhAdditional: '"&amp;SUBSTITUTE(SUBSTITUTE(AH45, CHAR(13), ""),CHAR(10),"\n"), "")&amp;IF(AK45&lt;&gt;"", "', textZhG44Additional: '"&amp;SUBSTITUTE(SUBSTITUTE(AK45, CHAR(13), ""),CHAR(10),"\n"), "")&amp;"', textKo: '"&amp;SUBSTITUTE(SUBSTITUTE(SUBSTITUTE(AM45, CHAR(13), ""),CHAR(10),"\n"),"'","\'")&amp;IF(AM45&lt;&gt;"", "', textKoAdditional: '"&amp;SUBSTITUTE(SUBSTITUTE(AM45, CHAR(13), ""),CHAR(10),"\n"), "")&amp;"', textEn: '"&amp;SUBSTITUTE(SUBSTITUTE(SUBSTITUTE(AM45, CHAR(13), ""),CHAR(10),"\n"),"'","\'")&amp;IF(AN45&lt;&gt;"", "', textEnAdditional: '"&amp;SUBSTITUTE(SUBSTITUTE(AN45, CHAR(13), ""),CHAR(10),"\n"), "")&amp;"'"&amp;IF(AB45="○",", sealable: true","")&amp;IF(AC45="○",", removable: true","")&amp;IF(AA45="○",", lie: true","")&amp;IF(AD45="○",", investable: true","")&amp;"},")</x:f>
        <x:v>'03-himika-o-s-3': {megami: 'himika', name: 'スカーレットイマジン', nameEn: 'Scarlet Visions', nameZh: '猩红狂想', nameZhG44: '猩红狂想', nameKo: '스칼렛 이매진', ruby: '', rubyEn: '', rubyZh: 'Scarlet Imagine', baseType: 'special', type: 'action', cost: '3', text: 'カードを2枚引く。その後、あなたは手札を1枚伏せ札にする。', textZh: '抓2张牌，然后盖伏1张手牌。', textZhG44: '抓2张牌，然后盖伏一张牌。', textZhG44Additional: '카드를 2장 뽑는다. 그 후, 당신은 손패를 1장 덮임패로 한다.', textKo: 'Draw two cards, then discard a card.', textKoAdditional: 'Draw two cards, then discard a card.', textEn: 'Draw two cards, then discard a card.'},</x:v>
      </x:c>
      <x:c r="AU45" s="379" t="str">
        <x:f aca="0">IF($A45&lt;&gt;"", "    /** 《"&amp;$E45&amp;"》 */ export const "&amp;SUBSTITUTE(UPPER(IF(MID($A45, 3, 1)="-", RIGHT($A45,LEN($A45)-3), $A45)), "-", "_")&amp;": TCardId = '"&amp;$A45&amp;"';", "")</x:f>
        <x:v>    /** 《スカーレットイマジン》 */ export const HIMIKA_O_S_3: TCardId = '03-himika-o-s-3';</x:v>
      </x:c>
      <x:c r="AV45" s="380" t="str">
        <x:f aca="0">IF($A46&lt;&gt;"", "    | '"&amp;$A46&amp;"'", "")</x:f>
        <x:v>    | '03-himika-o-s-4'</x:v>
      </x:c>
    </x:row>
    <x:row r="46" ht="83" hidden="0" customHeight="1">
      <x:c r="A46" s="375" t="str">
        <x:v>03-himika-o-s-4</x:v>
      </x:c>
      <x:c r="B46" s="375" t="str">
        <x:v>himika</x:v>
      </x:c>
      <x:c r="C46" s="375"/>
      <x:c r="D46" s="375"/>
      <x:c r="E46" s="375" t="str">
        <x:v>ヴァーミリオンフィールド</x:v>
      </x:c>
      <x:c r="F46" s="375"/>
      <x:c r="G46" s="375" t="str">
        <x:v>真红领域</x:v>
      </x:c>
      <x:c r="H46" s="375" t="str">
        <x:v>真红领域</x:v>
      </x:c>
      <x:c r="I46" s="375" t="str">
        <x:v>Vermillion Field</x:v>
      </x:c>
      <x:c r="J46" s="375" t="str">
        <x:v>버밀리온 필드</x:v>
      </x:c>
      <x:c r="K46" s="375" t="str">
        <x:v>Vermillion Field</x:v>
      </x:c>
      <x:c r="L46" s="375"/>
      <x:c r="M46" s="382" t="str">
        <x:v>切札</x:v>
      </x:c>
      <x:c r="N46" s="375"/>
      <x:c r="O46" s="375"/>
      <x:c r="P46" s="375"/>
      <x:c r="Q46" s="375"/>
      <x:c r="R46" s="375" t="str">
        <x:v>行動</x:v>
      </x:c>
      <x:c r="S46" s="375"/>
      <x:c r="T46" s="376"/>
      <x:c r="U46" s="383"/>
      <x:c r="V46" s="382"/>
      <x:c r="W46" s="383"/>
      <x:c r="X46" s="382"/>
      <x:c r="Y46" s="382"/>
      <x:c r="Z46" s="382" t="n">
        <x:v>2</x:v>
      </x:c>
      <x:c r="AA46" s="382"/>
      <x:c r="AB46" s="385"/>
      <x:c r="AC46" s="385"/>
      <x:c r="AD46" s="386"/>
      <x:c r="AE46" s="440" t="str">
        <x:v>連火―このカードがこのターンに使用した3枚目以降のカードならば、ダスト→間合：1
再起:あなたの手札が0枚である。</x:v>
      </x:c>
      <x:c r="AF46" s="441"/>
      <x:c r="AG46" s="488" t="str">
        <x:v>连火～若此牌是本回合你使用的第3张或更多的牌，则虚→2→距
----
【再起】你没有手牌。</x:v>
      </x:c>
      <x:c r="AH46" s="442"/>
      <x:c r="AI46" s="488" t="str">
        <x:v>连火-若本回合你已使用至少2张牌，则虚（2）→距
----
【再起】：你没有手牌。</x:v>
      </x:c>
      <x:c r="AJ46" s="440"/>
      <x:c r="AK46" s="488" t="str">
        <x:v>연화-이 카드가 이 턴에 사용한 3장째 이후의 카드라면, 더스트→간격：2
 ----
 【재기】당신의 손패가 0장이다.</x:v>
      </x:c>
      <x:c r="AL46" s="440"/>
      <x:c r="AM46" s="488" t="str">
        <x:v>Inferno - If this is the third or later card you've played this turn:
Shadow (2)→ Distance
----
Resurgence: You have no cards in your hand.</x:v>
      </x:c>
      <x:c r="AN46" s="440"/>
      <x:c r="AO46" s="440"/>
      <x:c r="AP46" s="440"/>
      <x:c r="AQ46" s="440"/>
      <x:c r="AR46" s="440"/>
      <x:c r="AS46" s="440"/>
      <x:c r="AT46" s="378" t="str">
        <x:f aca="0">IF(A46="", "","'"&amp;A46&amp;"': {megami: '"&amp;B46&amp;"'"&amp;IF(C46&lt;&gt;"",", anotherID: '"&amp;C46&amp;"', replace: '"&amp;D46&amp;"'","")&amp;", name: '"&amp;SUBSTITUTE(E46,"'","\'")&amp;"', nameEn: '"&amp;SUBSTITUTE(K46,"'","\'")&amp;"', nameZh: '"&amp;SUBSTITUTE(G46,"'","\'")&amp;"', nameZhG45: '"&amp;SUBSTITUTE(H46,"'","\'")&amp;"', nameKo: '"&amp;SUBSTITUTE(J46,"'","\'")&amp;"', ruby: '"&amp;F46&amp;"', rubyEn: '"&amp;L46&amp;IF(I46&lt;&gt;"", "', rubyZh: '"&amp;I46, "")&amp;"', baseType: '"&amp;IF(M46="通常札","normal",IF(M46="切札","special",IF(M46="追加札","extra",IF(M46="transform","transform",IF(M46="嵐","storm",IF(M46="兵員","troop",IF(M46="構想","plan",IF(M46="メインパーツ","mainParts",IF(M46="カスタムパーツ","customParts",IF(M46="運命","fate",IF(M46="仮想樹","virtualTree","")))))))))))&amp;"'"&amp;IF(N46="○",", extra: true","")&amp;IF(O46&lt;&gt;"",", extraFrom: '"&amp;O46&amp;"'","")&amp;IF(P46&lt;&gt;"",", exchangableTo: '"&amp;P46&amp;"'","")&amp;IF(Q46="○",", poison: true","")&amp;IF(R46&lt;&gt;"", ", type: '"&amp;IF(R46="攻撃","attack",IF(R46="行動","action",IF(R46="不定","variable",IF(R46="対応","reaction",IF(R46="全力","fullpower",IF(R46="付与","enhance",IF(R46="transform","transform","")))))))&amp;"'", "")&amp;IF(S46&lt;&gt;"",", subType: '"&amp;IF(S46="攻撃","attack",IF(S46="行動","action",IF(S46="不定","variable",IF(S46="対応","reaction",IF(S46="全力","fullpower",IF(S46="付与","enhance",IF(S46="transform","transform","")))))))&amp;"'","")&amp;""&amp;IF(T46&lt;&gt;"",", range: '"&amp;T46&amp;"'","")&amp;IF(V46&lt;&gt;"",", damage: '"&amp;V46&amp;"'","")&amp;IF(X46&lt;&gt;"",", capacity: '"&amp;X46&amp;"'","")&amp;IF(Y46&lt;&gt;"",", growth: "&amp;Y46&amp;"","")&amp;IF(Z46&lt;&gt;"",", cost: '"&amp;Z46&amp;"'","")&amp;", text: '"&amp;SUBSTITUTE(SUBSTITUTE(AE46, CHAR(13), ""),CHAR(10),"\n")&amp;IF(AF46&lt;&gt;"", "', textAdditional: '"&amp;SUBSTITUTE(SUBSTITUTE(AF46, CHAR(13), ""),CHAR(10),"\n"), "")&amp;"', textZh: '"&amp;SUBSTITUTE(SUBSTITUTE(SUBSTITUTE(AG46, CHAR(13), ""),CHAR(10),"\n"),"'","\'")&amp;"', textZhG45: '"&amp;SUBSTITUTE(SUBSTITUTE(SUBSTITUTE(AI46, CHAR(13), ""),CHAR(10),"\n"),"'","\'")&amp;IF(AH46&lt;&gt;"", "', textZhAdditional: '"&amp;SUBSTITUTE(SUBSTITUTE(AH46, CHAR(13), ""),CHAR(10),"\n"), "")&amp;IF(AK46&lt;&gt;"", "', textZhG45Additional: '"&amp;SUBSTITUTE(SUBSTITUTE(AK46, CHAR(13), ""),CHAR(10),"\n"), "")&amp;"', textKo: '"&amp;SUBSTITUTE(SUBSTITUTE(SUBSTITUTE(AM46, CHAR(13), ""),CHAR(10),"\n"),"'","\'")&amp;IF(AM46&lt;&gt;"", "', textKoAdditional: '"&amp;SUBSTITUTE(SUBSTITUTE(AM46, CHAR(13), ""),CHAR(10),"\n"), "")&amp;"', textEn: '"&amp;SUBSTITUTE(SUBSTITUTE(SUBSTITUTE(AM46, CHAR(13), ""),CHAR(10),"\n"),"'","\'")&amp;IF(AN46&lt;&gt;"", "', textEnAdditional: '"&amp;SUBSTITUTE(SUBSTITUTE(AN46, CHAR(13), ""),CHAR(10),"\n"), "")&amp;"'"&amp;IF(AB46="○",", sealable: true","")&amp;IF(AC46="○",", removable: true","")&amp;IF(AA46="○",", lie: true","")&amp;IF(AD46="○",", investable: true","")&amp;"},")</x:f>
        <x:v>'03-himika-o-s-4': {megami: 'himika', name: 'ヴァーミリオンフィールド', nameEn: 'Vermillion Field', nameZh: '真红领域', nameZhG45: '真红领域', nameKo: '버밀리온 필드', ruby: '', rubyEn: '', rubyZh: 'Vermillion Field', baseType: 'special', type: 'action', cost: '2', text: '連火―このカードがこのターンに使用した3枚目以降のカードならば、ダスト→間合：1\n再起:あなたの手札が0枚である。', textZh: '连火～若此牌是本回合你使用的第3张或更多的牌，则虚→2→距\n----\n【再起】你没有手牌。', textZhG45: '连火-若本回合你已使用至少2张牌，则虚（2）→距\n----\n【再起】：你没有手牌。', textZhG45Additional: '연화-이 카드가 이 턴에 사용한 3장째 이후의 카드라면, 더스트→간격：2\n ----\n 【재기】당신의 손패가 0장이다.', textKo: 'Inferno - If this is the third or later card you\'ve played this turn:\nShadow (2)→ Distance\n----\nResurgence: You have no cards in your hand.', textKoAdditional: 'Inferno - If this is the third or later card you've played this turn:\nShadow (2)→ Distance\n----\nResurgence: You have no cards in your hand.', textEn: 'Inferno - If this is the third or later card you\'ve played this turn:\nShadow (2)→ Distance\n----\nResurgence: You have no cards in your hand.'},</x:v>
      </x:c>
      <x:c r="AU46" s="379" t="str">
        <x:f aca="0">IF($A46&lt;&gt;"", "    /** 《"&amp;$E46&amp;"》 */ export const "&amp;SUBSTITUTE(UPPER(IF(MID($A46, 3, 1)="-", RIGHT($A46,LEN($A46)-3), $A46)), "-", "_")&amp;": TCardId = '"&amp;$A46&amp;"';", "")</x:f>
        <x:v>    /** 《ヴァーミリオンフィールド》 */ export const HIMIKA_O_S_4: TCardId = '03-himika-o-s-4';</x:v>
      </x:c>
      <x:c r="AV46" s="380" t="str">
        <x:f aca="0">IF($A47&lt;&gt;"", "    | '"&amp;$A47&amp;"'", "")</x:f>
        <x:v>    | '03-himika-A1-n-2'</x:v>
      </x:c>
    </x:row>
    <x:row r="47" ht="38" hidden="0" customHeight="1">
      <x:c r="A47" s="375" t="str">
        <x:v>03-himika-A1-n-2</x:v>
      </x:c>
      <x:c r="B47" s="375" t="str">
        <x:v>himika</x:v>
      </x:c>
      <x:c r="C47" s="375" t="str">
        <x:v>A1</x:v>
      </x:c>
      <x:c r="D47" s="375" t="str">
        <x:v>03-himika-o-n-2</x:v>
      </x:c>
      <x:c r="E47" s="375" t="str">
        <x:v>火炎流</x:v>
      </x:c>
      <x:c r="F47" s="375" t="str">
        <x:v>かえんりゅう</x:v>
      </x:c>
      <x:c r="G47" s="375" t="str">
        <x:v>火炎流</x:v>
      </x:c>
      <x:c r="H47" s="375" t="str">
        <x:v>火炎流</x:v>
      </x:c>
      <x:c r="I47" s="375"/>
      <x:c r="J47" s="375" t="str">
        <x:v>화염류</x:v>
      </x:c>
      <x:c r="K47" s="375" t="str">
        <x:v>Path of Flame</x:v>
      </x:c>
      <x:c r="L47" s="375"/>
      <x:c r="M47" s="382" t="str">
        <x:v>通常札</x:v>
      </x:c>
      <x:c r="N47" s="375"/>
      <x:c r="O47" s="375"/>
      <x:c r="P47" s="375"/>
      <x:c r="Q47" s="375"/>
      <x:c r="R47" s="375" t="str">
        <x:v>攻撃</x:v>
      </x:c>
      <x:c r="S47" s="375"/>
      <x:c r="T47" s="376" t="str">
        <x:v>1-3</x:v>
      </x:c>
      <x:c r="U47" s="383"/>
      <x:c r="V47" s="382" t="str">
        <x:v>2/1</x:v>
      </x:c>
      <x:c r="W47" s="383"/>
      <x:c r="X47" s="382"/>
      <x:c r="Y47" s="382"/>
      <x:c r="Z47" s="382"/>
      <x:c r="AA47" s="382"/>
      <x:c r="AB47" s="385"/>
      <x:c r="AC47" s="385"/>
      <x:c r="AD47" s="386"/>
      <x:c r="AE47" s="440" t="str">
        <x:v>【常時】連火―このカードがこのターンに使用した3枚目以降のカードならば、この《攻撃》は+0/+1となる。</x:v>
      </x:c>
      <x:c r="AF47" s="441"/>
      <x:c r="AG47" s="488" t="str">
        <x:v>【常时】连火～若此牌是本回合你使用的第3张或更多的牌，则此《攻击》得+0/+1。</x:v>
      </x:c>
      <x:c r="AH47" s="442"/>
      <x:c r="AI47" s="488" t="str">
        <x:v>【常时】连火-若本回合你已使用至少2张牌，则此《攻击》得+0/+1。</x:v>
      </x:c>
      <x:c r="AJ47" s="440"/>
      <x:c r="AK47" s="488" t="str">
        <x:v>【상시】연화-이 카드가 이 턴에 사용한 3장째 이후의 카드라면, 이 《공격》은 +0/+1이 된다.</x:v>
      </x:c>
      <x:c r="AL47" s="440"/>
      <x:c r="AM47" s="488" t="str">
        <x:v>Forced: Inferno - This attack gains +0/+1 if this is the third or later card you've played this turn.</x:v>
      </x:c>
      <x:c r="AN47" s="440"/>
      <x:c r="AO47" s="440"/>
      <x:c r="AP47" s="440"/>
      <x:c r="AQ47" s="440"/>
      <x:c r="AR47" s="440"/>
      <x:c r="AS47" s="440"/>
      <x:c r="AT47" s="378" t="str">
        <x:f aca="0">IF(A47="", "","'"&amp;A47&amp;"': {megami: '"&amp;B47&amp;"'"&amp;IF(C47&lt;&gt;"",", anotherID: '"&amp;C47&amp;"', replace: '"&amp;D47&amp;"'","")&amp;", name: '"&amp;SUBSTITUTE(E47,"'","\'")&amp;"', nameEn: '"&amp;SUBSTITUTE(K47,"'","\'")&amp;"', nameZh: '"&amp;SUBSTITUTE(G47,"'","\'")&amp;"', nameZhG46: '"&amp;SUBSTITUTE(H47,"'","\'")&amp;"', nameKo: '"&amp;SUBSTITUTE(J47,"'","\'")&amp;"', ruby: '"&amp;F47&amp;"', rubyEn: '"&amp;L47&amp;IF(I47&lt;&gt;"", "', rubyZh: '"&amp;I47, "")&amp;"', baseType: '"&amp;IF(M47="通常札","normal",IF(M47="切札","special",IF(M47="追加札","extra",IF(M47="transform","transform",IF(M47="嵐","storm",IF(M47="兵員","troop",IF(M47="構想","plan",IF(M47="メインパーツ","mainParts",IF(M47="カスタムパーツ","customParts",IF(M47="運命","fate",IF(M47="仮想樹","virtualTree","")))))))))))&amp;"'"&amp;IF(N47="○",", extra: true","")&amp;IF(O47&lt;&gt;"",", extraFrom: '"&amp;O47&amp;"'","")&amp;IF(P47&lt;&gt;"",", exchangableTo: '"&amp;P47&amp;"'","")&amp;IF(Q47="○",", poison: true","")&amp;IF(R47&lt;&gt;"", ", type: '"&amp;IF(R47="攻撃","attack",IF(R47="行動","action",IF(R47="不定","variable",IF(R47="対応","reaction",IF(R47="全力","fullpower",IF(R47="付与","enhance",IF(R47="transform","transform","")))))))&amp;"'", "")&amp;IF(S47&lt;&gt;"",", subType: '"&amp;IF(S47="攻撃","attack",IF(S47="行動","action",IF(S47="不定","variable",IF(S47="対応","reaction",IF(S47="全力","fullpower",IF(S47="付与","enhance",IF(S47="transform","transform","")))))))&amp;"'","")&amp;""&amp;IF(T47&lt;&gt;"",", range: '"&amp;T47&amp;"'","")&amp;IF(V47&lt;&gt;"",", damage: '"&amp;V47&amp;"'","")&amp;IF(X47&lt;&gt;"",", capacity: '"&amp;X47&amp;"'","")&amp;IF(Y47&lt;&gt;"",", growth: "&amp;Y47&amp;"","")&amp;IF(Z47&lt;&gt;"",", cost: '"&amp;Z47&amp;"'","")&amp;", text: '"&amp;SUBSTITUTE(SUBSTITUTE(AE47, CHAR(13), ""),CHAR(10),"\n")&amp;IF(AF47&lt;&gt;"", "', textAdditional: '"&amp;SUBSTITUTE(SUBSTITUTE(AF47, CHAR(13), ""),CHAR(10),"\n"), "")&amp;"', textZh: '"&amp;SUBSTITUTE(SUBSTITUTE(SUBSTITUTE(AG47, CHAR(13), ""),CHAR(10),"\n"),"'","\'")&amp;"', textZhG46: '"&amp;SUBSTITUTE(SUBSTITUTE(SUBSTITUTE(AI47, CHAR(13), ""),CHAR(10),"\n"),"'","\'")&amp;IF(AH47&lt;&gt;"", "', textZhAdditional: '"&amp;SUBSTITUTE(SUBSTITUTE(AH47, CHAR(13), ""),CHAR(10),"\n"), "")&amp;IF(AK47&lt;&gt;"", "', textZhG46Additional: '"&amp;SUBSTITUTE(SUBSTITUTE(AK47, CHAR(13), ""),CHAR(10),"\n"), "")&amp;"', textKo: '"&amp;SUBSTITUTE(SUBSTITUTE(SUBSTITUTE(AM47, CHAR(13), ""),CHAR(10),"\n"),"'","\'")&amp;IF(AM47&lt;&gt;"", "', textKoAdditional: '"&amp;SUBSTITUTE(SUBSTITUTE(AM47, CHAR(13), ""),CHAR(10),"\n"), "")&amp;"', textEn: '"&amp;SUBSTITUTE(SUBSTITUTE(SUBSTITUTE(AM47, CHAR(13), ""),CHAR(10),"\n"),"'","\'")&amp;IF(AN47&lt;&gt;"", "', textEnAdditional: '"&amp;SUBSTITUTE(SUBSTITUTE(AN47, CHAR(13), ""),CHAR(10),"\n"), "")&amp;"'"&amp;IF(AB47="○",", sealable: true","")&amp;IF(AC47="○",", removable: true","")&amp;IF(AA47="○",", lie: true","")&amp;IF(AD47="○",", investable: true","")&amp;"},")</x:f>
        <x:v>'03-himika-A1-n-2': {megami: 'himika', anotherID: 'A1', replace: '03-himika-o-n-2', name: '火炎流', nameEn: 'Path of Flame', nameZh: '火炎流', nameZhG46: '火炎流', nameKo: '화염류', ruby: 'かえんりゅう', rubyEn: '', baseType: 'normal', type: 'attack', range: '1-3', damage: '2/1', text: '【常時】連火―このカードがこのターンに使用した3枚目以降のカードならば、この《攻撃》は+0/+1となる。', textZh: '【常时】连火～若此牌是本回合你使用的第3张或更多的牌，则此《攻击》得+0/+1。', textZhG46: '【常时】连火-若本回合你已使用至少2张牌，则此《攻击》得+0/+1。', textZhG46Additional: '【상시】연화-이 카드가 이 턴에 사용한 3장째 이후의 카드라면, 이 《공격》은 +0/+1이 된다.', textKo: 'Forced: Inferno - This attack gains +0/+1 if this is the third or later card you\'ve played this turn.', textKoAdditional: 'Forced: Inferno - This attack gains +0/+1 if this is the third or later card you've played this turn.', textEn: 'Forced: Inferno - This attack gains +0/+1 if this is the third or later card you\'ve played this turn.'},</x:v>
      </x:c>
      <x:c r="AU47" s="379" t="str">
        <x:f aca="0">IF($A47&lt;&gt;"", "    /** 《"&amp;$E47&amp;"》 */ export const "&amp;SUBSTITUTE(UPPER(IF(MID($A47, 3, 1)="-", RIGHT($A47,LEN($A47)-3), $A47)), "-", "_")&amp;": TCardId = '"&amp;$A47&amp;"';", "")</x:f>
        <x:v>    /** 《火炎流》 */ export const HIMIKA_A1_N_2: TCardId = '03-himika-A1-n-2';</x:v>
      </x:c>
      <x:c r="AV47" s="380" t="str">
        <x:f aca="0">IF($A48&lt;&gt;"", "    | '"&amp;$A48&amp;"'", "")</x:f>
        <x:v>    | '03-himika-A1-n-5'</x:v>
      </x:c>
    </x:row>
    <x:row r="48" ht="38" hidden="0" customHeight="1">
      <x:c r="A48" s="375" t="str">
        <x:v>03-himika-A1-n-5</x:v>
      </x:c>
      <x:c r="B48" s="375" t="str">
        <x:v>himika</x:v>
      </x:c>
      <x:c r="C48" s="375" t="str">
        <x:v>A1</x:v>
      </x:c>
      <x:c r="D48" s="375" t="str">
        <x:v>03-himika-o-n-5</x:v>
      </x:c>
      <x:c r="E48" s="375" t="str">
        <x:v>殺意</x:v>
      </x:c>
      <x:c r="F48" s="375" t="str">
        <x:v>さつい</x:v>
      </x:c>
      <x:c r="G48" s="375" t="str">
        <x:v>杀意</x:v>
      </x:c>
      <x:c r="H48" s="375" t="str">
        <x:v>杀意</x:v>
      </x:c>
      <x:c r="I48" s="375"/>
      <x:c r="J48" s="375" t="str">
        <x:v>살의</x:v>
      </x:c>
      <x:c r="K48" s="375" t="str">
        <x:v>Killing Intent</x:v>
      </x:c>
      <x:c r="L48" s="375"/>
      <x:c r="M48" s="382" t="str">
        <x:v>通常札</x:v>
      </x:c>
      <x:c r="N48" s="375"/>
      <x:c r="O48" s="375"/>
      <x:c r="P48" s="375"/>
      <x:c r="Q48" s="375"/>
      <x:c r="R48" s="375" t="str">
        <x:v>行動</x:v>
      </x:c>
      <x:c r="S48" s="375"/>
      <x:c r="T48" s="376"/>
      <x:c r="U48" s="383"/>
      <x:c r="V48" s="382"/>
      <x:c r="W48" s="383"/>
      <x:c r="X48" s="382"/>
      <x:c r="Y48" s="382"/>
      <x:c r="Z48" s="382"/>
      <x:c r="AA48" s="382"/>
      <x:c r="AB48" s="385"/>
      <x:c r="AC48" s="385"/>
      <x:c r="AD48" s="386"/>
      <x:c r="AE48" s="440" t="str">
        <x:v>あなたの手札が0枚ならば、
相オーラ→ダスト：2</x:v>
      </x:c>
      <x:c r="AF48" s="441"/>
      <x:c r="AG48" s="488" t="str">
        <x:v>若你没有手牌，则：敌装→2→虚。</x:v>
      </x:c>
      <x:c r="AH48" s="442"/>
      <x:c r="AI48" s="488" t="str">
        <x:v>若你没有手牌，则敌装（2）→虚。</x:v>
      </x:c>
      <x:c r="AJ48" s="440"/>
      <x:c r="AK48" s="488" t="str">
        <x:v>당신의 손패가 0장이라면, 상대 오라→더스트：2</x:v>
      </x:c>
      <x:c r="AL48" s="440"/>
      <x:c r="AM48" s="488" t="str">
        <x:v>If you have no cards in your hand:
Opponent's Aura (2)→ Shadow</x:v>
      </x:c>
      <x:c r="AN48" s="440"/>
      <x:c r="AO48" s="440"/>
      <x:c r="AP48" s="440"/>
      <x:c r="AQ48" s="440"/>
      <x:c r="AR48" s="440"/>
      <x:c r="AS48" s="440"/>
      <x:c r="AT48" s="378" t="str">
        <x:f aca="0">IF(A48="", "","'"&amp;A48&amp;"': {megami: '"&amp;B48&amp;"'"&amp;IF(C48&lt;&gt;"",", anotherID: '"&amp;C48&amp;"', replace: '"&amp;D48&amp;"'","")&amp;", name: '"&amp;SUBSTITUTE(E48,"'","\'")&amp;"', nameEn: '"&amp;SUBSTITUTE(K48,"'","\'")&amp;"', nameZh: '"&amp;SUBSTITUTE(G48,"'","\'")&amp;"', nameZhG47: '"&amp;SUBSTITUTE(H48,"'","\'")&amp;"', nameKo: '"&amp;SUBSTITUTE(J48,"'","\'")&amp;"', ruby: '"&amp;F48&amp;"', rubyEn: '"&amp;L48&amp;IF(I48&lt;&gt;"", "', rubyZh: '"&amp;I48, "")&amp;"', baseType: '"&amp;IF(M48="通常札","normal",IF(M48="切札","special",IF(M48="追加札","extra",IF(M48="transform","transform",IF(M48="嵐","storm",IF(M48="兵員","troop",IF(M48="構想","plan",IF(M48="メインパーツ","mainParts",IF(M48="カスタムパーツ","customParts",IF(M48="運命","fate",IF(M48="仮想樹","virtualTree","")))))))))))&amp;"'"&amp;IF(N48="○",", extra: true","")&amp;IF(O48&lt;&gt;"",", extraFrom: '"&amp;O48&amp;"'","")&amp;IF(P48&lt;&gt;"",", exchangableTo: '"&amp;P48&amp;"'","")&amp;IF(Q48="○",", poison: true","")&amp;IF(R48&lt;&gt;"", ", type: '"&amp;IF(R48="攻撃","attack",IF(R48="行動","action",IF(R48="不定","variable",IF(R48="対応","reaction",IF(R48="全力","fullpower",IF(R48="付与","enhance",IF(R48="transform","transform","")))))))&amp;"'", "")&amp;IF(S48&lt;&gt;"",", subType: '"&amp;IF(S48="攻撃","attack",IF(S48="行動","action",IF(S48="不定","variable",IF(S48="対応","reaction",IF(S48="全力","fullpower",IF(S48="付与","enhance",IF(S48="transform","transform","")))))))&amp;"'","")&amp;""&amp;IF(T48&lt;&gt;"",", range: '"&amp;T48&amp;"'","")&amp;IF(V48&lt;&gt;"",", damage: '"&amp;V48&amp;"'","")&amp;IF(X48&lt;&gt;"",", capacity: '"&amp;X48&amp;"'","")&amp;IF(Y48&lt;&gt;"",", growth: "&amp;Y48&amp;"","")&amp;IF(Z48&lt;&gt;"",", cost: '"&amp;Z48&amp;"'","")&amp;", text: '"&amp;SUBSTITUTE(SUBSTITUTE(AE48, CHAR(13), ""),CHAR(10),"\n")&amp;IF(AF48&lt;&gt;"", "', textAdditional: '"&amp;SUBSTITUTE(SUBSTITUTE(AF48, CHAR(13), ""),CHAR(10),"\n"), "")&amp;"', textZh: '"&amp;SUBSTITUTE(SUBSTITUTE(SUBSTITUTE(AG48, CHAR(13), ""),CHAR(10),"\n"),"'","\'")&amp;"', textZhG47: '"&amp;SUBSTITUTE(SUBSTITUTE(SUBSTITUTE(AI48, CHAR(13), ""),CHAR(10),"\n"),"'","\'")&amp;IF(AH48&lt;&gt;"", "', textZhAdditional: '"&amp;SUBSTITUTE(SUBSTITUTE(AH48, CHAR(13), ""),CHAR(10),"\n"), "")&amp;IF(AK48&lt;&gt;"", "', textZhG47Additional: '"&amp;SUBSTITUTE(SUBSTITUTE(AK48, CHAR(13), ""),CHAR(10),"\n"), "")&amp;"', textKo: '"&amp;SUBSTITUTE(SUBSTITUTE(SUBSTITUTE(AM48, CHAR(13), ""),CHAR(10),"\n"),"'","\'")&amp;IF(AM48&lt;&gt;"", "', textKoAdditional: '"&amp;SUBSTITUTE(SUBSTITUTE(AM48, CHAR(13), ""),CHAR(10),"\n"), "")&amp;"', textEn: '"&amp;SUBSTITUTE(SUBSTITUTE(SUBSTITUTE(AM48, CHAR(13), ""),CHAR(10),"\n"),"'","\'")&amp;IF(AN48&lt;&gt;"", "', textEnAdditional: '"&amp;SUBSTITUTE(SUBSTITUTE(AN48, CHAR(13), ""),CHAR(10),"\n"), "")&amp;"'"&amp;IF(AB48="○",", sealable: true","")&amp;IF(AC48="○",", removable: true","")&amp;IF(AA48="○",", lie: true","")&amp;IF(AD48="○",", investable: true","")&amp;"},")</x:f>
        <x:v>'03-himika-A1-n-5': {megami: 'himika', anotherID: 'A1', replace: '03-himika-o-n-5', name: '殺意', nameEn: 'Killing Intent', nameZh: '杀意', nameZhG47: '杀意', nameKo: '살의', ruby: 'さつい', rubyEn: '', baseType: 'normal', type: 'action', text: 'あなたの手札が0枚ならば、\n相オーラ→ダスト：2', textZh: '若你没有手牌，则：敌装→2→虚。', textZhG47: '若你没有手牌，则敌装（2）→虚。', textZhG47Additional: '당신의 손패가 0장이라면, 상대 오라→더스트：2', textKo: 'If you have no cards in your hand:\nOpponent\'s Aura (2)→ Shadow', textKoAdditional: 'If you have no cards in your hand:\nOpponent's Aura (2)→ Shadow', textEn: 'If you have no cards in your hand:\nOpponent\'s Aura (2)→ Shadow'},</x:v>
      </x:c>
      <x:c r="AU48" s="379" t="str">
        <x:f aca="0">IF($A48&lt;&gt;"", "    /** 《"&amp;$E48&amp;"》 */ export const "&amp;SUBSTITUTE(UPPER(IF(MID($A48, 3, 1)="-", RIGHT($A48,LEN($A48)-3), $A48)), "-", "_")&amp;": TCardId = '"&amp;$A48&amp;"';", "")</x:f>
        <x:v>    /** 《殺意》 */ export const HIMIKA_A1_N_5: TCardId = '03-himika-A1-n-5';</x:v>
      </x:c>
      <x:c r="AV48" s="380" t="str">
        <x:f aca="0">IF($A49&lt;&gt;"", "    | '"&amp;$A49&amp;"'", "")</x:f>
        <x:v>    | '03-himika-A1-s-2'</x:v>
      </x:c>
    </x:row>
    <x:row r="49" ht="83" hidden="0" customHeight="1">
      <x:c r="A49" s="375" t="str">
        <x:v>03-himika-A1-s-2</x:v>
      </x:c>
      <x:c r="B49" s="375" t="str">
        <x:v>himika</x:v>
      </x:c>
      <x:c r="C49" s="375" t="str">
        <x:v>A1</x:v>
      </x:c>
      <x:c r="D49" s="375" t="str">
        <x:v>03-himika-o-s-2</x:v>
      </x:c>
      <x:c r="E49" s="375" t="str">
        <x:v>炎天:紅緋弥香</x:v>
      </x:c>
      <x:c r="F49" s="375" t="str">
        <x:v>えんてん・くれないひみか</x:v>
      </x:c>
      <x:c r="G49" s="375" t="str">
        <x:v>炎天·红绯弥香</x:v>
      </x:c>
      <x:c r="H49" s="375" t="str">
        <x:v>炎天·红绯弥香</x:v>
      </x:c>
      <x:c r="I49" s="375"/>
      <x:c r="J49" s="375" t="str">
        <x:v>염천・쿠레나이 히미카</x:v>
      </x:c>
      <x:c r="K49" s="375" t="str">
        <x:v>Blazing Sun - Crimson Himika</x:v>
      </x:c>
      <x:c r="L49" s="375"/>
      <x:c r="M49" s="375" t="str">
        <x:v>切札</x:v>
      </x:c>
      <x:c r="N49" s="375"/>
      <x:c r="O49" s="375"/>
      <x:c r="P49" s="375"/>
      <x:c r="Q49" s="375"/>
      <x:c r="R49" s="375" t="str">
        <x:v>攻撃</x:v>
      </x:c>
      <x:c r="S49" s="375" t="str">
        <x:v>全力</x:v>
      </x:c>
      <x:c r="T49" s="375" t="str">
        <x:v>0-7</x:v>
      </x:c>
      <x:c r="U49" s="375"/>
      <x:c r="V49" s="376" t="str">
        <x:v>X/X</x:v>
      </x:c>
      <x:c r="W49" s="375"/>
      <x:c r="X49" s="375"/>
      <x:c r="Y49" s="382"/>
      <x:c r="Z49" s="382" t="n">
        <x:v>5</x:v>
      </x:c>
      <x:c r="AA49" s="382"/>
      <x:c r="AB49" s="385"/>
      <x:c r="AC49" s="385"/>
      <x:c r="AD49" s="386"/>
      <x:c r="AE49" s="440" t="str">
        <x:v>対応不可
【常時】Xは8から現在の間合を引いた値に等しい。
【攻撃後】あなたは敗北する。</x:v>
      </x:c>
      <x:c r="AF49" s="441"/>
      <x:c r="AG49" s="488" t="str">
        <x:v>不可被对应
【常时】X等于8减去当前距离。
【攻击后】你输掉这局游戏。</x:v>
      </x:c>
      <x:c r="AH49" s="442"/>
      <x:c r="AI49" s="488" t="str">
        <x:v>不可被对应
【常时】X等于8减去当前距离。
【攻击后】你输掉这局游戏。</x:v>
      </x:c>
      <x:c r="AJ49" s="440"/>
      <x:c r="AK49" s="488" t="str">
        <x:v>종단
대응한 《공격》 해결 후에 그 《공격》에서 오라 데미지를 선택했고 당신의 오라가 0이라면 현재의 페이즈를 종료한다.</x:v>
      </x:c>
      <x:c r="AL49" s="440"/>
      <x:c r="AM49" s="488" t="str">
        <x:v>No Reactions
Forced: X is equal to 8 minus the current Distance.
After Attack: You lose the game.</x:v>
      </x:c>
      <x:c r="AN49" s="440"/>
      <x:c r="AO49" s="440"/>
      <x:c r="AP49" s="440"/>
      <x:c r="AQ49" s="440"/>
      <x:c r="AR49" s="440"/>
      <x:c r="AS49" s="440"/>
      <x:c r="AT49" s="378" t="str">
        <x:f aca="0">IF(A49="", "","'"&amp;A49&amp;"': {megami: '"&amp;B49&amp;"'"&amp;IF(C49&lt;&gt;"",", anotherID: '"&amp;C49&amp;"', replace: '"&amp;D49&amp;"'","")&amp;", name: '"&amp;SUBSTITUTE(E49,"'","\'")&amp;"', nameEn: '"&amp;SUBSTITUTE(K49,"'","\'")&amp;"', nameZh: '"&amp;SUBSTITUTE(G49,"'","\'")&amp;"', nameZhG48: '"&amp;SUBSTITUTE(H49,"'","\'")&amp;"', nameKo: '"&amp;SUBSTITUTE(J49,"'","\'")&amp;"', ruby: '"&amp;F49&amp;"', rubyEn: '"&amp;L49&amp;IF(I49&lt;&gt;"", "', rubyZh: '"&amp;I49, "")&amp;"', baseType: '"&amp;IF(M49="通常札","normal",IF(M49="切札","special",IF(M49="追加札","extra",IF(M49="transform","transform",IF(M49="嵐","storm",IF(M49="兵員","troop",IF(M49="構想","plan",IF(M49="メインパーツ","mainParts",IF(M49="カスタムパーツ","customParts",IF(M49="運命","fate",IF(M49="仮想樹","virtualTree","")))))))))))&amp;"'"&amp;IF(N49="○",", extra: true","")&amp;IF(O49&lt;&gt;"",", extraFrom: '"&amp;O49&amp;"'","")&amp;IF(P49&lt;&gt;"",", exchangableTo: '"&amp;P49&amp;"'","")&amp;IF(Q49="○",", poison: true","")&amp;IF(R49&lt;&gt;"", ", type: '"&amp;IF(R49="攻撃","attack",IF(R49="行動","action",IF(R49="不定","variable",IF(R49="対応","reaction",IF(R49="全力","fullpower",IF(R49="付与","enhance",IF(R49="transform","transform","")))))))&amp;"'", "")&amp;IF(S49&lt;&gt;"",", subType: '"&amp;IF(S49="攻撃","attack",IF(S49="行動","action",IF(S49="不定","variable",IF(S49="対応","reaction",IF(S49="全力","fullpower",IF(S49="付与","enhance",IF(S49="transform","transform","")))))))&amp;"'","")&amp;""&amp;IF(T49&lt;&gt;"",", range: '"&amp;T49&amp;"'","")&amp;IF(V49&lt;&gt;"",", damage: '"&amp;V49&amp;"'","")&amp;IF(X49&lt;&gt;"",", capacity: '"&amp;X49&amp;"'","")&amp;IF(Y49&lt;&gt;"",", growth: "&amp;Y49&amp;"","")&amp;IF(Z49&lt;&gt;"",", cost: '"&amp;Z49&amp;"'","")&amp;", text: '"&amp;SUBSTITUTE(SUBSTITUTE(AE49, CHAR(13), ""),CHAR(10),"\n")&amp;IF(AF49&lt;&gt;"", "', textAdditional: '"&amp;SUBSTITUTE(SUBSTITUTE(AF49, CHAR(13), ""),CHAR(10),"\n"), "")&amp;"', textZh: '"&amp;SUBSTITUTE(SUBSTITUTE(SUBSTITUTE(AG49, CHAR(13), ""),CHAR(10),"\n"),"'","\'")&amp;"', textZhG48: '"&amp;SUBSTITUTE(SUBSTITUTE(SUBSTITUTE(AI49, CHAR(13), ""),CHAR(10),"\n"),"'","\'")&amp;IF(AH49&lt;&gt;"", "', textZhAdditional: '"&amp;SUBSTITUTE(SUBSTITUTE(AH49, CHAR(13), ""),CHAR(10),"\n"), "")&amp;IF(AK49&lt;&gt;"", "', textZhG48Additional: '"&amp;SUBSTITUTE(SUBSTITUTE(AK49, CHAR(13), ""),CHAR(10),"\n"), "")&amp;"', textKo: '"&amp;SUBSTITUTE(SUBSTITUTE(SUBSTITUTE(AM49, CHAR(13), ""),CHAR(10),"\n"),"'","\'")&amp;IF(AM49&lt;&gt;"", "', textKoAdditional: '"&amp;SUBSTITUTE(SUBSTITUTE(AM49, CHAR(13), ""),CHAR(10),"\n"), "")&amp;"', textEn: '"&amp;SUBSTITUTE(SUBSTITUTE(SUBSTITUTE(AM49, CHAR(13), ""),CHAR(10),"\n"),"'","\'")&amp;IF(AN49&lt;&gt;"", "', textEnAdditional: '"&amp;SUBSTITUTE(SUBSTITUTE(AN49, CHAR(13), ""),CHAR(10),"\n"), "")&amp;"'"&amp;IF(AB49="○",", sealable: true","")&amp;IF(AC49="○",", removable: true","")&amp;IF(AA49="○",", lie: true","")&amp;IF(AD49="○",", investable: true","")&amp;"},")</x:f>
        <x:v>'03-himika-A1-s-2': {megami: 'himika', anotherID: 'A1', replace: '03-himika-o-s-2', name: '炎天:紅緋弥香', nameEn: 'Blazing Sun - Crimson Himika', nameZh: '炎天·红绯弥香', nameZhG48: '炎天·红绯弥香', nameKo: '염천・쿠레나이 히미카', ruby: 'えんてん・くれないひみか', rubyEn: '', baseType: 'special', type: 'attack', subType: 'fullpower', range: '0-7', damage: 'X/X', cost: '5', text: '対応不可\n【常時】Xは8から現在の間合を引いた値に等しい。\n【攻撃後】あなたは敗北する。', textZh: '不可被对应\n【常时】X等于8减去当前距离。\n【攻击后】你输掉这局游戏。', textZhG48: '不可被对应\n【常时】X等于8减去当前距离。\n【攻击后】你输掉这局游戏。', textZhG48Additional: '종단\n대응한 《공격》 해결 후에 그 《공격》에서 오라 데미지를 선택했고 당신의 오라가 0이라면 현재의 페이즈를 종료한다.', textKo: 'No Reactions\n\nForced: X is equal to 8 minus the current Distance.\n\nAfter Attack: You lose the game.', textKoAdditional: 'No Reactions\n\nForced: X is equal to 8 minus the current Distance.\n\nAfter Attack: You lose the game.', textEn: 'No Reactions\n\nForced: X is equal to 8 minus the current Distance.\n\nAfter Attack: You lose the game.'},</x:v>
      </x:c>
      <x:c r="AU49" s="379" t="str">
        <x:f aca="0">IF($A49&lt;&gt;"", "    /** 《"&amp;$E49&amp;"》 */ export const "&amp;SUBSTITUTE(UPPER(IF(MID($A49, 3, 1)="-", RIGHT($A49,LEN($A49)-3), $A49)), "-", "_")&amp;": TCardId = '"&amp;$A49&amp;"';", "")</x:f>
        <x:v>    /** 《炎天:紅緋弥香》 */ export const HIMIKA_A1_S_2: TCardId = '03-himika-A1-s-2';</x:v>
      </x:c>
      <x:c r="AV49" s="380" t="str">
        <x:f aca="0">IF($A50&lt;&gt;"", "    | '"&amp;$A50&amp;"'", "")</x:f>
        <x:v>    | '04-tokoyo-o-n-1'</x:v>
      </x:c>
    </x:row>
    <x:row r="50" ht="38" hidden="0" customHeight="1">
      <x:c r="A50" s="375" t="str">
        <x:v>04-tokoyo-o-n-1</x:v>
      </x:c>
      <x:c r="B50" s="375" t="str">
        <x:v>tokoyo</x:v>
      </x:c>
      <x:c r="C50" s="375"/>
      <x:c r="D50" s="375"/>
      <x:c r="E50" s="375" t="str">
        <x:v>梳流し</x:v>
      </x:c>
      <x:c r="F50" s="375" t="str">
        <x:v>すきながし</x:v>
      </x:c>
      <x:c r="G50" s="375" t="str">
        <x:v>梳流扇</x:v>
      </x:c>
      <x:c r="H50" s="375" t="str">
        <x:v>梳流</x:v>
      </x:c>
      <x:c r="I50" s="375"/>
      <x:c r="J50" s="375" t="str">
        <x:v>빗어내리기</x:v>
      </x:c>
      <x:c r="K50" s="375" t="str">
        <x:v>Glancing Strike</x:v>
      </x:c>
      <x:c r="L50" s="375"/>
      <x:c r="M50" s="375" t="str">
        <x:v>通常札</x:v>
      </x:c>
      <x:c r="N50" s="375"/>
      <x:c r="O50" s="375"/>
      <x:c r="P50" s="375"/>
      <x:c r="Q50" s="375"/>
      <x:c r="R50" s="375" t="str">
        <x:v>攻撃</x:v>
      </x:c>
      <x:c r="S50" s="375"/>
      <x:c r="T50" s="375" t="str">
        <x:v>4</x:v>
      </x:c>
      <x:c r="U50" s="375"/>
      <x:c r="V50" s="376" t="str">
        <x:v>-/1</x:v>
      </x:c>
      <x:c r="W50" s="375"/>
      <x:c r="X50" s="375"/>
      <x:c r="Y50" s="382"/>
      <x:c r="Z50" s="382"/>
      <x:c r="AA50" s="382"/>
      <x:c r="AB50" s="385"/>
      <x:c r="AC50" s="385"/>
      <x:c r="AD50" s="386"/>
      <x:c r="AE50" s="440" t="str">
        <x:v>【攻撃後】境地―あなたの集中力が2ならば、このカードを山札の上に戻す。</x:v>
      </x:c>
      <x:c r="AF50" s="441"/>
      <x:c r="AG50" s="488" t="str">
        <x:v>【攻击后】境地～若你的集中力为2，则将此牌置于你的牌库顶。</x:v>
      </x:c>
      <x:c r="AH50" s="442"/>
      <x:c r="AI50" s="488" t="str">
        <x:v>【攻击后】境地-若你的集中力等于2，则将此牌置于你的牌库顶。</x:v>
      </x:c>
      <x:c r="AJ50" s="440"/>
      <x:c r="AK50" s="488" t="str">
        <x:v>【공격후】경지-당신의 집중력이 2라면, 이 카드를 패산 위로 되돌린다.</x:v>
      </x:c>
      <x:c r="AL50" s="440"/>
      <x:c r="AM50" s="488" t="str">
        <x:v>After Attack: Artistic - Put this card on the top of your deck if your Vigor is 2.</x:v>
      </x:c>
      <x:c r="AN50" s="440"/>
      <x:c r="AO50" s="440"/>
      <x:c r="AP50" s="440"/>
      <x:c r="AQ50" s="440"/>
      <x:c r="AR50" s="440"/>
      <x:c r="AS50" s="440"/>
      <x:c r="AT50" s="378" t="str">
        <x:f aca="0">IF(A50="", "","'"&amp;A50&amp;"': {megami: '"&amp;B50&amp;"'"&amp;IF(C50&lt;&gt;"",", anotherID: '"&amp;C50&amp;"', replace: '"&amp;D50&amp;"'","")&amp;", name: '"&amp;SUBSTITUTE(E50,"'","\'")&amp;"', nameEn: '"&amp;SUBSTITUTE(K50,"'","\'")&amp;"', nameZh: '"&amp;SUBSTITUTE(G50,"'","\'")&amp;"', nameZhG49: '"&amp;SUBSTITUTE(H50,"'","\'")&amp;"', nameKo: '"&amp;SUBSTITUTE(J50,"'","\'")&amp;"', ruby: '"&amp;F50&amp;"', rubyEn: '"&amp;L50&amp;IF(I50&lt;&gt;"", "', rubyZh: '"&amp;I50, "")&amp;"', baseType: '"&amp;IF(M50="通常札","normal",IF(M50="切札","special",IF(M50="追加札","extra",IF(M50="transform","transform",IF(M50="嵐","storm",IF(M50="兵員","troop",IF(M50="構想","plan",IF(M50="メインパーツ","mainParts",IF(M50="カスタムパーツ","customParts",IF(M50="運命","fate",IF(M50="仮想樹","virtualTree","")))))))))))&amp;"'"&amp;IF(N50="○",", extra: true","")&amp;IF(O50&lt;&gt;"",", extraFrom: '"&amp;O50&amp;"'","")&amp;IF(P50&lt;&gt;"",", exchangableTo: '"&amp;P50&amp;"'","")&amp;IF(Q50="○",", poison: true","")&amp;IF(R50&lt;&gt;"", ", type: '"&amp;IF(R50="攻撃","attack",IF(R50="行動","action",IF(R50="不定","variable",IF(R50="対応","reaction",IF(R50="全力","fullpower",IF(R50="付与","enhance",IF(R50="transform","transform","")))))))&amp;"'", "")&amp;IF(S50&lt;&gt;"",", subType: '"&amp;IF(S50="攻撃","attack",IF(S50="行動","action",IF(S50="不定","variable",IF(S50="対応","reaction",IF(S50="全力","fullpower",IF(S50="付与","enhance",IF(S50="transform","transform","")))))))&amp;"'","")&amp;""&amp;IF(T50&lt;&gt;"",", range: '"&amp;T50&amp;"'","")&amp;IF(V50&lt;&gt;"",", damage: '"&amp;V50&amp;"'","")&amp;IF(X50&lt;&gt;"",", capacity: '"&amp;X50&amp;"'","")&amp;IF(Y50&lt;&gt;"",", growth: "&amp;Y50&amp;"","")&amp;IF(Z50&lt;&gt;"",", cost: '"&amp;Z50&amp;"'","")&amp;", text: '"&amp;SUBSTITUTE(SUBSTITUTE(AE50, CHAR(13), ""),CHAR(10),"\n")&amp;IF(AF50&lt;&gt;"", "', textAdditional: '"&amp;SUBSTITUTE(SUBSTITUTE(AF50, CHAR(13), ""),CHAR(10),"\n"), "")&amp;"', textZh: '"&amp;SUBSTITUTE(SUBSTITUTE(SUBSTITUTE(AG50, CHAR(13), ""),CHAR(10),"\n"),"'","\'")&amp;"', textZhG49: '"&amp;SUBSTITUTE(SUBSTITUTE(SUBSTITUTE(AI50, CHAR(13), ""),CHAR(10),"\n"),"'","\'")&amp;IF(AH50&lt;&gt;"", "', textZhAdditional: '"&amp;SUBSTITUTE(SUBSTITUTE(AH50, CHAR(13), ""),CHAR(10),"\n"), "")&amp;IF(AK50&lt;&gt;"", "', textZhG49Additional: '"&amp;SUBSTITUTE(SUBSTITUTE(AK50, CHAR(13), ""),CHAR(10),"\n"), "")&amp;"', textKo: '"&amp;SUBSTITUTE(SUBSTITUTE(SUBSTITUTE(AM50, CHAR(13), ""),CHAR(10),"\n"),"'","\'")&amp;IF(AM50&lt;&gt;"", "', textKoAdditional: '"&amp;SUBSTITUTE(SUBSTITUTE(AM50, CHAR(13), ""),CHAR(10),"\n"), "")&amp;"', textEn: '"&amp;SUBSTITUTE(SUBSTITUTE(SUBSTITUTE(AM50, CHAR(13), ""),CHAR(10),"\n"),"'","\'")&amp;IF(AN50&lt;&gt;"", "', textEnAdditional: '"&amp;SUBSTITUTE(SUBSTITUTE(AN50, CHAR(13), ""),CHAR(10),"\n"), "")&amp;"'"&amp;IF(AB50="○",", sealable: true","")&amp;IF(AC50="○",", removable: true","")&amp;IF(AA50="○",", lie: true","")&amp;IF(AD50="○",", investable: true","")&amp;"},")</x:f>
        <x:v>'04-tokoyo-o-n-1': {megami: 'tokoyo', name: '梳流し', nameEn: 'Glancing Strike', nameZh: '梳流扇', nameZhG49: '梳流', nameKo: '빗어내리기', ruby: 'すきながし', rubyEn: '', baseType: 'normal', type: 'attack', range: '4', damage: '-/1', text: '【攻撃後】境地―あなたの集中力が2ならば、このカードを山札の上に戻す。', textZh: '【攻击后】境地～若你的集中力为2，则将此牌置于你的牌库顶。', textZhG49: '【攻击后】境地-若你的集中力等于2，则将此牌置于你的牌库顶。', textZhG49Additional: '【공격후】경지-당신의 집중력이 2라면, 이 카드를 패산 위로 되돌린다.', textKo: 'After Attack: Artistic - Put this card on the top of your deck if your Vigor is 2.', textKoAdditional: 'After Attack: Artistic - Put this card on the top of your deck if your Vigor is 2.', textEn: 'After Attack: Artistic - Put this card on the top of your deck if your Vigor is 2.'},</x:v>
      </x:c>
      <x:c r="AU50" s="379" t="str">
        <x:f aca="0">IF($A50&lt;&gt;"", "    /** 《"&amp;$E50&amp;"》 */ export const "&amp;SUBSTITUTE(UPPER(IF(MID($A50, 3, 1)="-", RIGHT($A50,LEN($A50)-3), $A50)), "-", "_")&amp;": TCardId = '"&amp;$A50&amp;"';", "")</x:f>
        <x:v>    /** 《梳流し》 */ export const TOKOYO_O_N_1: TCardId = '04-tokoyo-o-n-1';</x:v>
      </x:c>
      <x:c r="AV50" s="380" t="str">
        <x:f aca="0">IF($A51&lt;&gt;"", "    | '"&amp;$A51&amp;"'", "")</x:f>
        <x:v>    | '04-tokoyo-o-n-3'</x:v>
      </x:c>
    </x:row>
    <x:row r="51" ht="38" hidden="0" customHeight="1">
      <x:c r="A51" s="375" t="str">
        <x:v>04-tokoyo-o-n-3</x:v>
      </x:c>
      <x:c r="B51" s="375" t="str">
        <x:v>tokoyo</x:v>
      </x:c>
      <x:c r="C51" s="375"/>
      <x:c r="D51" s="375"/>
      <x:c r="E51" s="375" t="str">
        <x:v>跳ね兎</x:v>
      </x:c>
      <x:c r="F51" s="375" t="str">
        <x:v>はねうさぎ</x:v>
      </x:c>
      <x:c r="G51" s="375" t="str">
        <x:v>脱兔跃</x:v>
      </x:c>
      <x:c r="H51" s="375" t="str">
        <x:v>脱兔</x:v>
      </x:c>
      <x:c r="I51" s="375"/>
      <x:c r="J51" s="375" t="str">
        <x:v>날뛰는 토끼</x:v>
      </x:c>
      <x:c r="K51" s="375" t="str">
        <x:v>Rabbit Step</x:v>
      </x:c>
      <x:c r="L51" s="375"/>
      <x:c r="M51" s="375" t="str">
        <x:v>通常札</x:v>
      </x:c>
      <x:c r="N51" s="375"/>
      <x:c r="O51" s="375"/>
      <x:c r="P51" s="375"/>
      <x:c r="Q51" s="375"/>
      <x:c r="R51" s="375" t="str">
        <x:v>攻撃</x:v>
      </x:c>
      <x:c r="S51" s="375"/>
      <x:c r="T51" s="375" t="str">
        <x:v>0-3</x:v>
      </x:c>
      <x:c r="U51" s="375"/>
      <x:c r="V51" s="376" t="str">
        <x:v>1/0</x:v>
      </x:c>
      <x:c r="W51" s="375"/>
      <x:c r="X51" s="375"/>
      <x:c r="Y51" s="382"/>
      <x:c r="Z51" s="382"/>
      <x:c r="AA51" s="382"/>
      <x:c r="AB51" s="385"/>
      <x:c r="AC51" s="385"/>
      <x:c r="AD51" s="386"/>
      <x:c r="AE51" s="441" t="str">
        <x:v>【常時】境地-あなたの集中力が2ならば、この《攻撃》は+0/+1となる。
【攻撃後】ダスト→間合：2</x:v>
      </x:c>
      <x:c r="AF51" s="441"/>
      <x:c r="AG51" s="488" t="str">
        <x:v>若当前距离小于等于3，则：虚→2→距</x:v>
      </x:c>
      <x:c r="AH51" s="442"/>
      <x:c r="AI51" s="488" t="str">
        <x:v>若当前距离小于3，则虚（2）→距</x:v>
      </x:c>
      <x:c r="AJ51" s="440"/>
      <x:c r="AK51" s="488" t="str">
        <x:v>현재 간격이 3 이하라면, 더스트→간격：2</x:v>
      </x:c>
      <x:c r="AL51" s="440"/>
      <x:c r="AM51" s="488" t="str">
        <x:v>If the current Distance is 3 or less:
Shadow (2)→ Distance</x:v>
      </x:c>
      <x:c r="AN51" s="440"/>
      <x:c r="AO51" s="440"/>
      <x:c r="AP51" s="440"/>
      <x:c r="AQ51" s="440"/>
      <x:c r="AR51" s="440"/>
      <x:c r="AS51" s="440"/>
      <x:c r="AT51" s="378" t="str">
        <x:f aca="0">IF(A51="", "","'"&amp;A51&amp;"': {megami: '"&amp;B51&amp;"'"&amp;IF(C51&lt;&gt;"",", anotherID: '"&amp;C51&amp;"', replace: '"&amp;D51&amp;"'","")&amp;", name: '"&amp;SUBSTITUTE(E51,"'","\'")&amp;"', nameEn: '"&amp;SUBSTITUTE(K51,"'","\'")&amp;"', nameZh: '"&amp;SUBSTITUTE(G51,"'","\'")&amp;"', nameZhG50: '"&amp;SUBSTITUTE(H51,"'","\'")&amp;"', nameKo: '"&amp;SUBSTITUTE(J51,"'","\'")&amp;"', ruby: '"&amp;F51&amp;"', rubyEn: '"&amp;L51&amp;IF(I51&lt;&gt;"", "', rubyZh: '"&amp;I51, "")&amp;"', baseType: '"&amp;IF(M51="通常札","normal",IF(M51="切札","special",IF(M51="追加札","extra",IF(M51="transform","transform",IF(M51="嵐","storm",IF(M51="兵員","troop",IF(M51="構想","plan",IF(M51="メインパーツ","mainParts",IF(M51="カスタムパーツ","customParts",IF(M51="運命","fate",IF(M51="仮想樹","virtualTree","")))))))))))&amp;"'"&amp;IF(N51="○",", extra: true","")&amp;IF(O51&lt;&gt;"",", extraFrom: '"&amp;O51&amp;"'","")&amp;IF(P51&lt;&gt;"",", exchangableTo: '"&amp;P51&amp;"'","")&amp;IF(Q51="○",", poison: true","")&amp;IF(R51&lt;&gt;"", ", type: '"&amp;IF(R51="攻撃","attack",IF(R51="行動","action",IF(R51="不定","variable",IF(R51="対応","reaction",IF(R51="全力","fullpower",IF(R51="付与","enhance",IF(R51="transform","transform","")))))))&amp;"'", "")&amp;IF(S51&lt;&gt;"",", subType: '"&amp;IF(S51="攻撃","attack",IF(S51="行動","action",IF(S51="不定","variable",IF(S51="対応","reaction",IF(S51="全力","fullpower",IF(S51="付与","enhance",IF(S51="transform","transform","")))))))&amp;"'","")&amp;""&amp;IF(T51&lt;&gt;"",", range: '"&amp;T51&amp;"'","")&amp;IF(V51&lt;&gt;"",", damage: '"&amp;V51&amp;"'","")&amp;IF(X51&lt;&gt;"",", capacity: '"&amp;X51&amp;"'","")&amp;IF(Y51&lt;&gt;"",", growth: "&amp;Y51&amp;"","")&amp;IF(Z51&lt;&gt;"",", cost: '"&amp;Z51&amp;"'","")&amp;", text: '"&amp;SUBSTITUTE(SUBSTITUTE(AE51, CHAR(13), ""),CHAR(10),"\n")&amp;IF(AF51&lt;&gt;"", "', textAdditional: '"&amp;SUBSTITUTE(SUBSTITUTE(AF51, CHAR(13), ""),CHAR(10),"\n"), "")&amp;"', textZh: '"&amp;SUBSTITUTE(SUBSTITUTE(SUBSTITUTE(AG51, CHAR(13), ""),CHAR(10),"\n"),"'","\'")&amp;"', textZhG50: '"&amp;SUBSTITUTE(SUBSTITUTE(SUBSTITUTE(AI51, CHAR(13), ""),CHAR(10),"\n"),"'","\'")&amp;IF(AH51&lt;&gt;"", "', textZhAdditional: '"&amp;SUBSTITUTE(SUBSTITUTE(AH51, CHAR(13), ""),CHAR(10),"\n"), "")&amp;IF(AK51&lt;&gt;"", "', textZhG50Additional: '"&amp;SUBSTITUTE(SUBSTITUTE(AK51, CHAR(13), ""),CHAR(10),"\n"), "")&amp;"', textKo: '"&amp;SUBSTITUTE(SUBSTITUTE(SUBSTITUTE(AM51, CHAR(13), ""),CHAR(10),"\n"),"'","\'")&amp;IF(AM51&lt;&gt;"", "', textKoAdditional: '"&amp;SUBSTITUTE(SUBSTITUTE(AM51, CHAR(13), ""),CHAR(10),"\n"), "")&amp;"', textEn: '"&amp;SUBSTITUTE(SUBSTITUTE(SUBSTITUTE(AM51, CHAR(13), ""),CHAR(10),"\n"),"'","\'")&amp;IF(AN51&lt;&gt;"", "', textEnAdditional: '"&amp;SUBSTITUTE(SUBSTITUTE(AN51, CHAR(13), ""),CHAR(10),"\n"), "")&amp;"'"&amp;IF(AB51="○",", sealable: true","")&amp;IF(AC51="○",", removable: true","")&amp;IF(AA51="○",", lie: true","")&amp;IF(AD51="○",", investable: true","")&amp;"},")</x:f>
        <x:v>'04-tokoyo-o-n-3': {megami: 'tokoyo', name: '跳ね兎', nameEn: 'Rabbit Step', nameZh: '脱兔跃', nameZhG50: '脱兔', nameKo: '날뛰는 토끼', ruby: 'はねうさぎ', rubyEn: '', baseType: 'normal', type: 'attack', range: '0-3', damage: '1/0', text: '【常時】境地-あなたの集中力が2ならば、この《攻撃》は+0/+1となる。\n【攻撃後】ダスト→間合：2', textZh: '若当前距离小于等于3，则：虚→2→距', textZhG50: '若当前距离小于3，则虚（2）→距', textZhG50Additional: '현재 간격이 3 이하라면, 더스트→간격：2', textKo: 'If the current Distance is 3 or less:\nShadow (2)→ Distance', textKoAdditional: 'If the current Distance is 3 or less:\nShadow (2)→ Distance', textEn: 'If the current Distance is 3 or less:\nShadow (2)→ Distance'},</x:v>
      </x:c>
      <x:c r="AU51" s="379" t="str">
        <x:f aca="0">IF($A51&lt;&gt;"", "    /** 《"&amp;$E51&amp;"》 */ export const "&amp;SUBSTITUTE(UPPER(IF(MID($A51, 3, 1)="-", RIGHT($A51,LEN($A51)-3), $A51)), "-", "_")&amp;": TCardId = '"&amp;$A51&amp;"';", "")</x:f>
        <x:v>    /** 《跳ね兎》 */ export const TOKOYO_O_N_3: TCardId = '04-tokoyo-o-n-3';</x:v>
      </x:c>
      <x:c r="AV51" s="380" t="str">
        <x:f aca="0">IF($A52&lt;&gt;"", "    | '"&amp;$A52&amp;"'", "")</x:f>
        <x:v>    | '04-tokoyo-o-n-2'</x:v>
      </x:c>
    </x:row>
    <x:row r="52" ht="53" hidden="0" customHeight="1">
      <x:c r="A52" s="375" t="str">
        <x:v>04-tokoyo-o-n-2</x:v>
      </x:c>
      <x:c r="B52" s="375" t="str">
        <x:v>tokoyo</x:v>
      </x:c>
      <x:c r="C52" s="375"/>
      <x:c r="D52" s="375"/>
      <x:c r="E52" s="375" t="str">
        <x:v>雅打ち</x:v>
      </x:c>
      <x:c r="F52" s="375" t="str">
        <x:v>みやびうち</x:v>
      </x:c>
      <x:c r="G52" s="375" t="str">
        <x:v>风雅击</x:v>
      </x:c>
      <x:c r="H52" s="375" t="str">
        <x:v>雅击</x:v>
      </x:c>
      <x:c r="I52" s="375"/>
      <x:c r="J52" s="375" t="str">
        <x:v>우아한 타격</x:v>
      </x:c>
      <x:c r="K52" s="375" t="str">
        <x:v>Polite Return</x:v>
      </x:c>
      <x:c r="L52" s="375"/>
      <x:c r="M52" s="375" t="str">
        <x:v>通常札</x:v>
      </x:c>
      <x:c r="N52" s="375"/>
      <x:c r="O52" s="375"/>
      <x:c r="P52" s="375"/>
      <x:c r="Q52" s="375"/>
      <x:c r="R52" s="375" t="str">
        <x:v>攻撃</x:v>
      </x:c>
      <x:c r="S52" s="375" t="str">
        <x:v>対応</x:v>
      </x:c>
      <x:c r="T52" s="375" t="str">
        <x:v>2-4</x:v>
      </x:c>
      <x:c r="U52" s="375"/>
      <x:c r="V52" s="376" t="str">
        <x:v>2/1</x:v>
      </x:c>
      <x:c r="W52" s="375"/>
      <x:c r="X52" s="375"/>
      <x:c r="Y52" s="382"/>
      <x:c r="Z52" s="382"/>
      <x:c r="AA52" s="382"/>
      <x:c r="AB52" s="385"/>
      <x:c r="AC52" s="385"/>
      <x:c r="AD52" s="386"/>
      <x:c r="AE52" s="440" t="str">
        <x:v>【攻撃後】境地―あなたの集中力が2ならば、対応した切札でない《攻撃》を打ち消す。</x:v>
      </x:c>
      <x:c r="AF52" s="441"/>
      <x:c r="AG52" s="488" t="str">
        <x:v>【攻击后】境地～若你的集中力为2，则打消被对应的非王牌的《攻击》。</x:v>
      </x:c>
      <x:c r="AH52" s="442"/>
      <x:c r="AI52" s="488" t="str">
        <x:v>【攻击后】境地-若你的集中力等于2，则打消被对应的非王牌的《攻击》。</x:v>
      </x:c>
      <x:c r="AJ52" s="440"/>
      <x:c r="AK52" s="488" t="str">
        <x:v>【공격후】경지-당신의 집중력이 2라면, 대응한 비장패가 아닌 《공격》을 무효화한다.</x:v>
      </x:c>
      <x:c r="AL52" s="440"/>
      <x:c r="AM52" s="488" t="str">
        <x:v>After Attack: Artistic - Cancel the non-Special attack you played this card as a Reaction to if your Vigor is 2.</x:v>
      </x:c>
      <x:c r="AN52" s="440"/>
      <x:c r="AO52" s="440"/>
      <x:c r="AP52" s="440"/>
      <x:c r="AQ52" s="440"/>
      <x:c r="AR52" s="440"/>
      <x:c r="AS52" s="440"/>
      <x:c r="AT52" s="378" t="str">
        <x:f aca="0">IF(A52="", "","'"&amp;A52&amp;"': {megami: '"&amp;B52&amp;"'"&amp;IF(C52&lt;&gt;"",", anotherID: '"&amp;C52&amp;"', replace: '"&amp;D52&amp;"'","")&amp;", name: '"&amp;SUBSTITUTE(E52,"'","\'")&amp;"', nameEn: '"&amp;SUBSTITUTE(K52,"'","\'")&amp;"', nameZh: '"&amp;SUBSTITUTE(G52,"'","\'")&amp;"', nameZhG51: '"&amp;SUBSTITUTE(H52,"'","\'")&amp;"', nameKo: '"&amp;SUBSTITUTE(J52,"'","\'")&amp;"', ruby: '"&amp;F52&amp;"', rubyEn: '"&amp;L52&amp;IF(I52&lt;&gt;"", "', rubyZh: '"&amp;I52, "")&amp;"', baseType: '"&amp;IF(M52="通常札","normal",IF(M52="切札","special",IF(M52="追加札","extra",IF(M52="transform","transform",IF(M52="嵐","storm",IF(M52="兵員","troop",IF(M52="構想","plan",IF(M52="メインパーツ","mainParts",IF(M52="カスタムパーツ","customParts",IF(M52="運命","fate",IF(M52="仮想樹","virtualTree","")))))))))))&amp;"'"&amp;IF(N52="○",", extra: true","")&amp;IF(O52&lt;&gt;"",", extraFrom: '"&amp;O52&amp;"'","")&amp;IF(P52&lt;&gt;"",", exchangableTo: '"&amp;P52&amp;"'","")&amp;IF(Q52="○",", poison: true","")&amp;IF(R52&lt;&gt;"", ", type: '"&amp;IF(R52="攻撃","attack",IF(R52="行動","action",IF(R52="不定","variable",IF(R52="対応","reaction",IF(R52="全力","fullpower",IF(R52="付与","enhance",IF(R52="transform","transform","")))))))&amp;"'", "")&amp;IF(S52&lt;&gt;"",", subType: '"&amp;IF(S52="攻撃","attack",IF(S52="行動","action",IF(S52="不定","variable",IF(S52="対応","reaction",IF(S52="全力","fullpower",IF(S52="付与","enhance",IF(S52="transform","transform","")))))))&amp;"'","")&amp;""&amp;IF(T52&lt;&gt;"",", range: '"&amp;T52&amp;"'","")&amp;IF(V52&lt;&gt;"",", damage: '"&amp;V52&amp;"'","")&amp;IF(X52&lt;&gt;"",", capacity: '"&amp;X52&amp;"'","")&amp;IF(Y52&lt;&gt;"",", growth: "&amp;Y52&amp;"","")&amp;IF(Z52&lt;&gt;"",", cost: '"&amp;Z52&amp;"'","")&amp;", text: '"&amp;SUBSTITUTE(SUBSTITUTE(AE52, CHAR(13), ""),CHAR(10),"\n")&amp;IF(AF52&lt;&gt;"", "', textAdditional: '"&amp;SUBSTITUTE(SUBSTITUTE(AF52, CHAR(13), ""),CHAR(10),"\n"), "")&amp;"', textZh: '"&amp;SUBSTITUTE(SUBSTITUTE(SUBSTITUTE(AG52, CHAR(13), ""),CHAR(10),"\n"),"'","\'")&amp;"', textZhG51: '"&amp;SUBSTITUTE(SUBSTITUTE(SUBSTITUTE(AI52, CHAR(13), ""),CHAR(10),"\n"),"'","\'")&amp;IF(AH52&lt;&gt;"", "', textZhAdditional: '"&amp;SUBSTITUTE(SUBSTITUTE(AH52, CHAR(13), ""),CHAR(10),"\n"), "")&amp;IF(AK52&lt;&gt;"", "', textZhG51Additional: '"&amp;SUBSTITUTE(SUBSTITUTE(AK52, CHAR(13), ""),CHAR(10),"\n"), "")&amp;"', textKo: '"&amp;SUBSTITUTE(SUBSTITUTE(SUBSTITUTE(AM52, CHAR(13), ""),CHAR(10),"\n"),"'","\'")&amp;IF(AM52&lt;&gt;"", "', textKoAdditional: '"&amp;SUBSTITUTE(SUBSTITUTE(AM52, CHAR(13), ""),CHAR(10),"\n"), "")&amp;"', textEn: '"&amp;SUBSTITUTE(SUBSTITUTE(SUBSTITUTE(AM52, CHAR(13), ""),CHAR(10),"\n"),"'","\'")&amp;IF(AN52&lt;&gt;"", "', textEnAdditional: '"&amp;SUBSTITUTE(SUBSTITUTE(AN52, CHAR(13), ""),CHAR(10),"\n"), "")&amp;"'"&amp;IF(AB52="○",", sealable: true","")&amp;IF(AC52="○",", removable: true","")&amp;IF(AA52="○",", lie: true","")&amp;IF(AD52="○",", investable: true","")&amp;"},")</x:f>
        <x:v>'04-tokoyo-o-n-2': {megami: 'tokoyo', name: '雅打ち', nameEn: 'Polite Return', nameZh: '风雅击', nameZhG51: '雅击', nameKo: '우아한 타격', ruby: 'みやびうち', rubyEn: '', baseType: 'normal', type: 'attack', subType: 'reaction', range: '2-4', damage: '2/1', text: '【攻撃後】境地―あなたの集中力が2ならば、対応した切札でない《攻撃》を打ち消す。', textZh: '【攻击后】境地～若你的集中力为2，则打消被对应的非王牌的《攻击》。', textZhG51: '【攻击后】境地-若你的集中力等于2，则打消被对应的非王牌的《攻击》。', textZhG51Additional: '【공격후】경지-당신의 집중력이 2라면, 대응한 비장패가 아닌 《공격》을 무효화한다.', textKo: 'After Attack: Artistic - Cancel the non-Special attack you played this card as a Reaction to if your Vigor is 2.', textKoAdditional: 'After Attack: Artistic - Cancel the non-Special attack you played this card as a Reaction to if your Vigor is 2.', textEn: 'After Attack: Artistic - Cancel the non-Special attack you played this card as a Reaction to if your Vigor is 2.'},</x:v>
      </x:c>
      <x:c r="AU52" s="379" t="str">
        <x:f aca="0">IF($A52&lt;&gt;"", "    /** 《"&amp;$E52&amp;"》 */ export const "&amp;SUBSTITUTE(UPPER(IF(MID($A52, 3, 1)="-", RIGHT($A52,LEN($A52)-3), $A52)), "-", "_")&amp;": TCardId = '"&amp;$A52&amp;"';", "")</x:f>
        <x:v>    /** 《雅打ち》 */ export const TOKOYO_O_N_2: TCardId = '04-tokoyo-o-n-2';</x:v>
      </x:c>
      <x:c r="AV52" s="380" t="str">
        <x:f aca="0">IF($A53&lt;&gt;"", "    | '"&amp;$A53&amp;"'", "")</x:f>
        <x:v>    | '04-tokoyo-o-n-4'</x:v>
      </x:c>
    </x:row>
    <x:row r="53" ht="53" hidden="0" customHeight="1">
      <x:c r="A53" s="375" t="str">
        <x:v>04-tokoyo-o-n-4</x:v>
      </x:c>
      <x:c r="B53" s="375" t="str">
        <x:v>tokoyo</x:v>
      </x:c>
      <x:c r="C53" s="375"/>
      <x:c r="D53" s="375"/>
      <x:c r="E53" s="375" t="str">
        <x:v>詩舞</x:v>
      </x:c>
      <x:c r="F53" s="375" t="str">
        <x:v>しぶ</x:v>
      </x:c>
      <x:c r="G53" s="375" t="str">
        <x:v>吟诗舞</x:v>
      </x:c>
      <x:c r="H53" s="375" t="str">
        <x:v>诗舞</x:v>
      </x:c>
      <x:c r="I53" s="375"/>
      <x:c r="J53" s="375" t="str">
        <x:v>시의 춤</x:v>
      </x:c>
      <x:c r="K53" s="375" t="str">
        <x:v>Song and Dance</x:v>
      </x:c>
      <x:c r="L53" s="375"/>
      <x:c r="M53" s="382" t="str">
        <x:v>通常札</x:v>
      </x:c>
      <x:c r="N53" s="375"/>
      <x:c r="O53" s="375"/>
      <x:c r="P53" s="375"/>
      <x:c r="Q53" s="375"/>
      <x:c r="R53" s="375" t="str">
        <x:v>行動</x:v>
      </x:c>
      <x:c r="S53" s="375" t="str">
        <x:v>対応</x:v>
      </x:c>
      <x:c r="T53" s="375"/>
      <x:c r="U53" s="375"/>
      <x:c r="V53" s="376"/>
      <x:c r="W53" s="375"/>
      <x:c r="X53" s="375"/>
      <x:c r="Y53" s="382"/>
      <x:c r="Z53" s="382"/>
      <x:c r="AA53" s="382"/>
      <x:c r="AB53" s="385"/>
      <x:c r="AC53" s="385"/>
      <x:c r="AD53" s="386"/>
      <x:c r="AE53" s="441" t="str">
        <x:v>集中力を1得て、以下から1つを選ぶ。
・自フレア→自オーラ：1
・自オーラ→間合：1</x:v>
      </x:c>
      <x:c r="AF53" s="441"/>
      <x:c r="AG53" s="488" t="str">
        <x:v>获得1点集中力，选择一项：
●自气→1→自装
●自装→1→距</x:v>
      </x:c>
      <x:c r="AH53" s="442"/>
      <x:c r="AI53" s="488" t="str">
        <x:v>获得1点集中力，选择一项：
1.自气（1）→自装；
2.自装（1）→距。</x:v>
      </x:c>
      <x:c r="AJ53" s="440"/>
      <x:c r="AK53" s="488" t="str">
        <x:v>집중력을 1 얻고, 이하에서 하나를 고른다.
 ・자신 플레어→자신 오라：1
 ・자신 오라→간격：1</x:v>
      </x:c>
      <x:c r="AL53" s="440"/>
      <x:c r="AM53" s="488" t="str">
        <x:v>Gain 1 Vigor. Choose one:
・Your Flare (1)→ Your Aura
・Your Aura (1)→ Distance</x:v>
      </x:c>
      <x:c r="AN53" s="440"/>
      <x:c r="AO53" s="440"/>
      <x:c r="AP53" s="440"/>
      <x:c r="AQ53" s="440"/>
      <x:c r="AR53" s="440"/>
      <x:c r="AS53" s="440"/>
      <x:c r="AT53" s="378" t="str">
        <x:f aca="0">IF(A53="", "","'"&amp;A53&amp;"': {megami: '"&amp;B53&amp;"'"&amp;IF(C53&lt;&gt;"",", anotherID: '"&amp;C53&amp;"', replace: '"&amp;D53&amp;"'","")&amp;", name: '"&amp;SUBSTITUTE(E53,"'","\'")&amp;"', nameEn: '"&amp;SUBSTITUTE(K53,"'","\'")&amp;"', nameZh: '"&amp;SUBSTITUTE(G53,"'","\'")&amp;"', nameZhG52: '"&amp;SUBSTITUTE(H53,"'","\'")&amp;"', nameKo: '"&amp;SUBSTITUTE(J53,"'","\'")&amp;"', ruby: '"&amp;F53&amp;"', rubyEn: '"&amp;L53&amp;IF(I53&lt;&gt;"", "', rubyZh: '"&amp;I53, "")&amp;"', baseType: '"&amp;IF(M53="通常札","normal",IF(M53="切札","special",IF(M53="追加札","extra",IF(M53="transform","transform",IF(M53="嵐","storm",IF(M53="兵員","troop",IF(M53="構想","plan",IF(M53="メインパーツ","mainParts",IF(M53="カスタムパーツ","customParts",IF(M53="運命","fate",IF(M53="仮想樹","virtualTree","")))))))))))&amp;"'"&amp;IF(N53="○",", extra: true","")&amp;IF(O53&lt;&gt;"",", extraFrom: '"&amp;O53&amp;"'","")&amp;IF(P53&lt;&gt;"",", exchangableTo: '"&amp;P53&amp;"'","")&amp;IF(Q53="○",", poison: true","")&amp;IF(R53&lt;&gt;"", ", type: '"&amp;IF(R53="攻撃","attack",IF(R53="行動","action",IF(R53="不定","variable",IF(R53="対応","reaction",IF(R53="全力","fullpower",IF(R53="付与","enhance",IF(R53="transform","transform","")))))))&amp;"'", "")&amp;IF(S53&lt;&gt;"",", subType: '"&amp;IF(S53="攻撃","attack",IF(S53="行動","action",IF(S53="不定","variable",IF(S53="対応","reaction",IF(S53="全力","fullpower",IF(S53="付与","enhance",IF(S53="transform","transform","")))))))&amp;"'","")&amp;""&amp;IF(T53&lt;&gt;"",", range: '"&amp;T53&amp;"'","")&amp;IF(V53&lt;&gt;"",", damage: '"&amp;V53&amp;"'","")&amp;IF(X53&lt;&gt;"",", capacity: '"&amp;X53&amp;"'","")&amp;IF(Y53&lt;&gt;"",", growth: "&amp;Y53&amp;"","")&amp;IF(Z53&lt;&gt;"",", cost: '"&amp;Z53&amp;"'","")&amp;", text: '"&amp;SUBSTITUTE(SUBSTITUTE(AE53, CHAR(13), ""),CHAR(10),"\n")&amp;IF(AF53&lt;&gt;"", "', textAdditional: '"&amp;SUBSTITUTE(SUBSTITUTE(AF53, CHAR(13), ""),CHAR(10),"\n"), "")&amp;"', textZh: '"&amp;SUBSTITUTE(SUBSTITUTE(SUBSTITUTE(AG53, CHAR(13), ""),CHAR(10),"\n"),"'","\'")&amp;"', textZhG52: '"&amp;SUBSTITUTE(SUBSTITUTE(SUBSTITUTE(AI53, CHAR(13), ""),CHAR(10),"\n"),"'","\'")&amp;IF(AH53&lt;&gt;"", "', textZhAdditional: '"&amp;SUBSTITUTE(SUBSTITUTE(AH53, CHAR(13), ""),CHAR(10),"\n"), "")&amp;IF(AK53&lt;&gt;"", "', textZhG52Additional: '"&amp;SUBSTITUTE(SUBSTITUTE(AK53, CHAR(13), ""),CHAR(10),"\n"), "")&amp;"', textKo: '"&amp;SUBSTITUTE(SUBSTITUTE(SUBSTITUTE(AM53, CHAR(13), ""),CHAR(10),"\n"),"'","\'")&amp;IF(AM53&lt;&gt;"", "', textKoAdditional: '"&amp;SUBSTITUTE(SUBSTITUTE(AM53, CHAR(13), ""),CHAR(10),"\n"), "")&amp;"', textEn: '"&amp;SUBSTITUTE(SUBSTITUTE(SUBSTITUTE(AM53, CHAR(13), ""),CHAR(10),"\n"),"'","\'")&amp;IF(AN53&lt;&gt;"", "', textEnAdditional: '"&amp;SUBSTITUTE(SUBSTITUTE(AN53, CHAR(13), ""),CHAR(10),"\n"), "")&amp;"'"&amp;IF(AB53="○",", sealable: true","")&amp;IF(AC53="○",", removable: true","")&amp;IF(AA53="○",", lie: true","")&amp;IF(AD53="○",", investable: true","")&amp;"},")</x:f>
        <x:v>'04-tokoyo-o-n-4': {megami: 'tokoyo', name: '詩舞', nameEn: 'Song and Dance', nameZh: '吟诗舞', nameZhG52: '诗舞', nameKo: '시의 춤', ruby: 'しぶ', rubyEn: '', baseType: 'normal', type: 'action', subType: 'reaction', text: '集中力を1得て、以下から1つを選ぶ。\n・自フレア→自オーラ：1\n・自オーラ→間合：1', textZh: '获得1点集中力，选择一项：\n●自气→1→自装\n●自装→1→距', textZhG52: '获得1点集中力，选择一项：\n1.自气（1）→自装；\n2.自装（1）→距。', textZhG52Additional: '집중력을 1 얻고, 이하에서 하나를 고른다.\n ・자신 플레어→자신 오라：1\n ・자신 오라→간격：1', textKo: 'Gain 1 Vigor. Choose one:\n・Your Flare (1)→ Your Aura\n・Your Aura (1)→ Distance', textKoAdditional: 'Gain 1 Vigor. Choose one:\n・Your Flare (1)→ Your Aura\n・Your Aura (1)→ Distance', textEn: 'Gain 1 Vigor. Choose one:\n・Your Flare (1)→ Your Aura\n・Your Aura (1)→ Distance'},</x:v>
      </x:c>
      <x:c r="AU53" s="379" t="str">
        <x:f aca="0">IF($A53&lt;&gt;"", "    /** 《"&amp;$E53&amp;"》 */ export const "&amp;SUBSTITUTE(UPPER(IF(MID($A53, 3, 1)="-", RIGHT($A53,LEN($A53)-3), $A53)), "-", "_")&amp;": TCardId = '"&amp;$A53&amp;"';", "")</x:f>
        <x:v>    /** 《詩舞》 */ export const TOKOYO_O_N_4: TCardId = '04-tokoyo-o-n-4';</x:v>
      </x:c>
      <x:c r="AV53" s="380" t="str">
        <x:f aca="0">IF($A54&lt;&gt;"", "    | '"&amp;$A54&amp;"'", "")</x:f>
        <x:v>    | '04-tokoyo-o-n-5'</x:v>
      </x:c>
    </x:row>
    <x:row r="54" ht="83" hidden="0" customHeight="1">
      <x:c r="A54" s="375" t="str">
        <x:v>04-tokoyo-o-n-5</x:v>
      </x:c>
      <x:c r="B54" s="375" t="str">
        <x:v>tokoyo</x:v>
      </x:c>
      <x:c r="C54" s="375"/>
      <x:c r="D54" s="375"/>
      <x:c r="E54" s="375" t="str">
        <x:v>要返し</x:v>
      </x:c>
      <x:c r="F54" s="375" t="str">
        <x:v>かなめがえし</x:v>
      </x:c>
      <x:c r="G54" s="375" t="str">
        <x:v>扇回旋</x:v>
      </x:c>
      <x:c r="H54" s="375" t="str">
        <x:v>扇回旋</x:v>
      </x:c>
      <x:c r="I54" s="375"/>
      <x:c r="J54" s="375" t="str">
        <x:v>부채 뒤집기</x:v>
      </x:c>
      <x:c r="K54" s="375" t="str">
        <x:v>Break Point</x:v>
      </x:c>
      <x:c r="L54" s="375"/>
      <x:c r="M54" s="382" t="str">
        <x:v>通常札</x:v>
      </x:c>
      <x:c r="N54" s="375"/>
      <x:c r="O54" s="375"/>
      <x:c r="P54" s="375"/>
      <x:c r="Q54" s="375"/>
      <x:c r="R54" s="375" t="str">
        <x:v>行動</x:v>
      </x:c>
      <x:c r="S54" s="375" t="str">
        <x:v>全力</x:v>
      </x:c>
      <x:c r="T54" s="375"/>
      <x:c r="U54" s="375"/>
      <x:c r="V54" s="376"/>
      <x:c r="W54" s="375"/>
      <x:c r="X54" s="375"/>
      <x:c r="Y54" s="382"/>
      <x:c r="Z54" s="382"/>
      <x:c r="AA54" s="382"/>
      <x:c r="AB54" s="385"/>
      <x:c r="AC54" s="385"/>
      <x:c r="AD54" s="386"/>
      <x:c r="AE54" s="440" t="str">
        <x:v>捨て札か伏せ札からカードを2枚まで選ぶ。それらのカードを好きな順で山札の底に置く。
ダスト→自オーラ：2</x:v>
      </x:c>
      <x:c r="AF54" s="441"/>
      <x:c r="AG54" s="488" t="str">
        <x:v>从你的弃牌区和盖牌区中选择至多2张牌，将它们以任意顺序置于你的牌库底。 
虚→2→自装</x:v>
      </x:c>
      <x:c r="AH54" s="442"/>
      <x:c r="AI54" s="488" t="str">
        <x:v>从你的弃牌区和盖牌区中选择2张牌，将它们以任意顺序置于你的牌库底。 
虚（2）→自装</x:v>
      </x:c>
      <x:c r="AJ54" s="440"/>
      <x:c r="AK54" s="488" t="str">
        <x:v>버림패나 덮임패에서 카드를 2장까지 고른다. 이 카드들을 원하는 순으로 패산의 밑에 둔다. 
 더스트→자신 오라：2</x:v>
      </x:c>
      <x:c r="AL54" s="440"/>
      <x:c r="AM54" s="488" t="str">
        <x:v>Choose up to two cards in your discard or played piles. Put those cards on the bottom of your deck in any order.
Shadow (2)→ Your Aura.</x:v>
      </x:c>
      <x:c r="AN54" s="440"/>
      <x:c r="AO54" s="440"/>
      <x:c r="AP54" s="440"/>
      <x:c r="AQ54" s="440"/>
      <x:c r="AR54" s="440"/>
      <x:c r="AS54" s="440"/>
      <x:c r="AT54" s="378" t="str">
        <x:f aca="0">IF(A54="", "","'"&amp;A54&amp;"': {megami: '"&amp;B54&amp;"'"&amp;IF(C54&lt;&gt;"",", anotherID: '"&amp;C54&amp;"', replace: '"&amp;D54&amp;"'","")&amp;", name: '"&amp;SUBSTITUTE(E54,"'","\'")&amp;"', nameEn: '"&amp;SUBSTITUTE(K54,"'","\'")&amp;"', nameZh: '"&amp;SUBSTITUTE(G54,"'","\'")&amp;"', nameZhG53: '"&amp;SUBSTITUTE(H54,"'","\'")&amp;"', nameKo: '"&amp;SUBSTITUTE(J54,"'","\'")&amp;"', ruby: '"&amp;F54&amp;"', rubyEn: '"&amp;L54&amp;IF(I54&lt;&gt;"", "', rubyZh: '"&amp;I54, "")&amp;"', baseType: '"&amp;IF(M54="通常札","normal",IF(M54="切札","special",IF(M54="追加札","extra",IF(M54="transform","transform",IF(M54="嵐","storm",IF(M54="兵員","troop",IF(M54="構想","plan",IF(M54="メインパーツ","mainParts",IF(M54="カスタムパーツ","customParts",IF(M54="運命","fate",IF(M54="仮想樹","virtualTree","")))))))))))&amp;"'"&amp;IF(N54="○",", extra: true","")&amp;IF(O54&lt;&gt;"",", extraFrom: '"&amp;O54&amp;"'","")&amp;IF(P54&lt;&gt;"",", exchangableTo: '"&amp;P54&amp;"'","")&amp;IF(Q54="○",", poison: true","")&amp;IF(R54&lt;&gt;"", ", type: '"&amp;IF(R54="攻撃","attack",IF(R54="行動","action",IF(R54="不定","variable",IF(R54="対応","reaction",IF(R54="全力","fullpower",IF(R54="付与","enhance",IF(R54="transform","transform","")))))))&amp;"'", "")&amp;IF(S54&lt;&gt;"",", subType: '"&amp;IF(S54="攻撃","attack",IF(S54="行動","action",IF(S54="不定","variable",IF(S54="対応","reaction",IF(S54="全力","fullpower",IF(S54="付与","enhance",IF(S54="transform","transform","")))))))&amp;"'","")&amp;""&amp;IF(T54&lt;&gt;"",", range: '"&amp;T54&amp;"'","")&amp;IF(V54&lt;&gt;"",", damage: '"&amp;V54&amp;"'","")&amp;IF(X54&lt;&gt;"",", capacity: '"&amp;X54&amp;"'","")&amp;IF(Y54&lt;&gt;"",", growth: "&amp;Y54&amp;"","")&amp;IF(Z54&lt;&gt;"",", cost: '"&amp;Z54&amp;"'","")&amp;", text: '"&amp;SUBSTITUTE(SUBSTITUTE(AE54, CHAR(13), ""),CHAR(10),"\n")&amp;IF(AF54&lt;&gt;"", "', textAdditional: '"&amp;SUBSTITUTE(SUBSTITUTE(AF54, CHAR(13), ""),CHAR(10),"\n"), "")&amp;"', textZh: '"&amp;SUBSTITUTE(SUBSTITUTE(SUBSTITUTE(AG54, CHAR(13), ""),CHAR(10),"\n"),"'","\'")&amp;"', textZhG53: '"&amp;SUBSTITUTE(SUBSTITUTE(SUBSTITUTE(AI54, CHAR(13), ""),CHAR(10),"\n"),"'","\'")&amp;IF(AH54&lt;&gt;"", "', textZhAdditional: '"&amp;SUBSTITUTE(SUBSTITUTE(AH54, CHAR(13), ""),CHAR(10),"\n"), "")&amp;IF(AK54&lt;&gt;"", "', textZhG53Additional: '"&amp;SUBSTITUTE(SUBSTITUTE(AK54, CHAR(13), ""),CHAR(10),"\n"), "")&amp;"', textKo: '"&amp;SUBSTITUTE(SUBSTITUTE(SUBSTITUTE(AM54, CHAR(13), ""),CHAR(10),"\n"),"'","\'")&amp;IF(AM54&lt;&gt;"", "', textKoAdditional: '"&amp;SUBSTITUTE(SUBSTITUTE(AM54, CHAR(13), ""),CHAR(10),"\n"), "")&amp;"', textEn: '"&amp;SUBSTITUTE(SUBSTITUTE(SUBSTITUTE(AM54, CHAR(13), ""),CHAR(10),"\n"),"'","\'")&amp;IF(AN54&lt;&gt;"", "', textEnAdditional: '"&amp;SUBSTITUTE(SUBSTITUTE(AN54, CHAR(13), ""),CHAR(10),"\n"), "")&amp;"'"&amp;IF(AB54="○",", sealable: true","")&amp;IF(AC54="○",", removable: true","")&amp;IF(AA54="○",", lie: true","")&amp;IF(AD54="○",", investable: true","")&amp;"},")</x:f>
        <x:v>'04-tokoyo-o-n-5': {megami: 'tokoyo', name: '要返し', nameEn: 'Break Point', nameZh: '扇回旋', nameZhG53: '扇回旋', nameKo: '부채 뒤집기', ruby: 'かなめがえし', rubyEn: '', baseType: 'normal', type: 'action', subType: 'fullpower', text: '捨て札か伏せ札からカードを2枚まで選ぶ。それらのカードを好きな順で山札の底に置く。\nダスト→自オーラ：2', textZh: '从你的弃牌区和盖牌区中选择至多2张牌，将它们以任意顺序置于你的牌库底。 \n虚→2→自装', textZhG53: '从你的弃牌区和盖牌区中选择2张牌，将它们以任意顺序置于你的牌库底。 \n虚（2）→自装', textZhG53Additional: '버림패나 덮임패에서 카드를 2장까지 고른다. 이 카드들을 원하는 순으로 패산의 밑에 둔다. \n 더스트→자신 오라：2', textKo: 'Choose up to two cards in your discard or played piles. Put those cards on the bottom of your deck in any order.\n\nShadow (2)→ Your Aura.', textKoAdditional: 'Choose up to two cards in your discard or played piles. Put those cards on the bottom of your deck in any order.\n\nShadow (2)→ Your Aura.', textEn: 'Choose up to two cards in your discard or played piles. Put those cards on the bottom of your deck in any order.\n\nShadow (2)→ Your Aura.'},</x:v>
      </x:c>
      <x:c r="AU54" s="379" t="str">
        <x:f aca="0">IF($A54&lt;&gt;"", "    /** 《"&amp;$E54&amp;"》 */ export const "&amp;SUBSTITUTE(UPPER(IF(MID($A54, 3, 1)="-", RIGHT($A54,LEN($A54)-3), $A54)), "-", "_")&amp;": TCardId = '"&amp;$A54&amp;"';", "")</x:f>
        <x:v>    /** 《要返し》 */ export const TOKOYO_O_N_5: TCardId = '04-tokoyo-o-n-5';</x:v>
      </x:c>
      <x:c r="AV54" s="380" t="str">
        <x:f aca="0">IF($A55&lt;&gt;"", "    | '"&amp;$A55&amp;"'", "")</x:f>
        <x:v>    | '04-tokoyo-o-n-6'</x:v>
      </x:c>
    </x:row>
    <x:row r="55" ht="83" hidden="0" customHeight="1">
      <x:c r="A55" s="375" t="str">
        <x:v>04-tokoyo-o-n-6</x:v>
      </x:c>
      <x:c r="B55" s="375" t="str">
        <x:v>tokoyo</x:v>
      </x:c>
      <x:c r="C55" s="375"/>
      <x:c r="D55" s="375"/>
      <x:c r="E55" s="375" t="str">
        <x:v>風舞台</x:v>
      </x:c>
      <x:c r="F55" s="375" t="str">
        <x:v>かぜぶたい</x:v>
      </x:c>
      <x:c r="G55" s="375" t="str">
        <x:v>风舞台</x:v>
      </x:c>
      <x:c r="H55" s="375" t="str">
        <x:v>风舞台</x:v>
      </x:c>
      <x:c r="I55" s="375"/>
      <x:c r="J55" s="375" t="str">
        <x:v>바람의 무대</x:v>
      </x:c>
      <x:c r="K55" s="375" t="str">
        <x:v>Windy Stage</x:v>
      </x:c>
      <x:c r="L55" s="375"/>
      <x:c r="M55" s="382" t="str">
        <x:v>通常札</x:v>
      </x:c>
      <x:c r="N55" s="375"/>
      <x:c r="O55" s="375"/>
      <x:c r="P55" s="375"/>
      <x:c r="Q55" s="375"/>
      <x:c r="R55" s="375" t="str">
        <x:v>付与</x:v>
      </x:c>
      <x:c r="S55" s="375"/>
      <x:c r="T55" s="375"/>
      <x:c r="U55" s="375"/>
      <x:c r="V55" s="376"/>
      <x:c r="W55" s="375"/>
      <x:c r="X55" s="375" t="n">
        <x:v>2</x:v>
      </x:c>
      <x:c r="Y55" s="382"/>
      <x:c r="Z55" s="382"/>
      <x:c r="AA55" s="382"/>
      <x:c r="AB55" s="385"/>
      <x:c r="AC55" s="385"/>
      <x:c r="AD55" s="386"/>
      <x:c r="AE55" s="440" t="str">
        <x:v>【展開時】間合→自オーラ：2
【破棄時】自オーラ→間合：2</x:v>
      </x:c>
      <x:c r="AF55" s="441"/>
      <x:c r="AG55" s="488" t="str">
        <x:v>【展开时】距→2→自装 
【破弃时】自装→2→距</x:v>
      </x:c>
      <x:c r="AH55" s="442"/>
      <x:c r="AI55" s="488" t="str">
        <x:v>【展开时】距（2）→自装 
【破弃时】自装（2）→距</x:v>
      </x:c>
      <x:c r="AJ55" s="440"/>
      <x:c r="AK55" s="488" t="str">
        <x:v>【전개시】간격→자신 오라：2 
 【파기시】자신 오라→간격：2</x:v>
      </x:c>
      <x:c r="AL55" s="440"/>
      <x:c r="AM55" s="488" t="str">
        <x:v>Initialize:
Distance (2)→ Your Aura
Disenchant:
Your Aura (2)→ Distance</x:v>
      </x:c>
      <x:c r="AN55" s="440"/>
      <x:c r="AO55" s="440"/>
      <x:c r="AP55" s="440"/>
      <x:c r="AQ55" s="440"/>
      <x:c r="AR55" s="440"/>
      <x:c r="AS55" s="440"/>
      <x:c r="AT55" s="378" t="str">
        <x:f aca="0">IF(A55="", "","'"&amp;A55&amp;"': {megami: '"&amp;B55&amp;"'"&amp;IF(C55&lt;&gt;"",", anotherID: '"&amp;C55&amp;"', replace: '"&amp;D55&amp;"'","")&amp;", name: '"&amp;SUBSTITUTE(E55,"'","\'")&amp;"', nameEn: '"&amp;SUBSTITUTE(K55,"'","\'")&amp;"', nameZh: '"&amp;SUBSTITUTE(G55,"'","\'")&amp;"', nameZhG54: '"&amp;SUBSTITUTE(H55,"'","\'")&amp;"', nameKo: '"&amp;SUBSTITUTE(J55,"'","\'")&amp;"', ruby: '"&amp;F55&amp;"', rubyEn: '"&amp;L55&amp;IF(I55&lt;&gt;"", "', rubyZh: '"&amp;I55, "")&amp;"', baseType: '"&amp;IF(M55="通常札","normal",IF(M55="切札","special",IF(M55="追加札","extra",IF(M55="transform","transform",IF(M55="嵐","storm",IF(M55="兵員","troop",IF(M55="構想","plan",IF(M55="メインパーツ","mainParts",IF(M55="カスタムパーツ","customParts",IF(M55="運命","fate",IF(M55="仮想樹","virtualTree","")))))))))))&amp;"'"&amp;IF(N55="○",", extra: true","")&amp;IF(O55&lt;&gt;"",", extraFrom: '"&amp;O55&amp;"'","")&amp;IF(P55&lt;&gt;"",", exchangableTo: '"&amp;P55&amp;"'","")&amp;IF(Q55="○",", poison: true","")&amp;IF(R55&lt;&gt;"", ", type: '"&amp;IF(R55="攻撃","attack",IF(R55="行動","action",IF(R55="不定","variable",IF(R55="対応","reaction",IF(R55="全力","fullpower",IF(R55="付与","enhance",IF(R55="transform","transform","")))))))&amp;"'", "")&amp;IF(S55&lt;&gt;"",", subType: '"&amp;IF(S55="攻撃","attack",IF(S55="行動","action",IF(S55="不定","variable",IF(S55="対応","reaction",IF(S55="全力","fullpower",IF(S55="付与","enhance",IF(S55="transform","transform","")))))))&amp;"'","")&amp;""&amp;IF(T55&lt;&gt;"",", range: '"&amp;T55&amp;"'","")&amp;IF(V55&lt;&gt;"",", damage: '"&amp;V55&amp;"'","")&amp;IF(X55&lt;&gt;"",", capacity: '"&amp;X55&amp;"'","")&amp;IF(Y55&lt;&gt;"",", growth: "&amp;Y55&amp;"","")&amp;IF(Z55&lt;&gt;"",", cost: '"&amp;Z55&amp;"'","")&amp;", text: '"&amp;SUBSTITUTE(SUBSTITUTE(AE55, CHAR(13), ""),CHAR(10),"\n")&amp;IF(AF55&lt;&gt;"", "', textAdditional: '"&amp;SUBSTITUTE(SUBSTITUTE(AF55, CHAR(13), ""),CHAR(10),"\n"), "")&amp;"', textZh: '"&amp;SUBSTITUTE(SUBSTITUTE(SUBSTITUTE(AG55, CHAR(13), ""),CHAR(10),"\n"),"'","\'")&amp;"', textZhG54: '"&amp;SUBSTITUTE(SUBSTITUTE(SUBSTITUTE(AI55, CHAR(13), ""),CHAR(10),"\n"),"'","\'")&amp;IF(AH55&lt;&gt;"", "', textZhAdditional: '"&amp;SUBSTITUTE(SUBSTITUTE(AH55, CHAR(13), ""),CHAR(10),"\n"), "")&amp;IF(AK55&lt;&gt;"", "', textZhG54Additional: '"&amp;SUBSTITUTE(SUBSTITUTE(AK55, CHAR(13), ""),CHAR(10),"\n"), "")&amp;"', textKo: '"&amp;SUBSTITUTE(SUBSTITUTE(SUBSTITUTE(AM55, CHAR(13), ""),CHAR(10),"\n"),"'","\'")&amp;IF(AM55&lt;&gt;"", "', textKoAdditional: '"&amp;SUBSTITUTE(SUBSTITUTE(AM55, CHAR(13), ""),CHAR(10),"\n"), "")&amp;"', textEn: '"&amp;SUBSTITUTE(SUBSTITUTE(SUBSTITUTE(AM55, CHAR(13), ""),CHAR(10),"\n"),"'","\'")&amp;IF(AN55&lt;&gt;"", "', textEnAdditional: '"&amp;SUBSTITUTE(SUBSTITUTE(AN55, CHAR(13), ""),CHAR(10),"\n"), "")&amp;"'"&amp;IF(AB55="○",", sealable: true","")&amp;IF(AC55="○",", removable: true","")&amp;IF(AA55="○",", lie: true","")&amp;IF(AD55="○",", investable: true","")&amp;"},")</x:f>
        <x:v>'04-tokoyo-o-n-6': {megami: 'tokoyo', name: '風舞台', nameEn: 'Windy Stage', nameZh: '风舞台', nameZhG54: '风舞台', nameKo: '바람의 무대', ruby: 'かぜぶたい', rubyEn: '', baseType: 'normal', type: 'enhance', capacity: '2', text: '【展開時】間合→自オーラ：2\n【破棄時】自オーラ→間合：2', textZh: '【展开时】距→2→自装 \n【破弃时】自装→2→距', textZhG54: '【展开时】距（2）→自装 \n【破弃时】自装（2）→距', textZhG54Additional: '【전개시】간격→자신 오라：2 \n 【파기시】자신 오라→간격：2', textKo: 'Initialize:\nDistance (2)→ Your Aura\n\nDisenchant:\nYour Aura (2)→ Distance', textKoAdditional: 'Initialize:\nDistance (2)→ Your Aura\n\nDisenchant:\nYour Aura (2)→ Distance', textEn: 'Initialize:\nDistance (2)→ Your Aura\n\nDisenchant:\nYour Aura (2)→ Distance'},</x:v>
      </x:c>
      <x:c r="AU55" s="379" t="str">
        <x:f aca="0">IF($A55&lt;&gt;"", "    /** 《"&amp;$E55&amp;"》 */ export const "&amp;SUBSTITUTE(UPPER(IF(MID($A55, 3, 1)="-", RIGHT($A55,LEN($A55)-3), $A55)), "-", "_")&amp;": TCardId = '"&amp;$A55&amp;"';", "")</x:f>
        <x:v>    /** 《風舞台》 */ export const TOKOYO_O_N_6: TCardId = '04-tokoyo-o-n-6';</x:v>
      </x:c>
      <x:c r="AV55" s="380" t="str">
        <x:f aca="0">IF($A56&lt;&gt;"", "    | '"&amp;$A56&amp;"'", "")</x:f>
        <x:v>    | '04-tokoyo-o-n-7'</x:v>
      </x:c>
    </x:row>
    <x:row r="56" ht="83" hidden="0" customHeight="1">
      <x:c r="A56" s="375" t="str">
        <x:v>04-tokoyo-o-n-7</x:v>
      </x:c>
      <x:c r="B56" s="375" t="str">
        <x:v>tokoyo</x:v>
      </x:c>
      <x:c r="C56" s="375"/>
      <x:c r="D56" s="375"/>
      <x:c r="E56" s="375" t="str">
        <x:v>晴舞台</x:v>
      </x:c>
      <x:c r="F56" s="375" t="str">
        <x:v>はれぶたい</x:v>
      </x:c>
      <x:c r="G56" s="375" t="str">
        <x:v>晴舞台</x:v>
      </x:c>
      <x:c r="H56" s="375" t="str">
        <x:v>晴舞台</x:v>
      </x:c>
      <x:c r="I56" s="375"/>
      <x:c r="J56" s="375" t="str">
        <x:v>맑음의 무대</x:v>
      </x:c>
      <x:c r="K56" s="375" t="str">
        <x:v>Sunny Stage</x:v>
      </x:c>
      <x:c r="L56" s="375"/>
      <x:c r="M56" s="375" t="str">
        <x:v>通常札</x:v>
      </x:c>
      <x:c r="N56" s="375"/>
      <x:c r="O56" s="375"/>
      <x:c r="P56" s="375"/>
      <x:c r="Q56" s="375"/>
      <x:c r="R56" s="375" t="str">
        <x:v>付与</x:v>
      </x:c>
      <x:c r="S56" s="375"/>
      <x:c r="T56" s="375"/>
      <x:c r="U56" s="383"/>
      <x:c r="V56" s="382"/>
      <x:c r="W56" s="383"/>
      <x:c r="X56" s="382" t="n">
        <x:v>2</x:v>
      </x:c>
      <x:c r="Y56" s="382"/>
      <x:c r="Z56" s="382"/>
      <x:c r="AA56" s="382"/>
      <x:c r="AB56" s="385"/>
      <x:c r="AC56" s="385"/>
      <x:c r="AD56" s="386"/>
      <x:c r="AE56" s="440" t="str">
        <x:v>終端
【展開時】あなたの集中力は2になる。
【破棄時】攻撃『適正距離 3-6、-/1』を行う。</x:v>
      </x:c>
      <x:c r="AF56" s="441"/>
      <x:c r="AG56" s="488" t="str">
        <x:v>终端
【展开时】你的集中力变成2。
【破弃时】进行一次“攻击距离3-6、伤害-/1”的攻击。</x:v>
      </x:c>
      <x:c r="AH56" s="442"/>
      <x:c r="AI56" s="488" t="str">
        <x:v>终端
【展开时】你的集中力变成2。
【破弃时】进行一次“攻击距离3-6、伤害-/1”的攻击。</x:v>
      </x:c>
      <x:c r="AJ56" s="440"/>
      <x:c r="AK56" s="488" t="str">
        <x:v>종단
【전개시】당신의 집중력은 2가 된다.
【파기시】공격 『적정거리 3-6, -/1』을 한다.</x:v>
      </x:c>
      <x:c r="AL56" s="440"/>
      <x:c r="AM56" s="488" t="str">
        <x:v>Terminal
Initialize: Your Vigor becomes 2.
Disenchant: You attack with "Range: 3-6, Damage: -/1".</x:v>
      </x:c>
      <x:c r="AN56" s="440"/>
      <x:c r="AO56" s="440"/>
      <x:c r="AP56" s="440"/>
      <x:c r="AQ56" s="440"/>
      <x:c r="AR56" s="440"/>
      <x:c r="AS56" s="440"/>
      <x:c r="AT56" s="378" t="str">
        <x:f aca="0">IF(A56="", "","'"&amp;A56&amp;"': {megami: '"&amp;B56&amp;"'"&amp;IF(C56&lt;&gt;"",", anotherID: '"&amp;C56&amp;"', replace: '"&amp;D56&amp;"'","")&amp;", name: '"&amp;SUBSTITUTE(E56,"'","\'")&amp;"', nameEn: '"&amp;SUBSTITUTE(K56,"'","\'")&amp;"', nameZh: '"&amp;SUBSTITUTE(G56,"'","\'")&amp;"', nameZhG55: '"&amp;SUBSTITUTE(H56,"'","\'")&amp;"', nameKo: '"&amp;SUBSTITUTE(J56,"'","\'")&amp;"', ruby: '"&amp;F56&amp;"', rubyEn: '"&amp;L56&amp;IF(I56&lt;&gt;"", "', rubyZh: '"&amp;I56, "")&amp;"', baseType: '"&amp;IF(M56="通常札","normal",IF(M56="切札","special",IF(M56="追加札","extra",IF(M56="transform","transform",IF(M56="嵐","storm",IF(M56="兵員","troop",IF(M56="構想","plan",IF(M56="メインパーツ","mainParts",IF(M56="カスタムパーツ","customParts",IF(M56="運命","fate",IF(M56="仮想樹","virtualTree","")))))))))))&amp;"'"&amp;IF(N56="○",", extra: true","")&amp;IF(O56&lt;&gt;"",", extraFrom: '"&amp;O56&amp;"'","")&amp;IF(P56&lt;&gt;"",", exchangableTo: '"&amp;P56&amp;"'","")&amp;IF(Q56="○",", poison: true","")&amp;IF(R56&lt;&gt;"", ", type: '"&amp;IF(R56="攻撃","attack",IF(R56="行動","action",IF(R56="不定","variable",IF(R56="対応","reaction",IF(R56="全力","fullpower",IF(R56="付与","enhance",IF(R56="transform","transform","")))))))&amp;"'", "")&amp;IF(S56&lt;&gt;"",", subType: '"&amp;IF(S56="攻撃","attack",IF(S56="行動","action",IF(S56="不定","variable",IF(S56="対応","reaction",IF(S56="全力","fullpower",IF(S56="付与","enhance",IF(S56="transform","transform","")))))))&amp;"'","")&amp;""&amp;IF(T56&lt;&gt;"",", range: '"&amp;T56&amp;"'","")&amp;IF(V56&lt;&gt;"",", damage: '"&amp;V56&amp;"'","")&amp;IF(X56&lt;&gt;"",", capacity: '"&amp;X56&amp;"'","")&amp;IF(Y56&lt;&gt;"",", growth: "&amp;Y56&amp;"","")&amp;IF(Z56&lt;&gt;"",", cost: '"&amp;Z56&amp;"'","")&amp;", text: '"&amp;SUBSTITUTE(SUBSTITUTE(AE56, CHAR(13), ""),CHAR(10),"\n")&amp;IF(AF56&lt;&gt;"", "', textAdditional: '"&amp;SUBSTITUTE(SUBSTITUTE(AF56, CHAR(13), ""),CHAR(10),"\n"), "")&amp;"', textZh: '"&amp;SUBSTITUTE(SUBSTITUTE(SUBSTITUTE(AG56, CHAR(13), ""),CHAR(10),"\n"),"'","\'")&amp;"', textZhG55: '"&amp;SUBSTITUTE(SUBSTITUTE(SUBSTITUTE(AI56, CHAR(13), ""),CHAR(10),"\n"),"'","\'")&amp;IF(AH56&lt;&gt;"", "', textZhAdditional: '"&amp;SUBSTITUTE(SUBSTITUTE(AH56, CHAR(13), ""),CHAR(10),"\n"), "")&amp;IF(AK56&lt;&gt;"", "', textZhG55Additional: '"&amp;SUBSTITUTE(SUBSTITUTE(AK56, CHAR(13), ""),CHAR(10),"\n"), "")&amp;"', textKo: '"&amp;SUBSTITUTE(SUBSTITUTE(SUBSTITUTE(AM56, CHAR(13), ""),CHAR(10),"\n"),"'","\'")&amp;IF(AM56&lt;&gt;"", "', textKoAdditional: '"&amp;SUBSTITUTE(SUBSTITUTE(AM56, CHAR(13), ""),CHAR(10),"\n"), "")&amp;"', textEn: '"&amp;SUBSTITUTE(SUBSTITUTE(SUBSTITUTE(AM56, CHAR(13), ""),CHAR(10),"\n"),"'","\'")&amp;IF(AN56&lt;&gt;"", "', textEnAdditional: '"&amp;SUBSTITUTE(SUBSTITUTE(AN56, CHAR(13), ""),CHAR(10),"\n"), "")&amp;"'"&amp;IF(AB56="○",", sealable: true","")&amp;IF(AC56="○",", removable: true","")&amp;IF(AA56="○",", lie: true","")&amp;IF(AD56="○",", investable: true","")&amp;"},")</x:f>
        <x:v>'04-tokoyo-o-n-7': {megami: 'tokoyo', name: '晴舞台', nameEn: 'Sunny Stage', nameZh: '晴舞台', nameZhG55: '晴舞台', nameKo: '맑음의 무대', ruby: 'はれぶたい', rubyEn: '', baseType: 'normal', type: 'enhance', capacity: '2', text: '終端\n【展開時】あなたの集中力は2になる。\n【破棄時】攻撃『適正距離 3-6、-/1』を行う。', textZh: '终端\n【展开时】你的集中力变成2。\n【破弃时】进行一次“攻击距离3-6、伤害-/1”的攻击。', textZhG55: '终端\n【展开时】你的集中力变成2。\n【破弃时】进行一次“攻击距离3-6、伤害-/1”的攻击。', textZhG55Additional: '종단\n【전개시】당신의 집중력은 2가 된다.\n【파기시】공격 『적정거리 3-6, -/1』을 한다.', textKo: 'Terminal\n\nInitialize: Your Vigor becomes 2.\n\nDisenchant: You attack with "Range: 3-6, Damage: -/1".', textKoAdditional: 'Terminal\n\nInitialize: Your Vigor becomes 2.\n\nDisenchant: You attack with "Range: 3-6, Damage: -/1".', textEn: 'Terminal\n\nInitialize: Your Vigor becomes 2.\n\nDisenchant: You attack with "Range: 3-6, Damage: -/1".'},</x:v>
      </x:c>
      <x:c r="AU56" s="379" t="str">
        <x:f aca="0">IF($A56&lt;&gt;"", "    /** 《"&amp;$E56&amp;"》 */ export const "&amp;SUBSTITUTE(UPPER(IF(MID($A56, 3, 1)="-", RIGHT($A56,LEN($A56)-3), $A56)), "-", "_")&amp;": TCardId = '"&amp;$A56&amp;"';", "")</x:f>
        <x:v>    /** 《晴舞台》 */ export const TOKOYO_O_N_7: TCardId = '04-tokoyo-o-n-7';</x:v>
      </x:c>
      <x:c r="AV56" s="380" t="str">
        <x:f aca="0">IF($A57&lt;&gt;"", "    | '"&amp;$A57&amp;"'", "")</x:f>
        <x:v>    | '04-tokoyo-o-s-1'</x:v>
      </x:c>
    </x:row>
    <x:row r="57" ht="38" hidden="0" customHeight="1">
      <x:c r="A57" s="375" t="str">
        <x:v>04-tokoyo-o-s-1</x:v>
      </x:c>
      <x:c r="B57" s="375" t="str">
        <x:v>tokoyo</x:v>
      </x:c>
      <x:c r="C57" s="375"/>
      <x:c r="D57" s="375"/>
      <x:c r="E57" s="375" t="str">
        <x:v>久遠ノ花</x:v>
      </x:c>
      <x:c r="F57" s="375" t="str">
        <x:v>くおんのはな</x:v>
      </x:c>
      <x:c r="G57" s="375" t="str">
        <x:v>久远之花</x:v>
      </x:c>
      <x:c r="H57" s="375" t="str">
        <x:v>久远之花</x:v>
      </x:c>
      <x:c r="I57" s="375"/>
      <x:c r="J57" s="375" t="str">
        <x:v>영원한 꽃</x:v>
      </x:c>
      <x:c r="K57" s="375" t="str">
        <x:v>Immortal Flower</x:v>
      </x:c>
      <x:c r="L57" s="375"/>
      <x:c r="M57" s="375" t="str">
        <x:v>切札</x:v>
      </x:c>
      <x:c r="N57" s="375"/>
      <x:c r="O57" s="375"/>
      <x:c r="P57" s="375"/>
      <x:c r="Q57" s="375"/>
      <x:c r="R57" s="375" t="str">
        <x:v>攻撃</x:v>
      </x:c>
      <x:c r="S57" s="375" t="str">
        <x:v>対応</x:v>
      </x:c>
      <x:c r="T57" s="375" t="str">
        <x:v>0-10</x:v>
      </x:c>
      <x:c r="U57" s="383"/>
      <x:c r="V57" s="382" t="str">
        <x:v>-/1</x:v>
      </x:c>
      <x:c r="W57" s="383"/>
      <x:c r="X57" s="382"/>
      <x:c r="Y57" s="382"/>
      <x:c r="Z57" s="382" t="n">
        <x:v>5</x:v>
      </x:c>
      <x:c r="AA57" s="382"/>
      <x:c r="AB57" s="385"/>
      <x:c r="AC57" s="385"/>
      <x:c r="AD57" s="386"/>
      <x:c r="AE57" s="440" t="str">
        <x:v>【攻撃後】対応した《攻撃》を打ち消す。</x:v>
      </x:c>
      <x:c r="AF57" s="441"/>
      <x:c r="AG57" s="440" t="str">
        <x:v>【攻击后】打消被对应的《攻击》。</x:v>
      </x:c>
      <x:c r="AH57" s="442"/>
      <x:c r="AI57" s="440" t="str">
        <x:v>【攻击后】打消被对应的《攻击》。 </x:v>
      </x:c>
      <x:c r="AJ57" s="440"/>
      <x:c r="AK57" s="440" t="str">
        <x:v>【공격후】대응한 《공격》을 무효화한다.</x:v>
      </x:c>
      <x:c r="AL57" s="440"/>
      <x:c r="AM57" s="440" t="str">
        <x:v>After Attack: Cancel the attack you played this card as a Reaction to.</x:v>
      </x:c>
      <x:c r="AN57" s="440"/>
      <x:c r="AO57" s="440"/>
      <x:c r="AP57" s="440"/>
      <x:c r="AQ57" s="440"/>
      <x:c r="AR57" s="440"/>
      <x:c r="AS57" s="440"/>
      <x:c r="AT57" s="378" t="str">
        <x:f aca="0">IF(A57="", "","'"&amp;A57&amp;"': {megami: '"&amp;B57&amp;"'"&amp;IF(C57&lt;&gt;"",", anotherID: '"&amp;C57&amp;"', replace: '"&amp;D57&amp;"'","")&amp;", name: '"&amp;SUBSTITUTE(E57,"'","\'")&amp;"', nameEn: '"&amp;SUBSTITUTE(K57,"'","\'")&amp;"', nameZh: '"&amp;SUBSTITUTE(G57,"'","\'")&amp;"', nameZhG56: '"&amp;SUBSTITUTE(H57,"'","\'")&amp;"', nameKo: '"&amp;SUBSTITUTE(J57,"'","\'")&amp;"', ruby: '"&amp;F57&amp;"', rubyEn: '"&amp;L57&amp;IF(I57&lt;&gt;"", "', rubyZh: '"&amp;I57, "")&amp;"', baseType: '"&amp;IF(M57="通常札","normal",IF(M57="切札","special",IF(M57="追加札","extra",IF(M57="transform","transform",IF(M57="嵐","storm",IF(M57="兵員","troop",IF(M57="構想","plan",IF(M57="メインパーツ","mainParts",IF(M57="カスタムパーツ","customParts",IF(M57="運命","fate",IF(M57="仮想樹","virtualTree","")))))))))))&amp;"'"&amp;IF(N57="○",", extra: true","")&amp;IF(O57&lt;&gt;"",", extraFrom: '"&amp;O57&amp;"'","")&amp;IF(P57&lt;&gt;"",", exchangableTo: '"&amp;P57&amp;"'","")&amp;IF(Q57="○",", poison: true","")&amp;IF(R57&lt;&gt;"", ", type: '"&amp;IF(R57="攻撃","attack",IF(R57="行動","action",IF(R57="不定","variable",IF(R57="対応","reaction",IF(R57="全力","fullpower",IF(R57="付与","enhance",IF(R57="transform","transform","")))))))&amp;"'", "")&amp;IF(S57&lt;&gt;"",", subType: '"&amp;IF(S57="攻撃","attack",IF(S57="行動","action",IF(S57="不定","variable",IF(S57="対応","reaction",IF(S57="全力","fullpower",IF(S57="付与","enhance",IF(S57="transform","transform","")))))))&amp;"'","")&amp;""&amp;IF(T57&lt;&gt;"",", range: '"&amp;T57&amp;"'","")&amp;IF(V57&lt;&gt;"",", damage: '"&amp;V57&amp;"'","")&amp;IF(X57&lt;&gt;"",", capacity: '"&amp;X57&amp;"'","")&amp;IF(Y57&lt;&gt;"",", growth: "&amp;Y57&amp;"","")&amp;IF(Z57&lt;&gt;"",", cost: '"&amp;Z57&amp;"'","")&amp;", text: '"&amp;SUBSTITUTE(SUBSTITUTE(AE57, CHAR(13), ""),CHAR(10),"\n")&amp;IF(AF57&lt;&gt;"", "', textAdditional: '"&amp;SUBSTITUTE(SUBSTITUTE(AF57, CHAR(13), ""),CHAR(10),"\n"), "")&amp;"', textZh: '"&amp;SUBSTITUTE(SUBSTITUTE(SUBSTITUTE(AG57, CHAR(13), ""),CHAR(10),"\n"),"'","\'")&amp;"', textZhG56: '"&amp;SUBSTITUTE(SUBSTITUTE(SUBSTITUTE(AI57, CHAR(13), ""),CHAR(10),"\n"),"'","\'")&amp;IF(AH57&lt;&gt;"", "', textZhAdditional: '"&amp;SUBSTITUTE(SUBSTITUTE(AH57, CHAR(13), ""),CHAR(10),"\n"), "")&amp;IF(AK57&lt;&gt;"", "', textZhG56Additional: '"&amp;SUBSTITUTE(SUBSTITUTE(AK57, CHAR(13), ""),CHAR(10),"\n"), "")&amp;"', textKo: '"&amp;SUBSTITUTE(SUBSTITUTE(SUBSTITUTE(AM57, CHAR(13), ""),CHAR(10),"\n"),"'","\'")&amp;IF(AM57&lt;&gt;"", "', textKoAdditional: '"&amp;SUBSTITUTE(SUBSTITUTE(AM57, CHAR(13), ""),CHAR(10),"\n"), "")&amp;"', textEn: '"&amp;SUBSTITUTE(SUBSTITUTE(SUBSTITUTE(AM57, CHAR(13), ""),CHAR(10),"\n"),"'","\'")&amp;IF(AN57&lt;&gt;"", "', textEnAdditional: '"&amp;SUBSTITUTE(SUBSTITUTE(AN57, CHAR(13), ""),CHAR(10),"\n"), "")&amp;"'"&amp;IF(AB57="○",", sealable: true","")&amp;IF(AC57="○",", removable: true","")&amp;IF(AA57="○",", lie: true","")&amp;IF(AD57="○",", investable: true","")&amp;"},")</x:f>
        <x:v>'04-tokoyo-o-s-1': {megami: 'tokoyo', name: '久遠ノ花', nameEn: 'Immortal Flower', nameZh: '久远之花', nameZhG56: '久远之花', nameKo: '영원한 꽃', ruby: 'くおんのはな', rubyEn: '', baseType: 'special', type: 'attack', subType: 'reaction', range: '0-10', damage: '-/1', cost: '5', text: '【攻撃後】対応した《攻撃》を打ち消す。', textZh: '【攻击后】打消被对应的《攻击》。', textZhG56: '【攻击后】打消被对应的《攻击》。 ', textZhG56Additional: '【공격후】대응한 《공격》을 무효화한다.', textKo: 'After Attack: Cancel the attack you played this card as a Reaction to.', textKoAdditional: 'After Attack: Cancel the attack you played this card as a Reaction to.', textEn: 'After Attack: Cancel the attack you played this card as a Reaction to.'},</x:v>
      </x:c>
      <x:c r="AU57" s="379" t="str">
        <x:f aca="0">IF($A57&lt;&gt;"", "    /** 《"&amp;$E57&amp;"》 */ export const "&amp;SUBSTITUTE(UPPER(IF(MID($A57, 3, 1)="-", RIGHT($A57,LEN($A57)-3), $A57)), "-", "_")&amp;": TCardId = '"&amp;$A57&amp;"';", "")</x:f>
        <x:v>    /** 《久遠ノ花》 */ export const TOKOYO_O_S_1: TCardId = '04-tokoyo-o-s-1';</x:v>
      </x:c>
      <x:c r="AV57" s="380" t="str">
        <x:f aca="0">IF($A58&lt;&gt;"", "    | '"&amp;$A58&amp;"'", "")</x:f>
        <x:v>    | '04-tokoyo-o-s-2'</x:v>
      </x:c>
    </x:row>
    <x:row r="58" ht="38" hidden="0" customHeight="1">
      <x:c r="A58" s="375" t="str">
        <x:v>04-tokoyo-o-s-2</x:v>
      </x:c>
      <x:c r="B58" s="375" t="str">
        <x:v>tokoyo</x:v>
      </x:c>
      <x:c r="C58" s="375"/>
      <x:c r="D58" s="375"/>
      <x:c r="E58" s="375" t="str">
        <x:v>千歳ノ鳥</x:v>
      </x:c>
      <x:c r="F58" s="375" t="str">
        <x:v>ちとせのとり</x:v>
      </x:c>
      <x:c r="G58" s="375" t="str">
        <x:v>千岁之鸟</x:v>
      </x:c>
      <x:c r="H58" s="375" t="str">
        <x:v>千岁之鸟</x:v>
      </x:c>
      <x:c r="I58" s="375"/>
      <x:c r="J58" s="375" t="str">
        <x:v>천년의 새</x:v>
      </x:c>
      <x:c r="K58" s="375" t="str">
        <x:v>Eternal Migrant</x:v>
      </x:c>
      <x:c r="L58" s="375"/>
      <x:c r="M58" s="375" t="str">
        <x:v>切札</x:v>
      </x:c>
      <x:c r="N58" s="375"/>
      <x:c r="O58" s="375"/>
      <x:c r="P58" s="375"/>
      <x:c r="Q58" s="375"/>
      <x:c r="R58" s="375" t="str">
        <x:v>攻撃</x:v>
      </x:c>
      <x:c r="S58" s="375"/>
      <x:c r="T58" s="375" t="str">
        <x:v>3-4</x:v>
      </x:c>
      <x:c r="U58" s="383"/>
      <x:c r="V58" s="382" t="str">
        <x:v>3/1</x:v>
      </x:c>
      <x:c r="W58" s="383"/>
      <x:c r="X58" s="382"/>
      <x:c r="Y58" s="382"/>
      <x:c r="Z58" s="382" t="n">
        <x:v>2</x:v>
      </x:c>
      <x:c r="AA58" s="382"/>
      <x:c r="AB58" s="385"/>
      <x:c r="AC58" s="385"/>
      <x:c r="AD58" s="386"/>
      <x:c r="AE58" s="440" t="str">
        <x:v>【攻撃後】山札を再構成する。
（その際にダメージは受けない）</x:v>
      </x:c>
      <x:c r="AF58" s="441"/>
      <x:c r="AG58" s="488" t="str">
        <x:v>【攻击后】重铸牌库（你不会因此受到伤害）。</x:v>
      </x:c>
      <x:c r="AH58" s="442"/>
      <x:c r="AI58" s="488" t="str">
        <x:v>【攻击后】重铸牌库（你不会因此受到伤害）。</x:v>
      </x:c>
      <x:c r="AJ58" s="440"/>
      <x:c r="AK58" s="488" t="str">
        <x:v>【공격후】패산을 재구성한다.
 (이 때에는 대미지를 받지 않는다.)</x:v>
      </x:c>
      <x:c r="AL58" s="440"/>
      <x:c r="AM58" s="488" t="str">
        <x:v>After Attack: Reshuffle your deck (without taking Damage to your Life).</x:v>
      </x:c>
      <x:c r="AN58" s="440"/>
      <x:c r="AO58" s="440"/>
      <x:c r="AP58" s="440"/>
      <x:c r="AQ58" s="440"/>
      <x:c r="AR58" s="440"/>
      <x:c r="AS58" s="440"/>
      <x:c r="AT58" s="378" t="str">
        <x:f aca="0">IF(A58="", "","'"&amp;A58&amp;"': {megami: '"&amp;B58&amp;"'"&amp;IF(C58&lt;&gt;"",", anotherID: '"&amp;C58&amp;"', replace: '"&amp;D58&amp;"'","")&amp;", name: '"&amp;SUBSTITUTE(E58,"'","\'")&amp;"', nameEn: '"&amp;SUBSTITUTE(K58,"'","\'")&amp;"', nameZh: '"&amp;SUBSTITUTE(G58,"'","\'")&amp;"', nameZhG57: '"&amp;SUBSTITUTE(H58,"'","\'")&amp;"', nameKo: '"&amp;SUBSTITUTE(J58,"'","\'")&amp;"', ruby: '"&amp;F58&amp;"', rubyEn: '"&amp;L58&amp;IF(I58&lt;&gt;"", "', rubyZh: '"&amp;I58, "")&amp;"', baseType: '"&amp;IF(M58="通常札","normal",IF(M58="切札","special",IF(M58="追加札","extra",IF(M58="transform","transform",IF(M58="嵐","storm",IF(M58="兵員","troop",IF(M58="構想","plan",IF(M58="メインパーツ","mainParts",IF(M58="カスタムパーツ","customParts",IF(M58="運命","fate",IF(M58="仮想樹","virtualTree","")))))))))))&amp;"'"&amp;IF(N58="○",", extra: true","")&amp;IF(O58&lt;&gt;"",", extraFrom: '"&amp;O58&amp;"'","")&amp;IF(P58&lt;&gt;"",", exchangableTo: '"&amp;P58&amp;"'","")&amp;IF(Q58="○",", poison: true","")&amp;IF(R58&lt;&gt;"", ", type: '"&amp;IF(R58="攻撃","attack",IF(R58="行動","action",IF(R58="不定","variable",IF(R58="対応","reaction",IF(R58="全力","fullpower",IF(R58="付与","enhance",IF(R58="transform","transform","")))))))&amp;"'", "")&amp;IF(S58&lt;&gt;"",", subType: '"&amp;IF(S58="攻撃","attack",IF(S58="行動","action",IF(S58="不定","variable",IF(S58="対応","reaction",IF(S58="全力","fullpower",IF(S58="付与","enhance",IF(S58="transform","transform","")))))))&amp;"'","")&amp;""&amp;IF(T58&lt;&gt;"",", range: '"&amp;T58&amp;"'","")&amp;IF(V58&lt;&gt;"",", damage: '"&amp;V58&amp;"'","")&amp;IF(X58&lt;&gt;"",", capacity: '"&amp;X58&amp;"'","")&amp;IF(Y58&lt;&gt;"",", growth: "&amp;Y58&amp;"","")&amp;IF(Z58&lt;&gt;"",", cost: '"&amp;Z58&amp;"'","")&amp;", text: '"&amp;SUBSTITUTE(SUBSTITUTE(AE58, CHAR(13), ""),CHAR(10),"\n")&amp;IF(AF58&lt;&gt;"", "', textAdditional: '"&amp;SUBSTITUTE(SUBSTITUTE(AF58, CHAR(13), ""),CHAR(10),"\n"), "")&amp;"', textZh: '"&amp;SUBSTITUTE(SUBSTITUTE(SUBSTITUTE(AG58, CHAR(13), ""),CHAR(10),"\n"),"'","\'")&amp;"', textZhG57: '"&amp;SUBSTITUTE(SUBSTITUTE(SUBSTITUTE(AI58, CHAR(13), ""),CHAR(10),"\n"),"'","\'")&amp;IF(AH58&lt;&gt;"", "', textZhAdditional: '"&amp;SUBSTITUTE(SUBSTITUTE(AH58, CHAR(13), ""),CHAR(10),"\n"), "")&amp;IF(AK58&lt;&gt;"", "', textZhG57Additional: '"&amp;SUBSTITUTE(SUBSTITUTE(AK58, CHAR(13), ""),CHAR(10),"\n"), "")&amp;"', textKo: '"&amp;SUBSTITUTE(SUBSTITUTE(SUBSTITUTE(AM58, CHAR(13), ""),CHAR(10),"\n"),"'","\'")&amp;IF(AM58&lt;&gt;"", "', textKoAdditional: '"&amp;SUBSTITUTE(SUBSTITUTE(AM58, CHAR(13), ""),CHAR(10),"\n"), "")&amp;"', textEn: '"&amp;SUBSTITUTE(SUBSTITUTE(SUBSTITUTE(AM58, CHAR(13), ""),CHAR(10),"\n"),"'","\'")&amp;IF(AN58&lt;&gt;"", "', textEnAdditional: '"&amp;SUBSTITUTE(SUBSTITUTE(AN58, CHAR(13), ""),CHAR(10),"\n"), "")&amp;"'"&amp;IF(AB58="○",", sealable: true","")&amp;IF(AC58="○",", removable: true","")&amp;IF(AA58="○",", lie: true","")&amp;IF(AD58="○",", investable: true","")&amp;"},")</x:f>
        <x:v>'04-tokoyo-o-s-2': {megami: 'tokoyo', name: '千歳ノ鳥', nameEn: 'Eternal Migrant', nameZh: '千岁之鸟', nameZhG57: '千岁之鸟', nameKo: '천년의 새', ruby: 'ちとせのとり', rubyEn: '', baseType: 'special', type: 'attack', range: '3-4', damage: '3/1', cost: '2', text: '【攻撃後】山札を再構成する。\n（その際にダメージは受けない）', textZh: '【攻击后】重铸牌库（你不会因此受到伤害）。', textZhG57: '【攻击后】重铸牌库（你不会因此受到伤害）。', textZhG57Additional: '【공격후】패산을 재구성한다.\n (이 때에는 대미지를 받지 않는다.)', textKo: 'After Attack: Reshuffle your deck (without taking Damage to your Life).', textKoAdditional: 'After Attack: Reshuffle your deck (without taking Damage to your Life).', textEn: 'After Attack: Reshuffle your deck (without taking Damage to your Life).'},</x:v>
      </x:c>
      <x:c r="AU58" s="379" t="str">
        <x:f aca="0">IF($A58&lt;&gt;"", "    /** 《"&amp;$E58&amp;"》 */ export const "&amp;SUBSTITUTE(UPPER(IF(MID($A58, 3, 1)="-", RIGHT($A58,LEN($A58)-3), $A58)), "-", "_")&amp;": TCardId = '"&amp;$A58&amp;"';", "")</x:f>
        <x:v>    /** 《千歳ノ鳥》 */ export const TOKOYO_O_S_2: TCardId = '04-tokoyo-o-s-2';</x:v>
      </x:c>
      <x:c r="AV58" s="380" t="str">
        <x:f aca="0">IF($A59&lt;&gt;"", "    | '"&amp;$A59&amp;"'", "")</x:f>
        <x:v>    | '04-tokoyo-o-s-3'</x:v>
      </x:c>
    </x:row>
    <x:row r="59" ht="113" hidden="0" customHeight="1">
      <x:c r="A59" s="375" t="str">
        <x:v>04-tokoyo-o-s-3</x:v>
      </x:c>
      <x:c r="B59" s="375" t="str">
        <x:v>tokoyo</x:v>
      </x:c>
      <x:c r="C59" s="375"/>
      <x:c r="D59" s="375"/>
      <x:c r="E59" s="375" t="str">
        <x:v>無窮ノ風</x:v>
      </x:c>
      <x:c r="F59" s="375" t="str">
        <x:v>むきゅうのかぜ</x:v>
      </x:c>
      <x:c r="G59" s="375" t="str">
        <x:v>无穷之风</x:v>
      </x:c>
      <x:c r="H59" s="375" t="str">
        <x:v>无穷之风</x:v>
      </x:c>
      <x:c r="I59" s="375"/>
      <x:c r="J59" s="375" t="str">
        <x:v>무궁한 바람</x:v>
      </x:c>
      <x:c r="K59" s="375" t="str">
        <x:v>Perpetual Wind</x:v>
      </x:c>
      <x:c r="L59" s="375"/>
      <x:c r="M59" s="375" t="str">
        <x:v>切札</x:v>
      </x:c>
      <x:c r="N59" s="375"/>
      <x:c r="O59" s="375"/>
      <x:c r="P59" s="375"/>
      <x:c r="Q59" s="375"/>
      <x:c r="R59" s="375" t="str">
        <x:v>攻撃</x:v>
      </x:c>
      <x:c r="S59" s="375"/>
      <x:c r="T59" s="375" t="str">
        <x:v>3-8</x:v>
      </x:c>
      <x:c r="U59" s="383"/>
      <x:c r="V59" s="382" t="str">
        <x:v>1/1</x:v>
      </x:c>
      <x:c r="W59" s="383"/>
      <x:c r="X59" s="382"/>
      <x:c r="Y59" s="382"/>
      <x:c r="Z59" s="382" t="n">
        <x:v>1</x:v>
      </x:c>
      <x:c r="AA59" s="382"/>
      <x:c r="AB59" s="385"/>
      <x:c r="AC59" s="385"/>
      <x:c r="AD59" s="386"/>
      <x:c r="AE59" s="440" t="str">
        <x:v>対応不可
【攻撃後】相手は手札から《攻撃》でないカード1枚を捨て札にする。それが行えない場合、相手は手札を公開する。
再起:境地―あなたの集中力が2である。</x:v>
      </x:c>
      <x:c r="AF59" s="441"/>
      <x:c r="AG59" s="488" t="str">
        <x:v>不可被对应。
【攻击后】对手弃1张非《攻击》的牌。若不能如此做，对手须展示其手牌。
----
【再起】境地～你的集中力为2。</x:v>
      </x:c>
      <x:c r="AH59" s="442"/>
      <x:c r="AI59" s="488" t="str">
        <x:v>不可被对应。
【攻击后】对手弃一张非《攻击》的牌。若不能如此做，则对手须展示其手牌。
----
【再起】境地-你的集中力等于2。</x:v>
      </x:c>
      <x:c r="AJ59" s="440"/>
      <x:c r="AK59" s="488" t="str">
        <x:v>대응불가 
 【공격후】상대는 손패에서 《공격》이 아닌 카드 1장을 버림패로 한다. 불가능하다면, 상대는 손패를 공개한다.
 ----
 【재기】경지-당신의 집중력이 2이다.</x:v>
      </x:c>
      <x:c r="AL59" s="440"/>
      <x:c r="AM59" s="488" t="str">
        <x:v>No Reactions
After Attack: Your opponent puts a non-Attack card from their hand into their played pile. If they can't, they must reveal their hand.
----
Resurgence: Artistic - Your Vigor is 2.</x:v>
      </x:c>
      <x:c r="AN59" s="440"/>
      <x:c r="AO59" s="440"/>
      <x:c r="AP59" s="440"/>
      <x:c r="AQ59" s="440"/>
      <x:c r="AR59" s="440"/>
      <x:c r="AS59" s="440"/>
      <x:c r="AT59" s="378" t="str">
        <x:f aca="0">IF(A59="", "","'"&amp;A59&amp;"': {megami: '"&amp;B59&amp;"'"&amp;IF(C59&lt;&gt;"",", anotherID: '"&amp;C59&amp;"', replace: '"&amp;D59&amp;"'","")&amp;", name: '"&amp;SUBSTITUTE(E59,"'","\'")&amp;"', nameEn: '"&amp;SUBSTITUTE(K59,"'","\'")&amp;"', nameZh: '"&amp;SUBSTITUTE(G59,"'","\'")&amp;"', nameZhG58: '"&amp;SUBSTITUTE(H59,"'","\'")&amp;"', nameKo: '"&amp;SUBSTITUTE(J59,"'","\'")&amp;"', ruby: '"&amp;F59&amp;"', rubyEn: '"&amp;L59&amp;IF(I59&lt;&gt;"", "', rubyZh: '"&amp;I59, "")&amp;"', baseType: '"&amp;IF(M59="通常札","normal",IF(M59="切札","special",IF(M59="追加札","extra",IF(M59="transform","transform",IF(M59="嵐","storm",IF(M59="兵員","troop",IF(M59="構想","plan",IF(M59="メインパーツ","mainParts",IF(M59="カスタムパーツ","customParts",IF(M59="運命","fate",IF(M59="仮想樹","virtualTree","")))))))))))&amp;"'"&amp;IF(N59="○",", extra: true","")&amp;IF(O59&lt;&gt;"",", extraFrom: '"&amp;O59&amp;"'","")&amp;IF(P59&lt;&gt;"",", exchangableTo: '"&amp;P59&amp;"'","")&amp;IF(Q59="○",", poison: true","")&amp;IF(R59&lt;&gt;"", ", type: '"&amp;IF(R59="攻撃","attack",IF(R59="行動","action",IF(R59="不定","variable",IF(R59="対応","reaction",IF(R59="全力","fullpower",IF(R59="付与","enhance",IF(R59="transform","transform","")))))))&amp;"'", "")&amp;IF(S59&lt;&gt;"",", subType: '"&amp;IF(S59="攻撃","attack",IF(S59="行動","action",IF(S59="不定","variable",IF(S59="対応","reaction",IF(S59="全力","fullpower",IF(S59="付与","enhance",IF(S59="transform","transform","")))))))&amp;"'","")&amp;""&amp;IF(T59&lt;&gt;"",", range: '"&amp;T59&amp;"'","")&amp;IF(V59&lt;&gt;"",", damage: '"&amp;V59&amp;"'","")&amp;IF(X59&lt;&gt;"",", capacity: '"&amp;X59&amp;"'","")&amp;IF(Y59&lt;&gt;"",", growth: "&amp;Y59&amp;"","")&amp;IF(Z59&lt;&gt;"",", cost: '"&amp;Z59&amp;"'","")&amp;", text: '"&amp;SUBSTITUTE(SUBSTITUTE(AE59, CHAR(13), ""),CHAR(10),"\n")&amp;IF(AF59&lt;&gt;"", "', textAdditional: '"&amp;SUBSTITUTE(SUBSTITUTE(AF59, CHAR(13), ""),CHAR(10),"\n"), "")&amp;"', textZh: '"&amp;SUBSTITUTE(SUBSTITUTE(SUBSTITUTE(AG59, CHAR(13), ""),CHAR(10),"\n"),"'","\'")&amp;"', textZhG58: '"&amp;SUBSTITUTE(SUBSTITUTE(SUBSTITUTE(AI59, CHAR(13), ""),CHAR(10),"\n"),"'","\'")&amp;IF(AH59&lt;&gt;"", "', textZhAdditional: '"&amp;SUBSTITUTE(SUBSTITUTE(AH59, CHAR(13), ""),CHAR(10),"\n"), "")&amp;IF(AK59&lt;&gt;"", "', textZhG58Additional: '"&amp;SUBSTITUTE(SUBSTITUTE(AK59, CHAR(13), ""),CHAR(10),"\n"), "")&amp;"', textKo: '"&amp;SUBSTITUTE(SUBSTITUTE(SUBSTITUTE(AM59, CHAR(13), ""),CHAR(10),"\n"),"'","\'")&amp;IF(AM59&lt;&gt;"", "', textKoAdditional: '"&amp;SUBSTITUTE(SUBSTITUTE(AM59, CHAR(13), ""),CHAR(10),"\n"), "")&amp;"', textEn: '"&amp;SUBSTITUTE(SUBSTITUTE(SUBSTITUTE(AM59, CHAR(13), ""),CHAR(10),"\n"),"'","\'")&amp;IF(AN59&lt;&gt;"", "', textEnAdditional: '"&amp;SUBSTITUTE(SUBSTITUTE(AN59, CHAR(13), ""),CHAR(10),"\n"), "")&amp;"'"&amp;IF(AB59="○",", sealable: true","")&amp;IF(AC59="○",", removable: true","")&amp;IF(AA59="○",", lie: true","")&amp;IF(AD59="○",", investable: true","")&amp;"},")</x:f>
        <x:v>'04-tokoyo-o-s-3': {megami: 'tokoyo', name: '無窮ノ風', nameEn: 'Perpetual Wind', nameZh: '无穷之风', nameZhG58: '无穷之风', nameKo: '무궁한 바람', ruby: 'むきゅうのかぜ', rubyEn: '', baseType: 'special', type: 'attack', range: '3-8', damage: '1/1', cost: '1', text: '対応不可\n【攻撃後】相手は手札から《攻撃》でないカード1枚を捨て札にする。それが行えない場合、相手は手札を公開する。\n再起:境地―あなたの集中力が2である。', textZh: '不可被对应。\n【攻击后】对手弃1张非《攻击》的牌。若不能如此做，对手须展示其手牌。\n----\n【再起】境地～你的集中力为2。', textZhG58: '不可被对应。\n【攻击后】对手弃一张非《攻击》的牌。若不能如此做，则对手须展示其手牌。\n----\n【再起】境地-你的集中力等于2。', textZhG58Additional: '대응불가 \n 【공격후】상대는 손패에서 《공격》이 아닌 카드 1장을 버림패로 한다. 불가능하다면, 상대는 손패를 공개한다.\n ----\n 【재기】경지-당신의 집중력이 2이다.', textKo: 'No Reactions\n\nAfter Attack: Your opponent puts a non-Attack card from their hand into their played pile. If they can\'t, they must reveal their hand.\n----\nResurgence: Artistic - Your Vigor is 2.', textKoAdditional: 'No Reactions\n\nAfter Attack: Your opponent puts a non-Attack card from their hand into their played pile. If they can't, they must reveal their hand.\n----\nResurgence: Artistic - Your Vigor is 2.', textEn: 'No Reactions\n\nAfter Attack: Your opponent puts a non-Attack card from their hand into their played pile. If they can\'t, they must reveal their hand.\n----\nResurgence: Artistic - Your Vigor is 2.'},</x:v>
      </x:c>
      <x:c r="AU59" s="379" t="str">
        <x:f aca="0">IF($A59&lt;&gt;"", "    /** 《"&amp;$E59&amp;"》 */ export const "&amp;SUBSTITUTE(UPPER(IF(MID($A59, 3, 1)="-", RIGHT($A59,LEN($A59)-3), $A59)), "-", "_")&amp;": TCardId = '"&amp;$A59&amp;"';", "")</x:f>
        <x:v>    /** 《無窮ノ風》 */ export const TOKOYO_O_S_3: TCardId = '04-tokoyo-o-s-3';</x:v>
      </x:c>
      <x:c r="AV59" s="380" t="str">
        <x:f aca="0">IF($A60&lt;&gt;"", "    | '"&amp;$A60&amp;"'", "")</x:f>
        <x:v>    | '04-tokoyo-o-s-4'</x:v>
      </x:c>
    </x:row>
    <x:row r="60" ht="38" hidden="0" customHeight="1">
      <x:c r="A60" s="375" t="str">
        <x:v>04-tokoyo-o-s-4</x:v>
      </x:c>
      <x:c r="B60" s="375" t="str">
        <x:v>tokoyo</x:v>
      </x:c>
      <x:c r="C60" s="375"/>
      <x:c r="D60" s="375"/>
      <x:c r="E60" s="375" t="str">
        <x:v>常世ノ月</x:v>
      </x:c>
      <x:c r="F60" s="375" t="str">
        <x:v>とこよのつき</x:v>
      </x:c>
      <x:c r="G60" s="375" t="str">
        <x:v>常世之月</x:v>
      </x:c>
      <x:c r="H60" s="375" t="str">
        <x:v>常世之月</x:v>
      </x:c>
      <x:c r="I60" s="375"/>
      <x:c r="J60" s="375" t="str">
        <x:v>토코요의 달</x:v>
      </x:c>
      <x:c r="K60" s="375" t="str">
        <x:v>Eternal Moon</x:v>
      </x:c>
      <x:c r="L60" s="375"/>
      <x:c r="M60" s="375" t="str">
        <x:v>切札</x:v>
      </x:c>
      <x:c r="N60" s="375"/>
      <x:c r="O60" s="375"/>
      <x:c r="P60" s="375"/>
      <x:c r="Q60" s="375"/>
      <x:c r="R60" s="375" t="str">
        <x:v>行動</x:v>
      </x:c>
      <x:c r="S60" s="375"/>
      <x:c r="T60" s="375"/>
      <x:c r="U60" s="383"/>
      <x:c r="V60" s="382"/>
      <x:c r="W60" s="383"/>
      <x:c r="X60" s="382"/>
      <x:c r="Y60" s="382"/>
      <x:c r="Z60" s="382" t="n">
        <x:v>2</x:v>
      </x:c>
      <x:c r="AA60" s="382"/>
      <x:c r="AB60" s="385"/>
      <x:c r="AC60" s="385"/>
      <x:c r="AD60" s="386"/>
      <x:c r="AE60" s="440" t="str">
        <x:v>あなたの集中力は2になり、相手の集中力は0になり、相手を畏縮させる。</x:v>
      </x:c>
      <x:c r="AF60" s="441"/>
      <x:c r="AG60" s="488" t="str">
        <x:v>你的集中力变为2，对手的集中力变为0，令对手畏缩。</x:v>
      </x:c>
      <x:c r="AH60" s="442"/>
      <x:c r="AI60" s="488" t="str">
        <x:v>你的集中力变为2，对手的集中力变为0，对手畏缩。</x:v>
      </x:c>
      <x:c r="AJ60" s="440"/>
      <x:c r="AK60" s="488" t="str">
        <x:v>당신의 집중력이 2가 되고, 상대의 집중력이 0이 되고, 상대를 위축시킨다。</x:v>
      </x:c>
      <x:c r="AL60" s="440"/>
      <x:c r="AM60" s="488" t="str">
        <x:v>Your Vigor becomes 2. Your opponent's Vigor becomes 0. Flinch your opponent.</x:v>
      </x:c>
      <x:c r="AN60" s="440"/>
      <x:c r="AO60" s="440"/>
      <x:c r="AP60" s="440"/>
      <x:c r="AQ60" s="440"/>
      <x:c r="AR60" s="440"/>
      <x:c r="AS60" s="440"/>
      <x:c r="AT60" s="378" t="str">
        <x:f aca="0">IF(A60="", "","'"&amp;A60&amp;"': {megami: '"&amp;B60&amp;"'"&amp;IF(C60&lt;&gt;"",", anotherID: '"&amp;C60&amp;"', replace: '"&amp;D60&amp;"'","")&amp;", name: '"&amp;SUBSTITUTE(E60,"'","\'")&amp;"', nameEn: '"&amp;SUBSTITUTE(K60,"'","\'")&amp;"', nameZh: '"&amp;SUBSTITUTE(G60,"'","\'")&amp;"', nameZhG59: '"&amp;SUBSTITUTE(H60,"'","\'")&amp;"', nameKo: '"&amp;SUBSTITUTE(J60,"'","\'")&amp;"', ruby: '"&amp;F60&amp;"', rubyEn: '"&amp;L60&amp;IF(I60&lt;&gt;"", "', rubyZh: '"&amp;I60, "")&amp;"', baseType: '"&amp;IF(M60="通常札","normal",IF(M60="切札","special",IF(M60="追加札","extra",IF(M60="transform","transform",IF(M60="嵐","storm",IF(M60="兵員","troop",IF(M60="構想","plan",IF(M60="メインパーツ","mainParts",IF(M60="カスタムパーツ","customParts",IF(M60="運命","fate",IF(M60="仮想樹","virtualTree","")))))))))))&amp;"'"&amp;IF(N60="○",", extra: true","")&amp;IF(O60&lt;&gt;"",", extraFrom: '"&amp;O60&amp;"'","")&amp;IF(P60&lt;&gt;"",", exchangableTo: '"&amp;P60&amp;"'","")&amp;IF(Q60="○",", poison: true","")&amp;IF(R60&lt;&gt;"", ", type: '"&amp;IF(R60="攻撃","attack",IF(R60="行動","action",IF(R60="不定","variable",IF(R60="対応","reaction",IF(R60="全力","fullpower",IF(R60="付与","enhance",IF(R60="transform","transform","")))))))&amp;"'", "")&amp;IF(S60&lt;&gt;"",", subType: '"&amp;IF(S60="攻撃","attack",IF(S60="行動","action",IF(S60="不定","variable",IF(S60="対応","reaction",IF(S60="全力","fullpower",IF(S60="付与","enhance",IF(S60="transform","transform","")))))))&amp;"'","")&amp;""&amp;IF(T60&lt;&gt;"",", range: '"&amp;T60&amp;"'","")&amp;IF(V60&lt;&gt;"",", damage: '"&amp;V60&amp;"'","")&amp;IF(X60&lt;&gt;"",", capacity: '"&amp;X60&amp;"'","")&amp;IF(Y60&lt;&gt;"",", growth: "&amp;Y60&amp;"","")&amp;IF(Z60&lt;&gt;"",", cost: '"&amp;Z60&amp;"'","")&amp;", text: '"&amp;SUBSTITUTE(SUBSTITUTE(AE60, CHAR(13), ""),CHAR(10),"\n")&amp;IF(AF60&lt;&gt;"", "', textAdditional: '"&amp;SUBSTITUTE(SUBSTITUTE(AF60, CHAR(13), ""),CHAR(10),"\n"), "")&amp;"', textZh: '"&amp;SUBSTITUTE(SUBSTITUTE(SUBSTITUTE(AG60, CHAR(13), ""),CHAR(10),"\n"),"'","\'")&amp;"', textZhG59: '"&amp;SUBSTITUTE(SUBSTITUTE(SUBSTITUTE(AI60, CHAR(13), ""),CHAR(10),"\n"),"'","\'")&amp;IF(AH60&lt;&gt;"", "', textZhAdditional: '"&amp;SUBSTITUTE(SUBSTITUTE(AH60, CHAR(13), ""),CHAR(10),"\n"), "")&amp;IF(AK60&lt;&gt;"", "', textZhG59Additional: '"&amp;SUBSTITUTE(SUBSTITUTE(AK60, CHAR(13), ""),CHAR(10),"\n"), "")&amp;"', textKo: '"&amp;SUBSTITUTE(SUBSTITUTE(SUBSTITUTE(AM60, CHAR(13), ""),CHAR(10),"\n"),"'","\'")&amp;IF(AM60&lt;&gt;"", "', textKoAdditional: '"&amp;SUBSTITUTE(SUBSTITUTE(AM60, CHAR(13), ""),CHAR(10),"\n"), "")&amp;"', textEn: '"&amp;SUBSTITUTE(SUBSTITUTE(SUBSTITUTE(AM60, CHAR(13), ""),CHAR(10),"\n"),"'","\'")&amp;IF(AN60&lt;&gt;"", "', textEnAdditional: '"&amp;SUBSTITUTE(SUBSTITUTE(AN60, CHAR(13), ""),CHAR(10),"\n"), "")&amp;"'"&amp;IF(AB60="○",", sealable: true","")&amp;IF(AC60="○",", removable: true","")&amp;IF(AA60="○",", lie: true","")&amp;IF(AD60="○",", investable: true","")&amp;"},")</x:f>
        <x:v>'04-tokoyo-o-s-4': {megami: 'tokoyo', name: '常世ノ月', nameEn: 'Eternal Moon', nameZh: '常世之月', nameZhG59: '常世之月', nameKo: '토코요의 달', ruby: 'とこよのつき', rubyEn: '', baseType: 'special', type: 'action', cost: '2', text: 'あなたの集中力は2になり、相手の集中力は0になり、相手を畏縮させる。', textZh: '你的集中力变为2，对手的集中力变为0，令对手畏缩。', textZhG59: '你的集中力变为2，对手的集中力变为0，对手畏缩。', textZhG59Additional: '당신의 집중력이 2가 되고, 상대의 집중력이 0이 되고, 상대를 위축시킨다。', textKo: 'Your Vigor becomes 2. Your opponent\'s Vigor becomes 0. Flinch your opponent.', textKoAdditional: 'Your Vigor becomes 2. Your opponent's Vigor becomes 0. Flinch your opponent.', textEn: 'Your Vigor becomes 2. Your opponent\'s Vigor becomes 0. Flinch your opponent.'},</x:v>
      </x:c>
      <x:c r="AU60" s="379" t="str">
        <x:f aca="0">IF($A60&lt;&gt;"", "    /** 《"&amp;$E60&amp;"》 */ export const "&amp;SUBSTITUTE(UPPER(IF(MID($A60, 3, 1)="-", RIGHT($A60,LEN($A60)-3), $A60)), "-", "_")&amp;": TCardId = '"&amp;$A60&amp;"';", "")</x:f>
        <x:v>    /** 《常世ノ月》 */ export const TOKOYO_O_S_4: TCardId = '04-tokoyo-o-s-4';</x:v>
      </x:c>
      <x:c r="AV60" s="380" t="str">
        <x:f aca="0">IF($A61&lt;&gt;"", "    | '"&amp;$A61&amp;"'", "")</x:f>
        <x:v>    | '04-tokoyo-A1-n-1'</x:v>
      </x:c>
    </x:row>
    <x:row r="61" ht="53" hidden="0" customHeight="1">
      <x:c r="A61" s="375" t="str">
        <x:v>04-tokoyo-A1-n-1</x:v>
      </x:c>
      <x:c r="B61" s="375" t="str">
        <x:v>tokoyo</x:v>
      </x:c>
      <x:c r="C61" s="375" t="str">
        <x:v>A1</x:v>
      </x:c>
      <x:c r="D61" s="375" t="str">
        <x:v>04-tokoyo-o-n-1</x:v>
      </x:c>
      <x:c r="E61" s="375" t="str">
        <x:v>奏流し</x:v>
      </x:c>
      <x:c r="F61" s="375" t="str">
        <x:v>かなでながし</x:v>
      </x:c>
      <x:c r="G61" s="375" t="str">
        <x:v>奏流乐</x:v>
      </x:c>
      <x:c r="H61" s="375" t="str">
        <x:v>奏流</x:v>
      </x:c>
      <x:c r="I61" s="375"/>
      <x:c r="J61" s="375" t="str">
        <x:v>흐르는 연주</x:v>
      </x:c>
      <x:c r="K61" s="375" t="str">
        <x:v>Entrancing Strike</x:v>
      </x:c>
      <x:c r="L61" s="375"/>
      <x:c r="M61" s="375" t="str">
        <x:v>通常札</x:v>
      </x:c>
      <x:c r="N61" s="375"/>
      <x:c r="O61" s="375"/>
      <x:c r="P61" s="375"/>
      <x:c r="Q61" s="375"/>
      <x:c r="R61" s="375" t="str">
        <x:v>攻撃</x:v>
      </x:c>
      <x:c r="S61" s="375"/>
      <x:c r="T61" s="375" t="str">
        <x:v>5</x:v>
      </x:c>
      <x:c r="U61" s="383"/>
      <x:c r="V61" s="382" t="str">
        <x:v>-/1</x:v>
      </x:c>
      <x:c r="W61" s="383"/>
      <x:c r="X61" s="382"/>
      <x:c r="Y61" s="382"/>
      <x:c r="Z61" s="382"/>
      <x:c r="AA61" s="382"/>
      <x:c r="AB61" s="385"/>
      <x:c r="AC61" s="385"/>
      <x:c r="AD61" s="386"/>
      <x:c r="AE61" s="440" t="str">
        <x:v>【常時】あなたのトコヨの切札が使用済ならば、この《攻撃》は対応不可を得る。
【攻撃後】境地―あなたの集中力が2またはあなたの他のメガミの切札が使用済ならば、このカードを山札の上か底に置く。</x:v>
      </x:c>
      <x:c r="AF61" s="441"/>
      <x:c r="AG61" s="488" t="str">
        <x:v>【常时】若你有已使用状态的常世的王牌，则此《攻击》得不可被对应。
【攻击后】境地～若你的集中力为2，或你有已使用状态的其他女神的王牌，则将此牌置于你的牌库顶或者牌库底。</x:v>
      </x:c>
      <x:c r="AH61" s="442"/>
      <x:c r="AI61" s="440"/>
      <x:c r="AJ61" s="440"/>
      <x:c r="AK61" s="488" t="str">
        <x:v>【상시】 토코요의 비장패가 사용됨 상태라면, 이 《공격》은 대응불가를 얻는다.
【공격후】 경지-당신의 집중력이 2이거나, 또는 다른 여신의 비장패가 사용됨 상태라면, 이 카드를 패산 위 또는 아래에 놓는다.</x:v>
      </x:c>
      <x:c r="AL61" s="440"/>
      <x:c r="AM61" s="440"/>
      <x:c r="AN61" s="440"/>
      <x:c r="AO61" s="440"/>
      <x:c r="AP61" s="440"/>
      <x:c r="AQ61" s="440"/>
      <x:c r="AR61" s="440"/>
      <x:c r="AS61" s="440"/>
      <x:c r="AT61" s="378" t="str">
        <x:f aca="0">IF(A61="", "","'"&amp;A61&amp;"': {megami: '"&amp;B61&amp;"'"&amp;IF(C61&lt;&gt;"",", anotherID: '"&amp;C61&amp;"', replace: '"&amp;D61&amp;"'","")&amp;", name: '"&amp;SUBSTITUTE(E61,"'","\'")&amp;"', nameEn: '"&amp;SUBSTITUTE(K61,"'","\'")&amp;"', nameZh: '"&amp;SUBSTITUTE(G61,"'","\'")&amp;"', nameZhG60: '"&amp;SUBSTITUTE(H61,"'","\'")&amp;"', nameKo: '"&amp;SUBSTITUTE(J61,"'","\'")&amp;"', ruby: '"&amp;F61&amp;"', rubyEn: '"&amp;L61&amp;IF(I61&lt;&gt;"", "', rubyZh: '"&amp;I61, "")&amp;"', baseType: '"&amp;IF(M61="通常札","normal",IF(M61="切札","special",IF(M61="追加札","extra",IF(M61="transform","transform",IF(M61="嵐","storm",IF(M61="兵員","troop",IF(M61="構想","plan",IF(M61="メインパーツ","mainParts",IF(M61="カスタムパーツ","customParts",IF(M61="運命","fate",IF(M61="仮想樹","virtualTree","")))))))))))&amp;"'"&amp;IF(N61="○",", extra: true","")&amp;IF(O61&lt;&gt;"",", extraFrom: '"&amp;O61&amp;"'","")&amp;IF(P61&lt;&gt;"",", exchangableTo: '"&amp;P61&amp;"'","")&amp;IF(Q61="○",", poison: true","")&amp;IF(R61&lt;&gt;"", ", type: '"&amp;IF(R61="攻撃","attack",IF(R61="行動","action",IF(R61="不定","variable",IF(R61="対応","reaction",IF(R61="全力","fullpower",IF(R61="付与","enhance",IF(R61="transform","transform","")))))))&amp;"'", "")&amp;IF(S61&lt;&gt;"",", subType: '"&amp;IF(S61="攻撃","attack",IF(S61="行動","action",IF(S61="不定","variable",IF(S61="対応","reaction",IF(S61="全力","fullpower",IF(S61="付与","enhance",IF(S61="transform","transform","")))))))&amp;"'","")&amp;""&amp;IF(T61&lt;&gt;"",", range: '"&amp;T61&amp;"'","")&amp;IF(V61&lt;&gt;"",", damage: '"&amp;V61&amp;"'","")&amp;IF(X61&lt;&gt;"",", capacity: '"&amp;X61&amp;"'","")&amp;IF(Y61&lt;&gt;"",", growth: "&amp;Y61&amp;"","")&amp;IF(Z61&lt;&gt;"",", cost: '"&amp;Z61&amp;"'","")&amp;", text: '"&amp;SUBSTITUTE(SUBSTITUTE(AE61, CHAR(13), ""),CHAR(10),"\n")&amp;IF(AF61&lt;&gt;"", "', textAdditional: '"&amp;SUBSTITUTE(SUBSTITUTE(AF61, CHAR(13), ""),CHAR(10),"\n"), "")&amp;"', textZh: '"&amp;SUBSTITUTE(SUBSTITUTE(SUBSTITUTE(AG61, CHAR(13), ""),CHAR(10),"\n"),"'","\'")&amp;"', textZhG60: '"&amp;SUBSTITUTE(SUBSTITUTE(SUBSTITUTE(AI61, CHAR(13), ""),CHAR(10),"\n"),"'","\'")&amp;IF(AH61&lt;&gt;"", "', textZhAdditional: '"&amp;SUBSTITUTE(SUBSTITUTE(AH61, CHAR(13), ""),CHAR(10),"\n"), "")&amp;IF(AK61&lt;&gt;"", "', textZhG60Additional: '"&amp;SUBSTITUTE(SUBSTITUTE(AK61, CHAR(13), ""),CHAR(10),"\n"), "")&amp;"', textKo: '"&amp;SUBSTITUTE(SUBSTITUTE(SUBSTITUTE(AM61, CHAR(13), ""),CHAR(10),"\n"),"'","\'")&amp;IF(AM61&lt;&gt;"", "', textKoAdditional: '"&amp;SUBSTITUTE(SUBSTITUTE(AM61, CHAR(13), ""),CHAR(10),"\n"), "")&amp;"', textEn: '"&amp;SUBSTITUTE(SUBSTITUTE(SUBSTITUTE(AM61, CHAR(13), ""),CHAR(10),"\n"),"'","\'")&amp;IF(AN61&lt;&gt;"", "', textEnAdditional: '"&amp;SUBSTITUTE(SUBSTITUTE(AN61, CHAR(13), ""),CHAR(10),"\n"), "")&amp;"'"&amp;IF(AB61="○",", sealable: true","")&amp;IF(AC61="○",", removable: true","")&amp;IF(AA61="○",", lie: true","")&amp;IF(AD61="○",", investable: true","")&amp;"},")</x:f>
        <x:v>'04-tokoyo-A1-n-1': {megami: 'tokoyo', anotherID: 'A1', replace: '04-tokoyo-o-n-1', name: '奏流し', nameEn: 'Entrancing Strike', nameZh: '奏流乐', nameZhG60: '奏流', nameKo: '흐르는 연주', ruby: 'かなでながし', rubyEn: '', baseType: 'normal', type: 'attack', range: '5', damage: '-/1', text: '【常時】あなたのトコヨの切札が使用済ならば、この《攻撃》は対応不可を得る。\n【攻撃後】境地―あなたの集中力が2またはあなたの他のメガミの切札が使用済ならば、このカードを山札の上か底に置く。', textZh: '【常时】若你有已使用状态的常世的王牌，则此《攻击》得不可被对应。\n【攻击后】境地～若你的集中力为2，或你有已使用状态的其他女神的王牌，则将此牌置于你的牌库顶或者牌库底。', textZhG60: '', textZhG60Additional: '【상시】 토코요의 비장패가 사용됨 상태라면, 이 《공격》은 대응불가를 얻는다.\n【공격후】 경지-당신의 집중력이 2이거나, 또는 다른 여신의 비장패가 사용됨 상태라면, 이 카드를 패산 위 또는 아래에 놓는다.', textKo: '', textEn: ''},</x:v>
      </x:c>
      <x:c r="AU61" s="379" t="str">
        <x:f aca="0">IF($A61&lt;&gt;"", "    /** 《"&amp;$E61&amp;"》 */ export const "&amp;SUBSTITUTE(UPPER(IF(MID($A61, 3, 1)="-", RIGHT($A61,LEN($A61)-3), $A61)), "-", "_")&amp;": TCardId = '"&amp;$A61&amp;"';", "")</x:f>
        <x:v>    /** 《奏流し》 */ export const TOKOYO_A1_N_1: TCardId = '04-tokoyo-A1-n-1';</x:v>
      </x:c>
      <x:c r="AV61" s="380" t="str">
        <x:f aca="0">IF($A62&lt;&gt;"", "    | '"&amp;$A62&amp;"'", "")</x:f>
        <x:v>    | '04-tokoyo-A1-s-3'</x:v>
      </x:c>
    </x:row>
    <x:row r="62" ht="83" hidden="0" customHeight="1">
      <x:c r="A62" s="375" t="str">
        <x:v>04-tokoyo-A1-s-3</x:v>
      </x:c>
      <x:c r="B62" s="375" t="str">
        <x:v>tokoyo</x:v>
      </x:c>
      <x:c r="C62" s="375" t="str">
        <x:v>A1</x:v>
      </x:c>
      <x:c r="D62" s="375" t="str">
        <x:v>04-tokoyo-o-s-3</x:v>
      </x:c>
      <x:c r="E62" s="375" t="str">
        <x:v>二重奏:吹弾陽明</x:v>
      </x:c>
      <x:c r="F62" s="375" t="str">
        <x:v>にじゅうそう すいだんようめい</x:v>
      </x:c>
      <x:c r="G62" s="375" t="str">
        <x:v>二重奏：吹弹阳明</x:v>
      </x:c>
      <x:c r="H62" s="375" t="str">
        <x:v>二重奏：吹弹阳明</x:v>
      </x:c>
      <x:c r="I62" s="375"/>
      <x:c r="J62" s="375" t="str">
        <x:v>이중주:취탄양명</x:v>
      </x:c>
      <x:c r="K62" s="375" t="str">
        <x:v>Duet: Radiant Luminosity</x:v>
      </x:c>
      <x:c r="L62" s="375"/>
      <x:c r="M62" s="375" t="str">
        <x:v>切札</x:v>
      </x:c>
      <x:c r="N62" s="375"/>
      <x:c r="O62" s="375"/>
      <x:c r="P62" s="375"/>
      <x:c r="Q62" s="375"/>
      <x:c r="R62" s="375" t="str">
        <x:v>行動</x:v>
      </x:c>
      <x:c r="S62" s="375"/>
      <x:c r="T62" s="375"/>
      <x:c r="U62" s="383"/>
      <x:c r="V62" s="382"/>
      <x:c r="W62" s="383"/>
      <x:c r="X62" s="382"/>
      <x:c r="Y62" s="382"/>
      <x:c r="Z62" s="382" t="n">
        <x:v>1</x:v>
      </x:c>
      <x:c r="AA62" s="382"/>
      <x:c r="AB62" s="385"/>
      <x:c r="AC62" s="385"/>
      <x:c r="AD62" s="386"/>
      <x:c r="AE62" s="440" t="str">
        <x:v>【常時】境地―あなたの集中力が2ならば、このカードの消費は1小さくなる。
このターン中、あなたは集中力を支払えない。
【使用済】あなたが他のメガミの《対応》カードを使用した時、自分のターンなら基本動作《後退》か《離脱》を1回行ってもよい。相手のターンなら相手を畏縮させる。
即再起:あなたが《攻撃》によりライフに1以上のダメージを受ける。</x:v>
      </x:c>
      <x:c r="AF62" s="441"/>
      <x:c r="AG62" s="488" t="str">
        <x:v>【常时】境地～若你的集中力为2，此牌的消耗减少1。
 在本回合中，你不能支付集中力。
 【已使用】你用其他女神的牌进行对应时，可以从弃牌或盖牌中选择1张牌置于牌库底。
 ----
 【即再起】自命因《攻击》受到至少1点的伤害。</x:v>
      </x:c>
      <x:c r="AH62" s="442"/>
      <x:c r="AI62" s="440"/>
      <x:c r="AJ62" s="440"/>
      <x:c r="AK62" s="488" t="str">
        <x:v>【상시】경지- 당신의 집중력이 2라면, 이 카드의 소비값은 1 감소한다.
이 턴 중에, 당신은 집중력을 지불할 수 없다.
【사용됨】 당신이 다른 여신의 카드로 대응했을 때, 당신의 버림패나 덮은패에서 카드를 한 장 선택해, 패산 아래에 놓아도 된다.
【즉재기】 당신이 《공격》으로 인해 라이프에 데미지를 1 이상 받는다.</x:v>
      </x:c>
      <x:c r="AL62" s="440"/>
      <x:c r="AM62" s="440"/>
      <x:c r="AN62" s="440"/>
      <x:c r="AO62" s="440"/>
      <x:c r="AP62" s="440"/>
      <x:c r="AQ62" s="440"/>
      <x:c r="AR62" s="440"/>
      <x:c r="AS62" s="440"/>
      <x:c r="AT62" s="378" t="str">
        <x:f aca="0">IF(A62="", "","'"&amp;A62&amp;"': {megami: '"&amp;B62&amp;"'"&amp;IF(C62&lt;&gt;"",", anotherID: '"&amp;C62&amp;"', replace: '"&amp;D62&amp;"'","")&amp;", name: '"&amp;SUBSTITUTE(E62,"'","\'")&amp;"', nameEn: '"&amp;SUBSTITUTE(K62,"'","\'")&amp;"', nameZh: '"&amp;SUBSTITUTE(G62,"'","\'")&amp;"', nameZhG61: '"&amp;SUBSTITUTE(H62,"'","\'")&amp;"', nameKo: '"&amp;SUBSTITUTE(J62,"'","\'")&amp;"', ruby: '"&amp;F62&amp;"', rubyEn: '"&amp;L62&amp;IF(I62&lt;&gt;"", "', rubyZh: '"&amp;I62, "")&amp;"', baseType: '"&amp;IF(M62="通常札","normal",IF(M62="切札","special",IF(M62="追加札","extra",IF(M62="transform","transform",IF(M62="嵐","storm",IF(M62="兵員","troop",IF(M62="構想","plan",IF(M62="メインパーツ","mainParts",IF(M62="カスタムパーツ","customParts",IF(M62="運命","fate",IF(M62="仮想樹","virtualTree","")))))))))))&amp;"'"&amp;IF(N62="○",", extra: true","")&amp;IF(O62&lt;&gt;"",", extraFrom: '"&amp;O62&amp;"'","")&amp;IF(P62&lt;&gt;"",", exchangableTo: '"&amp;P62&amp;"'","")&amp;IF(Q62="○",", poison: true","")&amp;IF(R62&lt;&gt;"", ", type: '"&amp;IF(R62="攻撃","attack",IF(R62="行動","action",IF(R62="不定","variable",IF(R62="対応","reaction",IF(R62="全力","fullpower",IF(R62="付与","enhance",IF(R62="transform","transform","")))))))&amp;"'", "")&amp;IF(S62&lt;&gt;"",", subType: '"&amp;IF(S62="攻撃","attack",IF(S62="行動","action",IF(S62="不定","variable",IF(S62="対応","reaction",IF(S62="全力","fullpower",IF(S62="付与","enhance",IF(S62="transform","transform","")))))))&amp;"'","")&amp;""&amp;IF(T62&lt;&gt;"",", range: '"&amp;T62&amp;"'","")&amp;IF(V62&lt;&gt;"",", damage: '"&amp;V62&amp;"'","")&amp;IF(X62&lt;&gt;"",", capacity: '"&amp;X62&amp;"'","")&amp;IF(Y62&lt;&gt;"",", growth: "&amp;Y62&amp;"","")&amp;IF(Z62&lt;&gt;"",", cost: '"&amp;Z62&amp;"'","")&amp;", text: '"&amp;SUBSTITUTE(SUBSTITUTE(AE62, CHAR(13), ""),CHAR(10),"\n")&amp;IF(AF62&lt;&gt;"", "', textAdditional: '"&amp;SUBSTITUTE(SUBSTITUTE(AF62, CHAR(13), ""),CHAR(10),"\n"), "")&amp;"', textZh: '"&amp;SUBSTITUTE(SUBSTITUTE(SUBSTITUTE(AG62, CHAR(13), ""),CHAR(10),"\n"),"'","\'")&amp;"', textZhG61: '"&amp;SUBSTITUTE(SUBSTITUTE(SUBSTITUTE(AI62, CHAR(13), ""),CHAR(10),"\n"),"'","\'")&amp;IF(AH62&lt;&gt;"", "', textZhAdditional: '"&amp;SUBSTITUTE(SUBSTITUTE(AH62, CHAR(13), ""),CHAR(10),"\n"), "")&amp;IF(AK62&lt;&gt;"", "', textZhG61Additional: '"&amp;SUBSTITUTE(SUBSTITUTE(AK62, CHAR(13), ""),CHAR(10),"\n"), "")&amp;"', textKo: '"&amp;SUBSTITUTE(SUBSTITUTE(SUBSTITUTE(AM62, CHAR(13), ""),CHAR(10),"\n"),"'","\'")&amp;IF(AM62&lt;&gt;"", "', textKoAdditional: '"&amp;SUBSTITUTE(SUBSTITUTE(AM62, CHAR(13), ""),CHAR(10),"\n"), "")&amp;"', textEn: '"&amp;SUBSTITUTE(SUBSTITUTE(SUBSTITUTE(AM62, CHAR(13), ""),CHAR(10),"\n"),"'","\'")&amp;IF(AN62&lt;&gt;"", "', textEnAdditional: '"&amp;SUBSTITUTE(SUBSTITUTE(AN62, CHAR(13), ""),CHAR(10),"\n"), "")&amp;"'"&amp;IF(AB62="○",", sealable: true","")&amp;IF(AC62="○",", removable: true","")&amp;IF(AA62="○",", lie: true","")&amp;IF(AD62="○",", investable: true","")&amp;"},")</x:f>
        <x:v>'04-tokoyo-A1-s-3': {megami: 'tokoyo', anotherID: 'A1', replace: '04-tokoyo-o-s-3', name: '二重奏:吹弾陽明', nameEn: 'Duet: Radiant Luminosity', nameZh: '二重奏：吹弹阳明', nameZhG61: '二重奏：吹弹阳明', nameKo: '이중주:취탄양명', ruby: 'にじゅうそう すいだんようめい', rubyEn: '', baseType: 'special', type: 'action', cost: '1', text: '【常時】境地―あなたの集中力が2ならば、このカードの消費は1小さくなる。\nこのターン中、あなたは集中力を支払えない。\n【使用済】あなたが他のメガミの《対応》カードを使用した時、自分のターンなら基本動作《後退》か《離脱》を1回行ってもよい。相手のターンなら相手を畏縮させる。\n即再起:あなたが《攻撃》によりライフに1以上のダメージを受ける。', textZh: '【常时】境地～若你的集中力为2，此牌的消耗减少1。\n 在本回合中，你不能支付集中力。\n 【已使用】你用其他女神的牌进行对应时，可以从弃牌或盖牌中选择1张牌置于牌库底。\n ----\n 【即再起】自命因《攻击》受到至少1点的伤害。', textZhG61: '', textZhG61Additional: '【상시】경지- 당신의 집중력이 2라면, 이 카드의 소비값은 1 감소한다.\n이 턴 중에, 당신은 집중력을 지불할 수 없다.\n【사용됨】 당신이 다른 여신의 카드로 대응했을 때, 당신의 버림패나 덮은패에서 카드를 한 장 선택해, 패산 아래에 놓아도 된다.\n【즉재기】 당신이 《공격》으로 인해 라이프에 데미지를 1 이상 받는다.', textKo: '', textEn: ''},</x:v>
      </x:c>
      <x:c r="AU62" s="379" t="str">
        <x:f aca="0">IF($A62&lt;&gt;"", "    /** 《"&amp;$E62&amp;"》 */ export const "&amp;SUBSTITUTE(UPPER(IF(MID($A62, 3, 1)="-", RIGHT($A62,LEN($A62)-3), $A62)), "-", "_")&amp;": TCardId = '"&amp;$A62&amp;"';", "")</x:f>
        <x:v>    /** 《二重奏:吹弾陽明》 */ export const TOKOYO_A1_S_3: TCardId = '04-tokoyo-A1-s-3';</x:v>
      </x:c>
      <x:c r="AV62" s="380" t="str">
        <x:f aca="0">IF($A63&lt;&gt;"", "    | '"&amp;$A63&amp;"'", "")</x:f>
        <x:v>    | '04-tokoyo-A2-n-2'</x:v>
      </x:c>
    </x:row>
    <x:row r="63" ht="113" hidden="0" customHeight="1">
      <x:c r="A63" s="375" t="str">
        <x:v>04-tokoyo-A2-n-2</x:v>
      </x:c>
      <x:c r="B63" s="375" t="str">
        <x:v>tokoyo</x:v>
      </x:c>
      <x:c r="C63" s="375" t="str">
        <x:v>A2</x:v>
      </x:c>
      <x:c r="D63" s="375" t="str">
        <x:v>04-tokoyo-o-n-2</x:v>
      </x:c>
      <x:c r="E63" s="375" t="str">
        <x:v>畏掠め</x:v>
      </x:c>
      <x:c r="F63" s="375" t="str">
        <x:v>おそれがすめ</x:v>
      </x:c>
      <x:c r="G63" s="375" t="str">
        <x:v>心生畏</x:v>
      </x:c>
      <x:c r="H63" s="375" t="str">
        <x:v>畏掠</x:v>
      </x:c>
      <x:c r="I63" s="375"/>
      <x:c r="J63" s="375" t="str">
        <x:v>두려움 스치기</x:v>
      </x:c>
      <x:c r="K63" s="375" t="str">
        <x:v>Awestrike</x:v>
      </x:c>
      <x:c r="L63" s="375"/>
      <x:c r="M63" s="375" t="str">
        <x:v>通常札</x:v>
      </x:c>
      <x:c r="N63" s="375"/>
      <x:c r="O63" s="375"/>
      <x:c r="P63" s="375"/>
      <x:c r="Q63" s="375"/>
      <x:c r="R63" s="375" t="str">
        <x:v>攻撃</x:v>
      </x:c>
      <x:c r="S63" s="375" t="str">
        <x:v>対応</x:v>
      </x:c>
      <x:c r="T63" s="375" t="str">
        <x:v>2-3</x:v>
      </x:c>
      <x:c r="U63" s="383"/>
      <x:c r="V63" s="382" t="str">
        <x:v>2/1</x:v>
      </x:c>
      <x:c r="W63" s="383"/>
      <x:c r="X63" s="382"/>
      <x:c r="Y63" s="382"/>
      <x:c r="Z63" s="382"/>
      <x:c r="AA63" s="382"/>
      <x:c r="AB63" s="385"/>
      <x:c r="AC63" s="385"/>
      <x:c r="AD63" s="386"/>
      <x:c r="AE63" s="440" t="str">
        <x:v>【常時】相手の集中力が0ならば、この《攻撃》のダメージはあなたが選ぶ。
【攻撃後】境地―あなたの集中力が2ならば、対応した切札でない《攻撃》は-X/-Yとなる。Xはこの《攻撃》が与えたオーラへのダメージ、Yはライフへのダメージに等しい。</x:v>
      </x:c>
      <x:c r="AF63" s="441"/>
      <x:c r="AG63" s="488" t="str">
        <x:v>【常时】对手的集中力为0的话，此《攻击》如何承受伤害由你来选择。
【攻击后】境地～若你的集中力为2，则被对应的非王牌的《攻击》得-X/-Y。X等于此《攻击》给予敌装的伤害数，Y等于给予敌命的伤害数。</x:v>
      </x:c>
      <x:c r="AH63" s="442"/>
      <x:c r="AI63" s="488" t="str">
        <x:v>【常时】若对手的集中力等于0，则由你选择对手如何承受此攻击的伤害。
【攻击后】境地～若你的集中力等于2，则被对应的非王牌的《攻击》获得-X/-Y。X等于此《攻击》造成的对装的伤害，Y等于此攻击造成的对命的伤害。</x:v>
      </x:c>
      <x:c r="AJ63" s="440"/>
      <x:c r="AK63" s="488" t="str">
        <x:v>【상시】 상대의 집중력이 0이라면, 이 《공격》의 데미지는 당신이 선택한다.
【공격후】 경지 - 당신의 집중력이 2라면, 대응한 비장패가 아닌 《공격》은 -X/-Y가 된다. X는 이 《공격》으로 준 오라 데미지, Y는 이 《공격》으로 준 라이프 데미지와 같다.</x:v>
      </x:c>
      <x:c r="AL63" s="440"/>
      <x:c r="AM63" s="488" t="str">
        <x:v>Forced: If your opponent's Vigor is 0, you choose the type of damage dealt by this attack.
After Attack: Artistic - If your Vigor is 2, the non-Special attack you played this card as a Reaction to gets -X/-Y, where X is the damage to Aura this attack dealt, and Y is the damage to Life it dealt.</x:v>
      </x:c>
      <x:c r="AN63" s="440"/>
      <x:c r="AO63" s="440"/>
      <x:c r="AP63" s="440"/>
      <x:c r="AQ63" s="440"/>
      <x:c r="AR63" s="440"/>
      <x:c r="AS63" s="440"/>
      <x:c r="AT63" s="378" t="str">
        <x:f aca="0">IF(A63="", "","'"&amp;A63&amp;"': {megami: '"&amp;B63&amp;"'"&amp;IF(C63&lt;&gt;"",", anotherID: '"&amp;C63&amp;"', replace: '"&amp;D63&amp;"'","")&amp;", name: '"&amp;SUBSTITUTE(E63,"'","\'")&amp;"', nameEn: '"&amp;SUBSTITUTE(K63,"'","\'")&amp;"', nameZh: '"&amp;SUBSTITUTE(G63,"'","\'")&amp;"', nameZhG62: '"&amp;SUBSTITUTE(H63,"'","\'")&amp;"', nameKo: '"&amp;SUBSTITUTE(J63,"'","\'")&amp;"', ruby: '"&amp;F63&amp;"', rubyEn: '"&amp;L63&amp;IF(I63&lt;&gt;"", "', rubyZh: '"&amp;I63, "")&amp;"', baseType: '"&amp;IF(M63="通常札","normal",IF(M63="切札","special",IF(M63="追加札","extra",IF(M63="transform","transform",IF(M63="嵐","storm",IF(M63="兵員","troop",IF(M63="構想","plan",IF(M63="メインパーツ","mainParts",IF(M63="カスタムパーツ","customParts",IF(M63="運命","fate",IF(M63="仮想樹","virtualTree","")))))))))))&amp;"'"&amp;IF(N63="○",", extra: true","")&amp;IF(O63&lt;&gt;"",", extraFrom: '"&amp;O63&amp;"'","")&amp;IF(P63&lt;&gt;"",", exchangableTo: '"&amp;P63&amp;"'","")&amp;IF(Q63="○",", poison: true","")&amp;IF(R63&lt;&gt;"", ", type: '"&amp;IF(R63="攻撃","attack",IF(R63="行動","action",IF(R63="不定","variable",IF(R63="対応","reaction",IF(R63="全力","fullpower",IF(R63="付与","enhance",IF(R63="transform","transform","")))))))&amp;"'", "")&amp;IF(S63&lt;&gt;"",", subType: '"&amp;IF(S63="攻撃","attack",IF(S63="行動","action",IF(S63="不定","variable",IF(S63="対応","reaction",IF(S63="全力","fullpower",IF(S63="付与","enhance",IF(S63="transform","transform","")))))))&amp;"'","")&amp;""&amp;IF(T63&lt;&gt;"",", range: '"&amp;T63&amp;"'","")&amp;IF(V63&lt;&gt;"",", damage: '"&amp;V63&amp;"'","")&amp;IF(X63&lt;&gt;"",", capacity: '"&amp;X63&amp;"'","")&amp;IF(Y63&lt;&gt;"",", growth: "&amp;Y63&amp;"","")&amp;IF(Z63&lt;&gt;"",", cost: '"&amp;Z63&amp;"'","")&amp;", text: '"&amp;SUBSTITUTE(SUBSTITUTE(AE63, CHAR(13), ""),CHAR(10),"\n")&amp;IF(AF63&lt;&gt;"", "', textAdditional: '"&amp;SUBSTITUTE(SUBSTITUTE(AF63, CHAR(13), ""),CHAR(10),"\n"), "")&amp;"', textZh: '"&amp;SUBSTITUTE(SUBSTITUTE(SUBSTITUTE(AG63, CHAR(13), ""),CHAR(10),"\n"),"'","\'")&amp;"', textZhG62: '"&amp;SUBSTITUTE(SUBSTITUTE(SUBSTITUTE(AI63, CHAR(13), ""),CHAR(10),"\n"),"'","\'")&amp;IF(AH63&lt;&gt;"", "', textZhAdditional: '"&amp;SUBSTITUTE(SUBSTITUTE(AH63, CHAR(13), ""),CHAR(10),"\n"), "")&amp;IF(AK63&lt;&gt;"", "', textZhG62Additional: '"&amp;SUBSTITUTE(SUBSTITUTE(AK63, CHAR(13), ""),CHAR(10),"\n"), "")&amp;"', textKo: '"&amp;SUBSTITUTE(SUBSTITUTE(SUBSTITUTE(AM63, CHAR(13), ""),CHAR(10),"\n"),"'","\'")&amp;IF(AM63&lt;&gt;"", "', textKoAdditional: '"&amp;SUBSTITUTE(SUBSTITUTE(AM63, CHAR(13), ""),CHAR(10),"\n"), "")&amp;"', textEn: '"&amp;SUBSTITUTE(SUBSTITUTE(SUBSTITUTE(AM63, CHAR(13), ""),CHAR(10),"\n"),"'","\'")&amp;IF(AN63&lt;&gt;"", "', textEnAdditional: '"&amp;SUBSTITUTE(SUBSTITUTE(AN63, CHAR(13), ""),CHAR(10),"\n"), "")&amp;"'"&amp;IF(AB63="○",", sealable: true","")&amp;IF(AC63="○",", removable: true","")&amp;IF(AA63="○",", lie: true","")&amp;IF(AD63="○",", investable: true","")&amp;"},")</x:f>
        <x:v>'04-tokoyo-A2-n-2': {megami: 'tokoyo', anotherID: 'A2', replace: '04-tokoyo-o-n-2', name: '畏掠め', nameEn: 'Awestrike', nameZh: '心生畏', nameZhG62: '畏掠', nameKo: '두려움 스치기', ruby: 'おそれがすめ', rubyEn: '', baseType: 'normal', type: 'attack', subType: 'reaction', range: '2-3', damage: '2/1', text: '【常時】相手の集中力が0ならば、この《攻撃》のダメージはあなたが選ぶ。\n【攻撃後】境地―あなたの集中力が2ならば、対応した切札でない《攻撃》は-X/-Yとなる。Xはこの《攻撃》が与えたオーラへのダメージ、Yはライフへのダメージに等しい。', textZh: '【常时】对手的集中力为0的话，此《攻击》如何承受伤害由你来选择。\n【攻击后】境地～若你的集中力为2，则被对应的非王牌的《攻击》得-X/-Y。X等于此《攻击》给予敌装的伤害数，Y等于给予敌命的伤害数。', textZhG62: '【常时】若对手的集中力等于0，则由你选择对手如何承受此攻击的伤害。\n【攻击后】境地～若你的集中力等于2，则被对应的非王牌的《攻击》获得-X/-Y。X等于此《攻击》造成的对装的伤害，Y等于此攻击造成的对命的伤害。', textZhG62Additional: '【상시】 상대의 집중력이 0이라면, 이 《공격》의 데미지는 당신이 선택한다.\n【공격후】 경지 - 당신의 집중력이 2라면, 대응한 비장패가 아닌 《공격》은 -X/-Y가 된다. X는 이 《공격》으로 준 오라 데미지, Y는 이 《공격》으로 준 라이프 데미지와 같다.', textKo: 'Forced: If your opponent\'s Vigor is 0, you choose the type of damage dealt by this attack.\n\nAfter Attack: Artistic - If your Vigor is 2, the non-Special attack you played this card as a Reaction to gets -X/-Y, where X is the damage to Aura this attack dealt, and Y is the damage to Life it dealt.', textKoAdditional: 'Forced: If your opponent's Vigor is 0, you choose the type of damage dealt by this attack.\n\nAfter Attack: Artistic - If your Vigor is 2, the non-Special attack you played this card as a Reaction to gets -X/-Y, where X is the damage to Aura this attack dealt, and Y is the damage to Life it dealt.', textEn: 'Forced: If your opponent\'s Vigor is 0, you choose the type of damage dealt by this attack.\n\nAfter Attack: Artistic - If your Vigor is 2, the non-Special attack you played this card as a Reaction to gets -X/-Y, where X is the damage to Aura this attack dealt, and Y is the damage to Life it dealt.'},</x:v>
      </x:c>
      <x:c r="AU63" s="379" t="str">
        <x:f aca="0">IF($A63&lt;&gt;"", "    /** 《"&amp;$E63&amp;"》 */ export const "&amp;SUBSTITUTE(UPPER(IF(MID($A63, 3, 1)="-", RIGHT($A63,LEN($A63)-3), $A63)), "-", "_")&amp;": TCardId = '"&amp;$A63&amp;"';", "")</x:f>
        <x:v>    /** 《畏掠め》 */ export const TOKOYO_A2_N_2: TCardId = '04-tokoyo-A2-n-2';</x:v>
      </x:c>
      <x:c r="AV63" s="380" t="str">
        <x:f aca="0">IF($A64&lt;&gt;"", "    | '"&amp;$A64&amp;"'", "")</x:f>
        <x:v>    | '04-tokoyo-A2-s-2'</x:v>
      </x:c>
    </x:row>
    <x:row r="64" ht="83" hidden="0" customHeight="1">
      <x:c r="A64" s="375" t="str">
        <x:v>04-tokoyo-A2-s-2</x:v>
      </x:c>
      <x:c r="B64" s="375" t="str">
        <x:v>tokoyo</x:v>
      </x:c>
      <x:c r="C64" s="375" t="str">
        <x:v>A2</x:v>
      </x:c>
      <x:c r="D64" s="375" t="str">
        <x:v>04-tokoyo-o-s-2</x:v>
      </x:c>
      <x:c r="E64" s="375" t="str">
        <x:v>悠久ノ雪</x:v>
      </x:c>
      <x:c r="F64" s="375" t="str">
        <x:v>ゆうきゅうのゆき</x:v>
      </x:c>
      <x:c r="G64" s="375" t="str">
        <x:v>悠久之雪</x:v>
      </x:c>
      <x:c r="H64" s="375" t="str">
        <x:v>悠久之雪</x:v>
      </x:c>
      <x:c r="I64" s="375"/>
      <x:c r="J64" s="375" t="str">
        <x:v>유구의 눈</x:v>
      </x:c>
      <x:c r="K64" s="375" t="str">
        <x:v>Endless Snow</x:v>
      </x:c>
      <x:c r="L64" s="375"/>
      <x:c r="M64" s="375" t="str">
        <x:v>切札</x:v>
      </x:c>
      <x:c r="N64" s="375"/>
      <x:c r="O64" s="375"/>
      <x:c r="P64" s="375"/>
      <x:c r="Q64" s="375"/>
      <x:c r="R64" s="375" t="str">
        <x:v>攻撃</x:v>
      </x:c>
      <x:c r="S64" s="375"/>
      <x:c r="T64" s="375" t="str">
        <x:v>3-5</x:v>
      </x:c>
      <x:c r="U64" s="383"/>
      <x:c r="V64" s="382" t="str">
        <x:v>1/1</x:v>
      </x:c>
      <x:c r="W64" s="383"/>
      <x:c r="X64" s="382"/>
      <x:c r="Y64" s="382"/>
      <x:c r="Z64" s="382" t="n">
        <x:v>1</x:v>
      </x:c>
      <x:c r="AA64" s="382"/>
      <x:c r="AB64" s="385"/>
      <x:c r="AC64" s="385"/>
      <x:c r="AD64" s="386"/>
      <x:c r="AE64" s="440" t="str">
        <x:v>【攻撃後】相手がオーラへのダメージを選んだならば、相フレア→自オーラ：1
再起：相手の集中力が1である。</x:v>
      </x:c>
      <x:c r="AF64" s="441"/>
      <x:c r="AG64" s="488" t="str">
        <x:v>【攻击后】若对手选择由装承受此次伤害，则 敌气→1→自装
----
【再起】对手的集中力为1。</x:v>
      </x:c>
      <x:c r="AH64" s="442"/>
      <x:c r="AI64" s="488" t="str">
        <x:v>【攻击后】若对手选择由装承受此次伤害，则
敌气（1）→自装
----
【再起】对手的集中力等于1。</x:v>
      </x:c>
      <x:c r="AJ64" s="440"/>
      <x:c r="AK64" s="488" t="str">
        <x:v>【공격후】 상대가 오라 데미지를 선택했다면,
상대 플레어 → 자신 오라: 1
----
【재기】상대의 집중력이 1이다.</x:v>
      </x:c>
      <x:c r="AL64" s="440"/>
      <x:c r="AM64" s="488" t="str">
        <x:v>After Attack: If your opponent chose to take damage to Aura:
Opponent's Flare (1)→ Your Aura
Resurgence: Your opponent's Vigor is 1.</x:v>
      </x:c>
      <x:c r="AN64" s="440"/>
      <x:c r="AO64" s="440"/>
      <x:c r="AP64" s="440"/>
      <x:c r="AQ64" s="440"/>
      <x:c r="AR64" s="440"/>
      <x:c r="AS64" s="440"/>
      <x:c r="AT64" s="378" t="str">
        <x:f aca="0">IF(A64="", "","'"&amp;A64&amp;"': {megami: '"&amp;B64&amp;"'"&amp;IF(C64&lt;&gt;"",", anotherID: '"&amp;C64&amp;"', replace: '"&amp;D64&amp;"'","")&amp;", name: '"&amp;SUBSTITUTE(E64,"'","\'")&amp;"', nameEn: '"&amp;SUBSTITUTE(K64,"'","\'")&amp;"', nameZh: '"&amp;SUBSTITUTE(G64,"'","\'")&amp;"', nameZhG63: '"&amp;SUBSTITUTE(H64,"'","\'")&amp;"', nameKo: '"&amp;SUBSTITUTE(J64,"'","\'")&amp;"', ruby: '"&amp;F64&amp;"', rubyEn: '"&amp;L64&amp;IF(I64&lt;&gt;"", "', rubyZh: '"&amp;I64, "")&amp;"', baseType: '"&amp;IF(M64="通常札","normal",IF(M64="切札","special",IF(M64="追加札","extra",IF(M64="transform","transform",IF(M64="嵐","storm",IF(M64="兵員","troop",IF(M64="構想","plan",IF(M64="メインパーツ","mainParts",IF(M64="カスタムパーツ","customParts",IF(M64="運命","fate",IF(M64="仮想樹","virtualTree","")))))))))))&amp;"'"&amp;IF(N64="○",", extra: true","")&amp;IF(O64&lt;&gt;"",", extraFrom: '"&amp;O64&amp;"'","")&amp;IF(P64&lt;&gt;"",", exchangableTo: '"&amp;P64&amp;"'","")&amp;IF(Q64="○",", poison: true","")&amp;IF(R64&lt;&gt;"", ", type: '"&amp;IF(R64="攻撃","attack",IF(R64="行動","action",IF(R64="不定","variable",IF(R64="対応","reaction",IF(R64="全力","fullpower",IF(R64="付与","enhance",IF(R64="transform","transform","")))))))&amp;"'", "")&amp;IF(S64&lt;&gt;"",", subType: '"&amp;IF(S64="攻撃","attack",IF(S64="行動","action",IF(S64="不定","variable",IF(S64="対応","reaction",IF(S64="全力","fullpower",IF(S64="付与","enhance",IF(S64="transform","transform","")))))))&amp;"'","")&amp;""&amp;IF(T64&lt;&gt;"",", range: '"&amp;T64&amp;"'","")&amp;IF(V64&lt;&gt;"",", damage: '"&amp;V64&amp;"'","")&amp;IF(X64&lt;&gt;"",", capacity: '"&amp;X64&amp;"'","")&amp;IF(Y64&lt;&gt;"",", growth: "&amp;Y64&amp;"","")&amp;IF(Z64&lt;&gt;"",", cost: '"&amp;Z64&amp;"'","")&amp;", text: '"&amp;SUBSTITUTE(SUBSTITUTE(AE64, CHAR(13), ""),CHAR(10),"\n")&amp;IF(AF64&lt;&gt;"", "', textAdditional: '"&amp;SUBSTITUTE(SUBSTITUTE(AF64, CHAR(13), ""),CHAR(10),"\n"), "")&amp;"', textZh: '"&amp;SUBSTITUTE(SUBSTITUTE(SUBSTITUTE(AG64, CHAR(13), ""),CHAR(10),"\n"),"'","\'")&amp;"', textZhG63: '"&amp;SUBSTITUTE(SUBSTITUTE(SUBSTITUTE(AI64, CHAR(13), ""),CHAR(10),"\n"),"'","\'")&amp;IF(AH64&lt;&gt;"", "', textZhAdditional: '"&amp;SUBSTITUTE(SUBSTITUTE(AH64, CHAR(13), ""),CHAR(10),"\n"), "")&amp;IF(AK64&lt;&gt;"", "', textZhG63Additional: '"&amp;SUBSTITUTE(SUBSTITUTE(AK64, CHAR(13), ""),CHAR(10),"\n"), "")&amp;"', textKo: '"&amp;SUBSTITUTE(SUBSTITUTE(SUBSTITUTE(AM64, CHAR(13), ""),CHAR(10),"\n"),"'","\'")&amp;IF(AM64&lt;&gt;"", "', textKoAdditional: '"&amp;SUBSTITUTE(SUBSTITUTE(AM64, CHAR(13), ""),CHAR(10),"\n"), "")&amp;"', textEn: '"&amp;SUBSTITUTE(SUBSTITUTE(SUBSTITUTE(AM64, CHAR(13), ""),CHAR(10),"\n"),"'","\'")&amp;IF(AN64&lt;&gt;"", "', textEnAdditional: '"&amp;SUBSTITUTE(SUBSTITUTE(AN64, CHAR(13), ""),CHAR(10),"\n"), "")&amp;"'"&amp;IF(AB64="○",", sealable: true","")&amp;IF(AC64="○",", removable: true","")&amp;IF(AA64="○",", lie: true","")&amp;IF(AD64="○",", investable: true","")&amp;"},")</x:f>
        <x:v>'04-tokoyo-A2-s-2': {megami: 'tokoyo', anotherID: 'A2', replace: '04-tokoyo-o-s-2', name: '悠久ノ雪', nameEn: 'Endless Snow', nameZh: '悠久之雪', nameZhG63: '悠久之雪', nameKo: '유구의 눈', ruby: 'ゆうきゅうのゆき', rubyEn: '', baseType: 'special', type: 'attack', range: '3-5', damage: '1/1', cost: '1', text: '【攻撃後】相手がオーラへのダメージを選んだならば、相フレア→自オーラ：1\n再起：相手の集中力が1である。', textZh: '【攻击后】若对手选择由装承受此次伤害，则 敌气→1→自装\n----\n【再起】对手的集中力为1。', textZhG63: '【攻击后】若对手选择由装承受此次伤害，则\n敌气（1）→自装\n----\n【再起】对手的集中力等于1。', textZhG63Additional: '【공격후】 상대가 오라 데미지를 선택했다면,\n상대 플레어 → 자신 오라: 1\n----\n【재기】상대의 집중력이 1이다.', textKo: 'After Attack: If your opponent chose to take damage to Aura:\nOpponent\'s Flare (1)→ Your Aura\n\nResurgence: Your opponent\'s Vigor is 1.', textKoAdditional: 'After Attack: If your opponent chose to take damage to Aura:\nOpponent's Flare (1)→ Your Aura\n\nResurgence: Your opponent's Vigor is 1.', textEn: 'After Attack: If your opponent chose to take damage to Aura:\nOpponent\'s Flare (1)→ Your Aura\n\nResurgence: Your opponent\'s Vigor is 1.'},</x:v>
      </x:c>
      <x:c r="AU64" s="379" t="str">
        <x:f aca="0">IF($A64&lt;&gt;"", "    /** 《"&amp;$E64&amp;"》 */ export const "&amp;SUBSTITUTE(UPPER(IF(MID($A64, 3, 1)="-", RIGHT($A64,LEN($A64)-3), $A64)), "-", "_")&amp;": TCardId = '"&amp;$A64&amp;"';", "")</x:f>
        <x:v>    /** 《悠久ノ雪》 */ export const TOKOYO_A2_S_2: TCardId = '04-tokoyo-A2-s-2';</x:v>
      </x:c>
      <x:c r="AV64" s="380" t="str">
        <x:f aca="0">IF($A65&lt;&gt;"", "    | '"&amp;$A65&amp;"'", "")</x:f>
        <x:v>    | '04-tokoyo-A2-s-3'</x:v>
      </x:c>
    </x:row>
    <x:row r="65" ht="128" hidden="0" customHeight="1">
      <x:c r="A65" s="375" t="str">
        <x:v>04-tokoyo-A2-s-3</x:v>
      </x:c>
      <x:c r="B65" s="375" t="str">
        <x:v>tokoyo</x:v>
      </x:c>
      <x:c r="C65" s="375" t="str">
        <x:v>A2</x:v>
      </x:c>
      <x:c r="D65" s="375" t="str">
        <x:v>04-tokoyo-o-s-3</x:v>
      </x:c>
      <x:c r="E65" s="375" t="str">
        <x:v>徒寄ノ八重桜</x:v>
      </x:c>
      <x:c r="F65" s="375" t="str">
        <x:v>あだよりのやえざくら</x:v>
      </x:c>
      <x:c r="G65" s="375" t="str">
        <x:v>不凋之八重樱</x:v>
      </x:c>
      <x:c r="H65" s="375" t="str">
        <x:v>徒寄之八重樱</x:v>
      </x:c>
      <x:c r="I65" s="375"/>
      <x:c r="J65" s="375" t="str">
        <x:v>허무에 물든 여덟 겹 벚꽃</x:v>
      </x:c>
      <x:c r="K65" s="375" t="str">
        <x:v>Hollow Blossoms</x:v>
      </x:c>
      <x:c r="L65" s="375"/>
      <x:c r="M65" s="375" t="str">
        <x:v>切札</x:v>
      </x:c>
      <x:c r="N65" s="375"/>
      <x:c r="O65" s="375"/>
      <x:c r="P65" s="375"/>
      <x:c r="Q65" s="375"/>
      <x:c r="R65" s="375" t="str">
        <x:v>行動</x:v>
      </x:c>
      <x:c r="S65" s="375"/>
      <x:c r="T65" s="375"/>
      <x:c r="U65" s="383"/>
      <x:c r="V65" s="382"/>
      <x:c r="W65" s="383"/>
      <x:c r="X65" s="382"/>
      <x:c r="Y65" s="382"/>
      <x:c r="Z65" s="382" t="n">
        <x:v>4</x:v>
      </x:c>
      <x:c r="AA65" s="382"/>
      <x:c r="AB65" s="385"/>
      <x:c r="AC65" s="385"/>
      <x:c r="AD65" s="386"/>
      <x:c r="AE65" s="440" t="str">
        <x:v>あなたは基本動作《纏い》を5回行う。
【使用済】あなたのカードの矢印効果があなたのオーラへと桜花結晶を動かすならば、その間だけオーラの上限を8として扱う。
【使用済】あなたの開始フェイズの開始時にあなたオーラが6以上ならば、攻撃『適正距離 0-8、-/1』を行う。</x:v>
      </x:c>
      <x:c r="AF65" s="441"/>
      <x:c r="AG65" s="488" t="str">
        <x:v>你进行5次基本动作《装附》。
【已使用】你的牌的箭头效果向自装移动樱花结晶的时候，仅在那时将装的上限视为8。
【已使用】你的准备阶段开始时自装有6或以上的话，进行一次“攻击距离0-8 伤害-/1”的攻击。</x:v>
      </x:c>
      <x:c r="AH65" s="442"/>
      <x:c r="AI65" s="488" t="str">
        <x:v>进行5次基本动作《装附》。
【已使用】你的牌上的箭头效果将樱花结晶移至自装时，自装上限视为8。
【已使用】你的准备阶段开始时，若自装中的樱花结晶的数目大于等于6，则进行一次“攻击距离0-8 伤害-/1”的攻击。</x:v>
      </x:c>
      <x:c r="AJ65" s="440"/>
      <x:c r="AK65" s="488" t="str">
        <x:v>당신은 기본동작 《휘감기》를 5회 수행한다.
【사용됨】 당신의 카드의 화살표 효과가 벚꽃결정을 당신의 오라로 이동한다면, 최대 오라가 8인 것처럼 사용한다.
【사용됨】 당신의 개시 페이즈 시작에, 당신의 오라가 6 이상이라면, 공격 『적정거리 0-8, -/1』을 수행한다.</x:v>
      </x:c>
      <x:c r="AL65" s="440"/>
      <x:c r="AM65" s="488" t="str">
        <x:v>Perform 5 Recover basic actions.
Devoted: If an arrow (→) on a card you own would move Sakura tokens to your Aura, your maximum Aura is considered to be 8 for that effect.
Devoted: At the beginning of your turn, if your Aura is 6 or more, you attack with "Range: 0-8, Damage: -/1".</x:v>
      </x:c>
      <x:c r="AN65" s="440"/>
      <x:c r="AO65" s="440"/>
      <x:c r="AP65" s="440"/>
      <x:c r="AQ65" s="440"/>
      <x:c r="AR65" s="440"/>
      <x:c r="AS65" s="440"/>
      <x:c r="AT65" s="378" t="str">
        <x:f aca="0">IF(A65="", "","'"&amp;A65&amp;"': {megami: '"&amp;B65&amp;"'"&amp;IF(C65&lt;&gt;"",", anotherID: '"&amp;C65&amp;"', replace: '"&amp;D65&amp;"'","")&amp;", name: '"&amp;SUBSTITUTE(E65,"'","\'")&amp;"', nameEn: '"&amp;SUBSTITUTE(K65,"'","\'")&amp;"', nameZh: '"&amp;SUBSTITUTE(G65,"'","\'")&amp;"', nameZhG64: '"&amp;SUBSTITUTE(H65,"'","\'")&amp;"', nameKo: '"&amp;SUBSTITUTE(J65,"'","\'")&amp;"', ruby: '"&amp;F65&amp;"', rubyEn: '"&amp;L65&amp;IF(I65&lt;&gt;"", "', rubyZh: '"&amp;I65, "")&amp;"', baseType: '"&amp;IF(M65="通常札","normal",IF(M65="切札","special",IF(M65="追加札","extra",IF(M65="transform","transform",IF(M65="嵐","storm",IF(M65="兵員","troop",IF(M65="構想","plan",IF(M65="メインパーツ","mainParts",IF(M65="カスタムパーツ","customParts",IF(M65="運命","fate",IF(M65="仮想樹","virtualTree","")))))))))))&amp;"'"&amp;IF(N65="○",", extra: true","")&amp;IF(O65&lt;&gt;"",", extraFrom: '"&amp;O65&amp;"'","")&amp;IF(P65&lt;&gt;"",", exchangableTo: '"&amp;P65&amp;"'","")&amp;IF(Q65="○",", poison: true","")&amp;IF(R65&lt;&gt;"", ", type: '"&amp;IF(R65="攻撃","attack",IF(R65="行動","action",IF(R65="不定","variable",IF(R65="対応","reaction",IF(R65="全力","fullpower",IF(R65="付与","enhance",IF(R65="transform","transform","")))))))&amp;"'", "")&amp;IF(S65&lt;&gt;"",", subType: '"&amp;IF(S65="攻撃","attack",IF(S65="行動","action",IF(S65="不定","variable",IF(S65="対応","reaction",IF(S65="全力","fullpower",IF(S65="付与","enhance",IF(S65="transform","transform","")))))))&amp;"'","")&amp;""&amp;IF(T65&lt;&gt;"",", range: '"&amp;T65&amp;"'","")&amp;IF(V65&lt;&gt;"",", damage: '"&amp;V65&amp;"'","")&amp;IF(X65&lt;&gt;"",", capacity: '"&amp;X65&amp;"'","")&amp;IF(Y65&lt;&gt;"",", growth: "&amp;Y65&amp;"","")&amp;IF(Z65&lt;&gt;"",", cost: '"&amp;Z65&amp;"'","")&amp;", text: '"&amp;SUBSTITUTE(SUBSTITUTE(AE65, CHAR(13), ""),CHAR(10),"\n")&amp;IF(AF65&lt;&gt;"", "', textAdditional: '"&amp;SUBSTITUTE(SUBSTITUTE(AF65, CHAR(13), ""),CHAR(10),"\n"), "")&amp;"', textZh: '"&amp;SUBSTITUTE(SUBSTITUTE(SUBSTITUTE(AG65, CHAR(13), ""),CHAR(10),"\n"),"'","\'")&amp;"', textZhG64: '"&amp;SUBSTITUTE(SUBSTITUTE(SUBSTITUTE(AI65, CHAR(13), ""),CHAR(10),"\n"),"'","\'")&amp;IF(AH65&lt;&gt;"", "', textZhAdditional: '"&amp;SUBSTITUTE(SUBSTITUTE(AH65, CHAR(13), ""),CHAR(10),"\n"), "")&amp;IF(AK65&lt;&gt;"", "', textZhG64Additional: '"&amp;SUBSTITUTE(SUBSTITUTE(AK65, CHAR(13), ""),CHAR(10),"\n"), "")&amp;"', textKo: '"&amp;SUBSTITUTE(SUBSTITUTE(SUBSTITUTE(AM65, CHAR(13), ""),CHAR(10),"\n"),"'","\'")&amp;IF(AM65&lt;&gt;"", "', textKoAdditional: '"&amp;SUBSTITUTE(SUBSTITUTE(AM65, CHAR(13), ""),CHAR(10),"\n"), "")&amp;"', textEn: '"&amp;SUBSTITUTE(SUBSTITUTE(SUBSTITUTE(AM65, CHAR(13), ""),CHAR(10),"\n"),"'","\'")&amp;IF(AN65&lt;&gt;"", "', textEnAdditional: '"&amp;SUBSTITUTE(SUBSTITUTE(AN65, CHAR(13), ""),CHAR(10),"\n"), "")&amp;"'"&amp;IF(AB65="○",", sealable: true","")&amp;IF(AC65="○",", removable: true","")&amp;IF(AA65="○",", lie: true","")&amp;IF(AD65="○",", investable: true","")&amp;"},")</x:f>
        <x:v>'04-tokoyo-A2-s-3': {megami: 'tokoyo', anotherID: 'A2', replace: '04-tokoyo-o-s-3', name: '徒寄ノ八重桜', nameEn: 'Hollow Blossoms', nameZh: '不凋之八重樱', nameZhG64: '徒寄之八重樱', nameKo: '허무에 물든 여덟 겹 벚꽃', ruby: 'あだよりのやえざくら', rubyEn: '', baseType: 'special', type: 'action', cost: '4', text: 'あなたは基本動作《纏い》を5回行う。\n【使用済】あなたのカードの矢印効果があなたのオーラへと桜花結晶を動かすならば、その間だけオーラの上限を8として扱う。\n【使用済】あなたの開始フェイズの開始時にあなたオーラが6以上ならば、攻撃『適正距離 0-8、-/1』を行う。', textZh: '你进行5次基本动作《装附》。\n【已使用】你的牌的箭头效果向自装移动樱花结晶的时候，仅在那时将装的上限视为8。\n【已使用】你的准备阶段开始时自装有6或以上的话，进行一次“攻击距离0-8 伤害-/1”的攻击。', textZhG64: '进行5次基本动作《装附》。\n【已使用】你的牌上的箭头效果将樱花结晶移至自装时，自装上限视为8。\n【已使用】你的准备阶段开始时，若自装中的樱花结晶的数目大于等于6，则进行一次“攻击距离0-8 伤害-/1”的攻击。', textZhG64Additional: '당신은 기본동작 《휘감기》를 5회 수행한다.\n【사용됨】 당신의 카드의 화살표 효과가 벚꽃결정을 당신의 오라로 이동한다면, 최대 오라가 8인 것처럼 사용한다.\n【사용됨】 당신의 개시 페이즈 시작에, 당신의 오라가 6 이상이라면, 공격 『적정거리 0-8, -/1』을 수행한다.', textKo: 'Perform 5 Recover basic actions.\n\nDevoted: If an arrow (→) on a card you own would move Sakura tokens to your Aura, your maximum Aura is considered to be 8 for that effect.\n\nDevoted: At the beginning of your turn, if your Aura is 6 or more, you attack with "Range: 0-8, Damage: -/1".', textKoAdditional: 'Perform 5 Recover basic actions.\n\nDevoted: If an arrow (→) on a card you own would move Sakura tokens to your Aura, your maximum Aura is considered to be 8 for that effect.\n\nDevoted: At the beginning of your turn, if your Aura is 6 or more, you attack with "Range: 0-8, Damage: -/1".', textEn: 'Perform 5 Recover basic actions.\n\nDevoted: If an arrow (→) on a card you own would move Sakura tokens to your Aura, your maximum Aura is considered to be 8 for that effect.\n\nDevoted: At the beginning of your turn, if your Aura is 6 or more, you attack with "Range: 0-8, Damage: -/1".'},</x:v>
      </x:c>
      <x:c r="AU65" s="379" t="str">
        <x:f aca="0">IF($A65&lt;&gt;"", "    /** 《"&amp;$E65&amp;"》 */ export const "&amp;SUBSTITUTE(UPPER(IF(MID($A65, 3, 1)="-", RIGHT($A65,LEN($A65)-3), $A65)), "-", "_")&amp;": TCardId = '"&amp;$A65&amp;"';", "")</x:f>
        <x:v>    /** 《徒寄ノ八重桜》 */ export const TOKOYO_A2_S_3: TCardId = '04-tokoyo-A2-s-3';</x:v>
      </x:c>
      <x:c r="AV65" s="380" t="str">
        <x:f aca="0">IF($A66&lt;&gt;"", "    | '"&amp;$A66&amp;"'", "")</x:f>
        <x:v>    | '05-oboro-o-n-1'</x:v>
      </x:c>
    </x:row>
    <x:row r="66" ht="38" hidden="0" customHeight="1">
      <x:c r="A66" s="375" t="str">
        <x:v>05-oboro-o-n-1</x:v>
      </x:c>
      <x:c r="B66" s="375" t="str">
        <x:v>oboro</x:v>
      </x:c>
      <x:c r="C66" s="375"/>
      <x:c r="D66" s="375"/>
      <x:c r="E66" s="375" t="str">
        <x:v>鋼糸</x:v>
      </x:c>
      <x:c r="F66" s="375" t="str">
        <x:v>こうし</x:v>
      </x:c>
      <x:c r="G66" s="375" t="str">
        <x:v>钢丝</x:v>
      </x:c>
      <x:c r="H66" s="375" t="str">
        <x:v>钢丝</x:v>
      </x:c>
      <x:c r="I66" s="375"/>
      <x:c r="J66" s="375" t="str">
        <x:v>철사</x:v>
      </x:c>
      <x:c r="K66" s="375" t="str">
        <x:v>Steel Strings</x:v>
      </x:c>
      <x:c r="L66" s="375"/>
      <x:c r="M66" s="375" t="str">
        <x:v>通常札</x:v>
      </x:c>
      <x:c r="N66" s="375"/>
      <x:c r="O66" s="375"/>
      <x:c r="P66" s="375"/>
      <x:c r="Q66" s="375"/>
      <x:c r="R66" s="375" t="str">
        <x:v>攻撃</x:v>
      </x:c>
      <x:c r="S66" s="375"/>
      <x:c r="T66" s="375" t="str">
        <x:v>3-5</x:v>
      </x:c>
      <x:c r="U66" s="383"/>
      <x:c r="V66" s="382" t="str">
        <x:v>2/1</x:v>
      </x:c>
      <x:c r="W66" s="383"/>
      <x:c r="X66" s="382"/>
      <x:c r="Y66" s="382"/>
      <x:c r="Z66" s="382"/>
      <x:c r="AA66" s="382"/>
      <x:c r="AB66" s="385"/>
      <x:c r="AC66" s="385"/>
      <x:c r="AD66" s="386"/>
      <x:c r="AE66" s="440" t="str">
        <x:v>設置
【常時】このカードを伏せ札から使用したならば、この《攻撃》は+0/+1となる。</x:v>
      </x:c>
      <x:c r="AF66" s="441"/>
      <x:c r="AG66" s="488" t="str">
        <x:v>设置</x:v>
      </x:c>
      <x:c r="AH66" s="442"/>
      <x:c r="AI66" s="488" t="str">
        <x:v>设置</x:v>
      </x:c>
      <x:c r="AJ66" s="440"/>
      <x:c r="AK66" s="488" t="str">
        <x:v>설치</x:v>
      </x:c>
      <x:c r="AL66" s="440"/>
      <x:c r="AM66" s="488" t="str">
        <x:v>Trap</x:v>
      </x:c>
      <x:c r="AN66" s="440"/>
      <x:c r="AO66" s="440"/>
      <x:c r="AP66" s="440"/>
      <x:c r="AQ66" s="440"/>
      <x:c r="AR66" s="440"/>
      <x:c r="AS66" s="440"/>
      <x:c r="AT66" s="378" t="str">
        <x:f aca="0">IF(A66="", "","'"&amp;A66&amp;"': {megami: '"&amp;B66&amp;"'"&amp;IF(C66&lt;&gt;"",", anotherID: '"&amp;C66&amp;"', replace: '"&amp;D66&amp;"'","")&amp;", name: '"&amp;SUBSTITUTE(E66,"'","\'")&amp;"', nameEn: '"&amp;SUBSTITUTE(K66,"'","\'")&amp;"', nameZh: '"&amp;SUBSTITUTE(G66,"'","\'")&amp;"', nameZhG65: '"&amp;SUBSTITUTE(H66,"'","\'")&amp;"', nameKo: '"&amp;SUBSTITUTE(J66,"'","\'")&amp;"', ruby: '"&amp;F66&amp;"', rubyEn: '"&amp;L66&amp;IF(I66&lt;&gt;"", "', rubyZh: '"&amp;I66, "")&amp;"', baseType: '"&amp;IF(M66="通常札","normal",IF(M66="切札","special",IF(M66="追加札","extra",IF(M66="transform","transform",IF(M66="嵐","storm",IF(M66="兵員","troop",IF(M66="構想","plan",IF(M66="メインパーツ","mainParts",IF(M66="カスタムパーツ","customParts",IF(M66="運命","fate",IF(M66="仮想樹","virtualTree","")))))))))))&amp;"'"&amp;IF(N66="○",", extra: true","")&amp;IF(O66&lt;&gt;"",", extraFrom: '"&amp;O66&amp;"'","")&amp;IF(P66&lt;&gt;"",", exchangableTo: '"&amp;P66&amp;"'","")&amp;IF(Q66="○",", poison: true","")&amp;IF(R66&lt;&gt;"", ", type: '"&amp;IF(R66="攻撃","attack",IF(R66="行動","action",IF(R66="不定","variable",IF(R66="対応","reaction",IF(R66="全力","fullpower",IF(R66="付与","enhance",IF(R66="transform","transform","")))))))&amp;"'", "")&amp;IF(S66&lt;&gt;"",", subType: '"&amp;IF(S66="攻撃","attack",IF(S66="行動","action",IF(S66="不定","variable",IF(S66="対応","reaction",IF(S66="全力","fullpower",IF(S66="付与","enhance",IF(S66="transform","transform","")))))))&amp;"'","")&amp;""&amp;IF(T66&lt;&gt;"",", range: '"&amp;T66&amp;"'","")&amp;IF(V66&lt;&gt;"",", damage: '"&amp;V66&amp;"'","")&amp;IF(X66&lt;&gt;"",", capacity: '"&amp;X66&amp;"'","")&amp;IF(Y66&lt;&gt;"",", growth: "&amp;Y66&amp;"","")&amp;IF(Z66&lt;&gt;"",", cost: '"&amp;Z66&amp;"'","")&amp;", text: '"&amp;SUBSTITUTE(SUBSTITUTE(AE66, CHAR(13), ""),CHAR(10),"\n")&amp;IF(AF66&lt;&gt;"", "', textAdditional: '"&amp;SUBSTITUTE(SUBSTITUTE(AF66, CHAR(13), ""),CHAR(10),"\n"), "")&amp;"', textZh: '"&amp;SUBSTITUTE(SUBSTITUTE(SUBSTITUTE(AG66, CHAR(13), ""),CHAR(10),"\n"),"'","\'")&amp;"', textZhG65: '"&amp;SUBSTITUTE(SUBSTITUTE(SUBSTITUTE(AI66, CHAR(13), ""),CHAR(10),"\n"),"'","\'")&amp;IF(AH66&lt;&gt;"", "', textZhAdditional: '"&amp;SUBSTITUTE(SUBSTITUTE(AH66, CHAR(13), ""),CHAR(10),"\n"), "")&amp;IF(AK66&lt;&gt;"", "', textZhG65Additional: '"&amp;SUBSTITUTE(SUBSTITUTE(AK66, CHAR(13), ""),CHAR(10),"\n"), "")&amp;"', textKo: '"&amp;SUBSTITUTE(SUBSTITUTE(SUBSTITUTE(AM66, CHAR(13), ""),CHAR(10),"\n"),"'","\'")&amp;IF(AM66&lt;&gt;"", "', textKoAdditional: '"&amp;SUBSTITUTE(SUBSTITUTE(AM66, CHAR(13), ""),CHAR(10),"\n"), "")&amp;"', textEn: '"&amp;SUBSTITUTE(SUBSTITUTE(SUBSTITUTE(AM66, CHAR(13), ""),CHAR(10),"\n"),"'","\'")&amp;IF(AN66&lt;&gt;"", "', textEnAdditional: '"&amp;SUBSTITUTE(SUBSTITUTE(AN66, CHAR(13), ""),CHAR(10),"\n"), "")&amp;"'"&amp;IF(AB66="○",", sealable: true","")&amp;IF(AC66="○",", removable: true","")&amp;IF(AA66="○",", lie: true","")&amp;IF(AD66="○",", investable: true","")&amp;"},")</x:f>
        <x:v>'05-oboro-o-n-1': {megami: 'oboro', name: '鋼糸', nameEn: 'Steel Strings', nameZh: '钢丝', nameZhG65: '钢丝', nameKo: '철사', ruby: 'こうし', rubyEn: '', baseType: 'normal', type: 'attack', range: '3-5', damage: '2/1', text: '設置\n【常時】このカードを伏せ札から使用したならば、この《攻撃》は+0/+1となる。', textZh: '设置', textZhG65: '设置', textZhG65Additional: '설치', textKo: 'Trap', textKoAdditional: 'Trap', textEn: 'Trap'},</x:v>
      </x:c>
      <x:c r="AU66" s="379" t="str">
        <x:f aca="0">IF($A66&lt;&gt;"", "    /** 《"&amp;$E66&amp;"》 */ export const "&amp;SUBSTITUTE(UPPER(IF(MID($A66, 3, 1)="-", RIGHT($A66,LEN($A66)-3), $A66)), "-", "_")&amp;": TCardId = '"&amp;$A66&amp;"';", "")</x:f>
        <x:v>    /** 《鋼糸》 */ export const OBORO_O_N_1: TCardId = '05-oboro-o-n-1';</x:v>
      </x:c>
      <x:c r="AV66" s="380" t="str">
        <x:f aca="0">IF($A67&lt;&gt;"", "    | '"&amp;$A67&amp;"'", "")</x:f>
        <x:v>    | '05-oboro-o-n-2'</x:v>
      </x:c>
    </x:row>
    <x:row r="67" ht="98" hidden="0" customHeight="1">
      <x:c r="A67" s="375" t="str">
        <x:v>05-oboro-o-n-2</x:v>
      </x:c>
      <x:c r="B67" s="375" t="str">
        <x:v>oboro</x:v>
      </x:c>
      <x:c r="C67" s="375"/>
      <x:c r="D67" s="375"/>
      <x:c r="E67" s="375" t="str">
        <x:v>影菱</x:v>
      </x:c>
      <x:c r="F67" s="375" t="str">
        <x:v>かげびし</x:v>
      </x:c>
      <x:c r="G67" s="375" t="str">
        <x:v>影菱</x:v>
      </x:c>
      <x:c r="H67" s="375" t="str">
        <x:v>影菱</x:v>
      </x:c>
      <x:c r="I67" s="375"/>
      <x:c r="J67" s="375" t="str">
        <x:v>그림자 마름</x:v>
      </x:c>
      <x:c r="K67" s="375" t="str">
        <x:v>Caltrops</x:v>
      </x:c>
      <x:c r="L67" s="375"/>
      <x:c r="M67" s="375" t="str">
        <x:v>通常札</x:v>
      </x:c>
      <x:c r="N67" s="375"/>
      <x:c r="O67" s="375"/>
      <x:c r="P67" s="375"/>
      <x:c r="Q67" s="375"/>
      <x:c r="R67" s="375" t="str">
        <x:v>攻撃</x:v>
      </x:c>
      <x:c r="S67" s="375"/>
      <x:c r="T67" s="375" t="str">
        <x:v>2-3</x:v>
      </x:c>
      <x:c r="U67" s="383"/>
      <x:c r="V67" s="382" t="str">
        <x:v>2/1</x:v>
      </x:c>
      <x:c r="W67" s="383"/>
      <x:c r="X67" s="382"/>
      <x:c r="Y67" s="382"/>
      <x:c r="Z67" s="382"/>
      <x:c r="AA67" s="382"/>
      <x:c r="AB67" s="385"/>
      <x:c r="AC67" s="385"/>
      <x:c r="AD67" s="386"/>
      <x:c r="AE67" s="440" t="str">
        <x:v>設置　対応不可
【攻撃後】このカードを伏せ札から使用したならば、相手を畏縮させる。</x:v>
      </x:c>
      <x:c r="AF67" s="441"/>
      <x:c r="AG67" s="488" t="str">
        <x:v>设置 不可被对应 
【攻击后】若你从盖牌区使用此牌，且你还有其他盖牌，则检视对手的手牌，盖伏其中1张。</x:v>
      </x:c>
      <x:c r="AH67" s="442"/>
      <x:c r="AI67" s="488" t="str">
        <x:v>设置 不可被对应 
【攻击后】若你从盖牌区使用此牌，且盖牌区中存在其他牌，则检视对手的手牌，从中选择1张并盖伏。</x:v>
      </x:c>
      <x:c r="AJ67" s="440"/>
      <x:c r="AK67" s="488" t="str">
        <x:v>설치 대응불가
【공격후】이 카드를 덮임패에서 사용했고 다른 카드가 덮임패에 존재한다면, 상대의 손패를 보고 그 중 1장을 골라, 그것을 덮임패로 한다.</x:v>
      </x:c>
      <x:c r="AL67" s="440"/>
      <x:c r="AM67" s="488" t="str">
        <x:v>Trap    No Reactions
After Attack: If this card was played from your discard pile, and there is at least one other card in your discard pile, look at your opponent's hand. Choose one of those cards and put it into their discard pile.</x:v>
      </x:c>
      <x:c r="AN67" s="440"/>
      <x:c r="AO67" s="440"/>
      <x:c r="AP67" s="440"/>
      <x:c r="AQ67" s="440"/>
      <x:c r="AR67" s="440"/>
      <x:c r="AS67" s="440"/>
      <x:c r="AT67" s="378" t="str">
        <x:f aca="0">IF(A67="", "","'"&amp;A67&amp;"': {megami: '"&amp;B67&amp;"'"&amp;IF(C67&lt;&gt;"",", anotherID: '"&amp;C67&amp;"', replace: '"&amp;D67&amp;"'","")&amp;", name: '"&amp;SUBSTITUTE(E67,"'","\'")&amp;"', nameEn: '"&amp;SUBSTITUTE(K67,"'","\'")&amp;"', nameZh: '"&amp;SUBSTITUTE(G67,"'","\'")&amp;"', nameZhG66: '"&amp;SUBSTITUTE(H67,"'","\'")&amp;"', nameKo: '"&amp;SUBSTITUTE(J67,"'","\'")&amp;"', ruby: '"&amp;F67&amp;"', rubyEn: '"&amp;L67&amp;IF(I67&lt;&gt;"", "', rubyZh: '"&amp;I67, "")&amp;"', baseType: '"&amp;IF(M67="通常札","normal",IF(M67="切札","special",IF(M67="追加札","extra",IF(M67="transform","transform",IF(M67="嵐","storm",IF(M67="兵員","troop",IF(M67="構想","plan",IF(M67="メインパーツ","mainParts",IF(M67="カスタムパーツ","customParts",IF(M67="運命","fate",IF(M67="仮想樹","virtualTree","")))))))))))&amp;"'"&amp;IF(N67="○",", extra: true","")&amp;IF(O67&lt;&gt;"",", extraFrom: '"&amp;O67&amp;"'","")&amp;IF(P67&lt;&gt;"",", exchangableTo: '"&amp;P67&amp;"'","")&amp;IF(Q67="○",", poison: true","")&amp;IF(R67&lt;&gt;"", ", type: '"&amp;IF(R67="攻撃","attack",IF(R67="行動","action",IF(R67="不定","variable",IF(R67="対応","reaction",IF(R67="全力","fullpower",IF(R67="付与","enhance",IF(R67="transform","transform","")))))))&amp;"'", "")&amp;IF(S67&lt;&gt;"",", subType: '"&amp;IF(S67="攻撃","attack",IF(S67="行動","action",IF(S67="不定","variable",IF(S67="対応","reaction",IF(S67="全力","fullpower",IF(S67="付与","enhance",IF(S67="transform","transform","")))))))&amp;"'","")&amp;""&amp;IF(T67&lt;&gt;"",", range: '"&amp;T67&amp;"'","")&amp;IF(V67&lt;&gt;"",", damage: '"&amp;V67&amp;"'","")&amp;IF(X67&lt;&gt;"",", capacity: '"&amp;X67&amp;"'","")&amp;IF(Y67&lt;&gt;"",", growth: "&amp;Y67&amp;"","")&amp;IF(Z67&lt;&gt;"",", cost: '"&amp;Z67&amp;"'","")&amp;", text: '"&amp;SUBSTITUTE(SUBSTITUTE(AE67, CHAR(13), ""),CHAR(10),"\n")&amp;IF(AF67&lt;&gt;"", "', textAdditional: '"&amp;SUBSTITUTE(SUBSTITUTE(AF67, CHAR(13), ""),CHAR(10),"\n"), "")&amp;"', textZh: '"&amp;SUBSTITUTE(SUBSTITUTE(SUBSTITUTE(AG67, CHAR(13), ""),CHAR(10),"\n"),"'","\'")&amp;"', textZhG66: '"&amp;SUBSTITUTE(SUBSTITUTE(SUBSTITUTE(AI67, CHAR(13), ""),CHAR(10),"\n"),"'","\'")&amp;IF(AH67&lt;&gt;"", "', textZhAdditional: '"&amp;SUBSTITUTE(SUBSTITUTE(AH67, CHAR(13), ""),CHAR(10),"\n"), "")&amp;IF(AK67&lt;&gt;"", "', textZhG66Additional: '"&amp;SUBSTITUTE(SUBSTITUTE(AK67, CHAR(13), ""),CHAR(10),"\n"), "")&amp;"', textKo: '"&amp;SUBSTITUTE(SUBSTITUTE(SUBSTITUTE(AM67, CHAR(13), ""),CHAR(10),"\n"),"'","\'")&amp;IF(AM67&lt;&gt;"", "', textKoAdditional: '"&amp;SUBSTITUTE(SUBSTITUTE(AM67, CHAR(13), ""),CHAR(10),"\n"), "")&amp;"', textEn: '"&amp;SUBSTITUTE(SUBSTITUTE(SUBSTITUTE(AM67, CHAR(13), ""),CHAR(10),"\n"),"'","\'")&amp;IF(AN67&lt;&gt;"", "', textEnAdditional: '"&amp;SUBSTITUTE(SUBSTITUTE(AN67, CHAR(13), ""),CHAR(10),"\n"), "")&amp;"'"&amp;IF(AB67="○",", sealable: true","")&amp;IF(AC67="○",", removable: true","")&amp;IF(AA67="○",", lie: true","")&amp;IF(AD67="○",", investable: true","")&amp;"},")</x:f>
        <x:v>'05-oboro-o-n-2': {megami: 'oboro', name: '影菱', nameEn: 'Caltrops', nameZh: '影菱', nameZhG66: '影菱', nameKo: '그림자 마름', ruby: 'かげびし', rubyEn: '', baseType: 'normal', type: 'attack', range: '2-3', damage: '2/1', text: '設置　対応不可\n【攻撃後】このカードを伏せ札から使用したならば、相手を畏縮させる。', textZh: '设置 不可被对应 \n【攻击后】若你从盖牌区使用此牌，且你还有其他盖牌，则检视对手的手牌，盖伏其中1张。', textZhG66: '设置 不可被对应 \n【攻击后】若你从盖牌区使用此牌，且盖牌区中存在其他牌，则检视对手的手牌，从中选择1张并盖伏。', textZhG66Additional: '설치 대응불가\n【공격후】이 카드를 덮임패에서 사용했고 다른 카드가 덮임패에 존재한다면, 상대의 손패를 보고 그 중 1장을 골라, 그것을 덮임패로 한다.', textKo: 'Trap    No Reactions\n\nAfter Attack: If this card was played from your discard pile, and there is at least one other card in your discard pile, look at your opponent\'s hand. Choose one of those cards and put it into their discard pile.', textKoAdditional: 'Trap    No Reactions\n\nAfter Attack: If this card was played from your discard pile, and there is at least one other card in your discard pile, look at your opponent's hand. Choose one of those cards and put it into their discard pile.', textEn: 'Trap    No Reactions\n\nAfter Attack: If this card was played from your discard pile, and there is at least one other card in your discard pile, look at your opponent\'s hand. Choose one of those cards and put it into their discard pile.'},</x:v>
      </x:c>
      <x:c r="AU67" s="379" t="str">
        <x:f aca="0">IF($A67&lt;&gt;"", "    /** 《"&amp;$E67&amp;"》 */ export const "&amp;SUBSTITUTE(UPPER(IF(MID($A67, 3, 1)="-", RIGHT($A67,LEN($A67)-3), $A67)), "-", "_")&amp;": TCardId = '"&amp;$A67&amp;"';", "")</x:f>
        <x:v>    /** 《影菱》 */ export const OBORO_O_N_2: TCardId = '05-oboro-o-n-2';</x:v>
      </x:c>
      <x:c r="AV67" s="380" t="str">
        <x:f aca="0">IF($A68&lt;&gt;"", "    | '"&amp;$A68&amp;"'", "")</x:f>
        <x:v>    | '05-oboro-o-n-6'</x:v>
      </x:c>
    </x:row>
    <x:row r="68" ht="68" hidden="0" customHeight="1">
      <x:c r="A68" s="375" t="str">
        <x:v>05-oboro-o-n-6</x:v>
      </x:c>
      <x:c r="B68" s="375" t="str">
        <x:v>oboro</x:v>
      </x:c>
      <x:c r="C68" s="375"/>
      <x:c r="D68" s="375"/>
      <x:c r="E68" s="375" t="str">
        <x:v>分身の術</x:v>
      </x:c>
      <x:c r="F68" s="375" t="str">
        <x:v>ぶんしんのじゅつ</x:v>
      </x:c>
      <x:c r="G68" s="375" t="str">
        <x:v>分身术</x:v>
      </x:c>
      <x:c r="H68" s="375" t="str">
        <x:v>分身术</x:v>
      </x:c>
      <x:c r="I68" s="375"/>
      <x:c r="J68" s="375" t="str">
        <x:v>분신술</x:v>
      </x:c>
      <x:c r="K68" s="375" t="str">
        <x:v>Shadow Cloning</x:v>
      </x:c>
      <x:c r="L68" s="375"/>
      <x:c r="M68" s="375" t="str">
        <x:v>通常札</x:v>
      </x:c>
      <x:c r="N68" s="375"/>
      <x:c r="O68" s="375"/>
      <x:c r="P68" s="375"/>
      <x:c r="Q68" s="375"/>
      <x:c r="R68" s="375" t="str">
        <x:v>攻撃</x:v>
      </x:c>
      <x:c r="S68" s="375"/>
      <x:c r="T68" s="375" t="str">
        <x:v>3-4</x:v>
      </x:c>
      <x:c r="U68" s="383"/>
      <x:c r="V68" s="382" t="str">
        <x:v>2/1</x:v>
      </x:c>
      <x:c r="W68" s="383"/>
      <x:c r="X68" s="382"/>
      <x:c r="Y68" s="382"/>
      <x:c r="Z68" s="382"/>
      <x:c r="AA68" s="382"/>
      <x:c r="AB68" s="385"/>
      <x:c r="AC68" s="385"/>
      <x:c r="AD68" s="386"/>
      <x:c r="AE68" s="440" t="str">
        <x:v>【攻撃後】手札を1枚伏せ札にしてもよい。そうした場合、攻撃『適正距離3-4、1/1』を行い、基本動作《纏い》を1回行う。</x:v>
      </x:c>
      <x:c r="AF68" s="441"/>
      <x:c r="AG68" s="488" t="str">
        <x:v>从盖牌区中选择1张非《全力》的牌使用。若以此法使用的牌结算完毕进入弃牌区，则从弃牌区中再次使用之。若所选择的牌是《攻击》牌，则此《攻击》得不可被对应（2次都获得）。</x:v>
      </x:c>
      <x:c r="AH68" s="442"/>
      <x:c r="AI68" s="488" t="str">
        <x:v>从盖牌区中选择一张非《全力》的牌使用。当所选择的牌结算完毕进入弃牌区时，从弃牌区中再次使用之（这个效果仅结算一次）。若所选择的牌是《攻击》牌，则此《攻击》得不可被对应（2次都获得）。</x:v>
      </x:c>
      <x:c r="AJ68" s="440"/>
      <x:c r="AK68" s="488" t="str">
        <x:v>덮임패에서 《전력》이 아닌 카드를 1장 골라, 그 카드를 사용한다. 그 후, 그 카드가 버림패에 있다면 버림패에서 한번 더 사용한다. 《공격》카드가 사용됐다면 그 《공격》들은 대응불가를 얻는다（2번 모두 대응불가를 얻는다）.</x:v>
      </x:c>
      <x:c r="AL68" s="440"/>
      <x:c r="AM68" s="488" t="str">
        <x:v>Reveal a non-Throughout card in your discard pile and play it. Then play it again if it is in your played pile. If the played card is an Attack card, it gains No Reactions (both times).</x:v>
      </x:c>
      <x:c r="AN68" s="440"/>
      <x:c r="AO68" s="440"/>
      <x:c r="AP68" s="440"/>
      <x:c r="AQ68" s="440"/>
      <x:c r="AR68" s="440"/>
      <x:c r="AS68" s="440"/>
      <x:c r="AT68" s="378" t="str">
        <x:f aca="0">IF(A68="", "","'"&amp;A68&amp;"': {megami: '"&amp;B68&amp;"'"&amp;IF(C68&lt;&gt;"",", anotherID: '"&amp;C68&amp;"', replace: '"&amp;D68&amp;"'","")&amp;", name: '"&amp;SUBSTITUTE(E68,"'","\'")&amp;"', nameEn: '"&amp;SUBSTITUTE(K68,"'","\'")&amp;"', nameZh: '"&amp;SUBSTITUTE(G68,"'","\'")&amp;"', nameZhG67: '"&amp;SUBSTITUTE(H68,"'","\'")&amp;"', nameKo: '"&amp;SUBSTITUTE(J68,"'","\'")&amp;"', ruby: '"&amp;F68&amp;"', rubyEn: '"&amp;L68&amp;IF(I68&lt;&gt;"", "', rubyZh: '"&amp;I68, "")&amp;"', baseType: '"&amp;IF(M68="通常札","normal",IF(M68="切札","special",IF(M68="追加札","extra",IF(M68="transform","transform",IF(M68="嵐","storm",IF(M68="兵員","troop",IF(M68="構想","plan",IF(M68="メインパーツ","mainParts",IF(M68="カスタムパーツ","customParts",IF(M68="運命","fate",IF(M68="仮想樹","virtualTree","")))))))))))&amp;"'"&amp;IF(N68="○",", extra: true","")&amp;IF(O68&lt;&gt;"",", extraFrom: '"&amp;O68&amp;"'","")&amp;IF(P68&lt;&gt;"",", exchangableTo: '"&amp;P68&amp;"'","")&amp;IF(Q68="○",", poison: true","")&amp;IF(R68&lt;&gt;"", ", type: '"&amp;IF(R68="攻撃","attack",IF(R68="行動","action",IF(R68="不定","variable",IF(R68="対応","reaction",IF(R68="全力","fullpower",IF(R68="付与","enhance",IF(R68="transform","transform","")))))))&amp;"'", "")&amp;IF(S68&lt;&gt;"",", subType: '"&amp;IF(S68="攻撃","attack",IF(S68="行動","action",IF(S68="不定","variable",IF(S68="対応","reaction",IF(S68="全力","fullpower",IF(S68="付与","enhance",IF(S68="transform","transform","")))))))&amp;"'","")&amp;""&amp;IF(T68&lt;&gt;"",", range: '"&amp;T68&amp;"'","")&amp;IF(V68&lt;&gt;"",", damage: '"&amp;V68&amp;"'","")&amp;IF(X68&lt;&gt;"",", capacity: '"&amp;X68&amp;"'","")&amp;IF(Y68&lt;&gt;"",", growth: "&amp;Y68&amp;"","")&amp;IF(Z68&lt;&gt;"",", cost: '"&amp;Z68&amp;"'","")&amp;", text: '"&amp;SUBSTITUTE(SUBSTITUTE(AE68, CHAR(13), ""),CHAR(10),"\n")&amp;IF(AF68&lt;&gt;"", "', textAdditional: '"&amp;SUBSTITUTE(SUBSTITUTE(AF68, CHAR(13), ""),CHAR(10),"\n"), "")&amp;"', textZh: '"&amp;SUBSTITUTE(SUBSTITUTE(SUBSTITUTE(AG68, CHAR(13), ""),CHAR(10),"\n"),"'","\'")&amp;"', textZhG67: '"&amp;SUBSTITUTE(SUBSTITUTE(SUBSTITUTE(AI68, CHAR(13), ""),CHAR(10),"\n"),"'","\'")&amp;IF(AH68&lt;&gt;"", "', textZhAdditional: '"&amp;SUBSTITUTE(SUBSTITUTE(AH68, CHAR(13), ""),CHAR(10),"\n"), "")&amp;IF(AK68&lt;&gt;"", "', textZhG67Additional: '"&amp;SUBSTITUTE(SUBSTITUTE(AK68, CHAR(13), ""),CHAR(10),"\n"), "")&amp;"', textKo: '"&amp;SUBSTITUTE(SUBSTITUTE(SUBSTITUTE(AM68, CHAR(13), ""),CHAR(10),"\n"),"'","\'")&amp;IF(AM68&lt;&gt;"", "', textKoAdditional: '"&amp;SUBSTITUTE(SUBSTITUTE(AM68, CHAR(13), ""),CHAR(10),"\n"), "")&amp;"', textEn: '"&amp;SUBSTITUTE(SUBSTITUTE(SUBSTITUTE(AM68, CHAR(13), ""),CHAR(10),"\n"),"'","\'")&amp;IF(AN68&lt;&gt;"", "', textEnAdditional: '"&amp;SUBSTITUTE(SUBSTITUTE(AN68, CHAR(13), ""),CHAR(10),"\n"), "")&amp;"'"&amp;IF(AB68="○",", sealable: true","")&amp;IF(AC68="○",", removable: true","")&amp;IF(AA68="○",", lie: true","")&amp;IF(AD68="○",", investable: true","")&amp;"},")</x:f>
        <x:v>'05-oboro-o-n-6': {megami: 'oboro', name: '分身の術', nameEn: 'Shadow Cloning', nameZh: '分身术', nameZhG67: '分身术', nameKo: '분신술', ruby: 'ぶんしんのじゅつ', rubyEn: '', baseType: 'normal', type: 'attack', range: '3-4', damage: '2/1', text: '【攻撃後】手札を1枚伏せ札にしてもよい。そうした場合、攻撃『適正距離3-4、1/1』を行い、基本動作《纏い》を1回行う。', textZh: '从盖牌区中选择1张非《全力》的牌使用。若以此法使用的牌结算完毕进入弃牌区，则从弃牌区中再次使用之。若所选择的牌是《攻击》牌，则此《攻击》得不可被对应（2次都获得）。', textZhG67: '从盖牌区中选择一张非《全力》的牌使用。当所选择的牌结算完毕进入弃牌区时，从弃牌区中再次使用之（这个效果仅结算一次）。若所选择的牌是《攻击》牌，则此《攻击》得不可被对应（2次都获得）。', textZhG67Additional: '덮임패에서 《전력》이 아닌 카드를 1장 골라, 그 카드를 사용한다. 그 후, 그 카드가 버림패에 있다면 버림패에서 한번 더 사용한다. 《공격》카드가 사용됐다면 그 《공격》들은 대응불가를 얻는다（2번 모두 대응불가를 얻는다）.', textKo: 'Reveal a non-Throughout card in your discard pile and play it. Then play it again if it is in your played pile. If the played card is an Attack card, it gains No Reactions (both times).', textKoAdditional: 'Reveal a non-Throughout card in your discard pile and play it. Then play it again if it is in your played pile. If the played card is an Attack card, it gains No Reactions (both times).', textEn: 'Reveal a non-Throughout card in your discard pile and play it. Then play it again if it is in your played pile. If the played card is an Attack card, it gains No Reactions (both times).'},</x:v>
      </x:c>
      <x:c r="AU68" s="379" t="str">
        <x:f aca="0">IF($A68&lt;&gt;"", "    /** 《"&amp;$E68&amp;"》 */ export const "&amp;SUBSTITUTE(UPPER(IF(MID($A68, 3, 1)="-", RIGHT($A68,LEN($A68)-3), $A68)), "-", "_")&amp;": TCardId = '"&amp;$A68&amp;"';", "")</x:f>
        <x:v>    /** 《分身の術》 */ export const OBORO_O_N_6: TCardId = '05-oboro-o-n-6';</x:v>
      </x:c>
      <x:c r="AV68" s="380" t="str">
        <x:f aca="0">IF($A69&lt;&gt;"", "    | '"&amp;$A69&amp;"'", "")</x:f>
        <x:v>    | '05-oboro-o-n-3'</x:v>
      </x:c>
    </x:row>
    <x:row r="69" ht="38" hidden="0" customHeight="1">
      <x:c r="A69" s="375" t="str">
        <x:v>05-oboro-o-n-3</x:v>
      </x:c>
      <x:c r="B69" s="375" t="str">
        <x:v>oboro</x:v>
      </x:c>
      <x:c r="C69" s="375"/>
      <x:c r="D69" s="375"/>
      <x:c r="E69" s="375" t="str">
        <x:v>斬撃乱舞</x:v>
      </x:c>
      <x:c r="F69" s="375" t="str">
        <x:v>ざんげきらんぶ</x:v>
      </x:c>
      <x:c r="G69" s="375" t="str">
        <x:v>斩击乱舞</x:v>
      </x:c>
      <x:c r="H69" s="375" t="str">
        <x:v>斩击乱舞</x:v>
      </x:c>
      <x:c r="I69" s="375"/>
      <x:c r="J69" s="375" t="str">
        <x:v>참격난무</x:v>
      </x:c>
      <x:c r="K69" s="375" t="str">
        <x:v>Rush of Blades</x:v>
      </x:c>
      <x:c r="L69" s="375"/>
      <x:c r="M69" s="375" t="str">
        <x:v>通常札</x:v>
      </x:c>
      <x:c r="N69" s="375"/>
      <x:c r="O69" s="375"/>
      <x:c r="P69" s="375"/>
      <x:c r="Q69" s="375"/>
      <x:c r="R69" s="375" t="str">
        <x:v>攻撃</x:v>
      </x:c>
      <x:c r="S69" s="375" t="str">
        <x:v>全力</x:v>
      </x:c>
      <x:c r="T69" s="375" t="str">
        <x:v>2-4</x:v>
      </x:c>
      <x:c r="U69" s="383"/>
      <x:c r="V69" s="382" t="str">
        <x:v>3/2</x:v>
      </x:c>
      <x:c r="W69" s="383"/>
      <x:c r="X69" s="382"/>
      <x:c r="Y69" s="382"/>
      <x:c r="Z69" s="382"/>
      <x:c r="AA69" s="382"/>
      <x:c r="AB69" s="385"/>
      <x:c r="AC69" s="385"/>
      <x:c r="AD69" s="386"/>
      <x:c r="AE69" s="440" t="str">
        <x:v>【常時】相手がこのターン中にオーラへのダメージを受けているならば、この《攻撃》は+1/+1となる。</x:v>
      </x:c>
      <x:c r="AF69" s="441"/>
      <x:c r="AG69" s="440" t="str">
        <x:v>【常时】若本回合内敌装受到过伤害，则此《攻击》得+1/+1。</x:v>
      </x:c>
      <x:c r="AH69" s="442"/>
      <x:c r="AI69" s="440" t="str">
        <x:v>【常时】若本回合内敌装受到过伤害，则此《攻击》得+1/+1</x:v>
      </x:c>
      <x:c r="AJ69" s="440"/>
      <x:c r="AK69" s="440" t="str">
        <x:v>【상시】상대가 이 턴 안에 오라로의 대미지를 받았다면, 이 《공격》은 +1/+1이 된다.</x:v>
      </x:c>
      <x:c r="AL69" s="440"/>
      <x:c r="AM69" s="440" t="str">
        <x:v>Forced: This attack gains +1/+1 if your opponent has taken damage to their Aura this turn.</x:v>
      </x:c>
      <x:c r="AN69" s="440"/>
      <x:c r="AO69" s="440"/>
      <x:c r="AP69" s="440"/>
      <x:c r="AQ69" s="440"/>
      <x:c r="AR69" s="440"/>
      <x:c r="AS69" s="440"/>
      <x:c r="AT69" s="378" t="str">
        <x:f aca="0">IF(A69="", "","'"&amp;A69&amp;"': {megami: '"&amp;B69&amp;"'"&amp;IF(C69&lt;&gt;"",", anotherID: '"&amp;C69&amp;"', replace: '"&amp;D69&amp;"'","")&amp;", name: '"&amp;SUBSTITUTE(E69,"'","\'")&amp;"', nameEn: '"&amp;SUBSTITUTE(K69,"'","\'")&amp;"', nameZh: '"&amp;SUBSTITUTE(G69,"'","\'")&amp;"', nameZhG68: '"&amp;SUBSTITUTE(H69,"'","\'")&amp;"', nameKo: '"&amp;SUBSTITUTE(J69,"'","\'")&amp;"', ruby: '"&amp;F69&amp;"', rubyEn: '"&amp;L69&amp;IF(I69&lt;&gt;"", "', rubyZh: '"&amp;I69, "")&amp;"', baseType: '"&amp;IF(M69="通常札","normal",IF(M69="切札","special",IF(M69="追加札","extra",IF(M69="transform","transform",IF(M69="嵐","storm",IF(M69="兵員","troop",IF(M69="構想","plan",IF(M69="メインパーツ","mainParts",IF(M69="カスタムパーツ","customParts",IF(M69="運命","fate",IF(M69="仮想樹","virtualTree","")))))))))))&amp;"'"&amp;IF(N69="○",", extra: true","")&amp;IF(O69&lt;&gt;"",", extraFrom: '"&amp;O69&amp;"'","")&amp;IF(P69&lt;&gt;"",", exchangableTo: '"&amp;P69&amp;"'","")&amp;IF(Q69="○",", poison: true","")&amp;IF(R69&lt;&gt;"", ", type: '"&amp;IF(R69="攻撃","attack",IF(R69="行動","action",IF(R69="不定","variable",IF(R69="対応","reaction",IF(R69="全力","fullpower",IF(R69="付与","enhance",IF(R69="transform","transform","")))))))&amp;"'", "")&amp;IF(S69&lt;&gt;"",", subType: '"&amp;IF(S69="攻撃","attack",IF(S69="行動","action",IF(S69="不定","variable",IF(S69="対応","reaction",IF(S69="全力","fullpower",IF(S69="付与","enhance",IF(S69="transform","transform","")))))))&amp;"'","")&amp;""&amp;IF(T69&lt;&gt;"",", range: '"&amp;T69&amp;"'","")&amp;IF(V69&lt;&gt;"",", damage: '"&amp;V69&amp;"'","")&amp;IF(X69&lt;&gt;"",", capacity: '"&amp;X69&amp;"'","")&amp;IF(Y69&lt;&gt;"",", growth: "&amp;Y69&amp;"","")&amp;IF(Z69&lt;&gt;"",", cost: '"&amp;Z69&amp;"'","")&amp;", text: '"&amp;SUBSTITUTE(SUBSTITUTE(AE69, CHAR(13), ""),CHAR(10),"\n")&amp;IF(AF69&lt;&gt;"", "', textAdditional: '"&amp;SUBSTITUTE(SUBSTITUTE(AF69, CHAR(13), ""),CHAR(10),"\n"), "")&amp;"', textZh: '"&amp;SUBSTITUTE(SUBSTITUTE(SUBSTITUTE(AG69, CHAR(13), ""),CHAR(10),"\n"),"'","\'")&amp;"', textZhG68: '"&amp;SUBSTITUTE(SUBSTITUTE(SUBSTITUTE(AI69, CHAR(13), ""),CHAR(10),"\n"),"'","\'")&amp;IF(AH69&lt;&gt;"", "', textZhAdditional: '"&amp;SUBSTITUTE(SUBSTITUTE(AH69, CHAR(13), ""),CHAR(10),"\n"), "")&amp;IF(AK69&lt;&gt;"", "', textZhG68Additional: '"&amp;SUBSTITUTE(SUBSTITUTE(AK69, CHAR(13), ""),CHAR(10),"\n"), "")&amp;"', textKo: '"&amp;SUBSTITUTE(SUBSTITUTE(SUBSTITUTE(AM69, CHAR(13), ""),CHAR(10),"\n"),"'","\'")&amp;IF(AM69&lt;&gt;"", "', textKoAdditional: '"&amp;SUBSTITUTE(SUBSTITUTE(AM69, CHAR(13), ""),CHAR(10),"\n"), "")&amp;"', textEn: '"&amp;SUBSTITUTE(SUBSTITUTE(SUBSTITUTE(AM69, CHAR(13), ""),CHAR(10),"\n"),"'","\'")&amp;IF(AN69&lt;&gt;"", "', textEnAdditional: '"&amp;SUBSTITUTE(SUBSTITUTE(AN69, CHAR(13), ""),CHAR(10),"\n"), "")&amp;"'"&amp;IF(AB69="○",", sealable: true","")&amp;IF(AC69="○",", removable: true","")&amp;IF(AA69="○",", lie: true","")&amp;IF(AD69="○",", investable: true","")&amp;"},")</x:f>
        <x:v>'05-oboro-o-n-3': {megami: 'oboro', name: '斬撃乱舞', nameEn: 'Rush of Blades', nameZh: '斩击乱舞', nameZhG68: '斩击乱舞', nameKo: '참격난무', ruby: 'ざんげきらんぶ', rubyEn: '', baseType: 'normal', type: 'attack', subType: 'fullpower', range: '2-4', damage: '3/2', text: '【常時】相手がこのターン中にオーラへのダメージを受けているならば、この《攻撃》は+1/+1となる。', textZh: '【常时】若本回合内敌装受到过伤害，则此《攻击》得+1/+1。', textZhG68: '【常时】若本回合内敌装受到过伤害，则此《攻击》得+1/+1', textZhG68Additional: '【상시】상대가 이 턴 안에 오라로의 대미지를 받았다면, 이 《공격》은 +1/+1이 된다.', textKo: 'Forced: This attack gains +1/+1 if your opponent has taken damage to their Aura this turn.', textKoAdditional: 'Forced: This attack gains +1/+1 if your opponent has taken damage to their Aura this turn.', textEn: 'Forced: This attack gains +1/+1 if your opponent has taken damage to their Aura this turn.'},</x:v>
      </x:c>
      <x:c r="AU69" s="379" t="str">
        <x:f aca="0">IF($A69&lt;&gt;"", "    /** 《"&amp;$E69&amp;"》 */ export const "&amp;SUBSTITUTE(UPPER(IF(MID($A69, 3, 1)="-", RIGHT($A69,LEN($A69)-3), $A69)), "-", "_")&amp;": TCardId = '"&amp;$A69&amp;"';", "")</x:f>
        <x:v>    /** 《斬撃乱舞》 */ export const OBORO_O_N_3: TCardId = '05-oboro-o-n-3';</x:v>
      </x:c>
      <x:c r="AV69" s="380" t="str">
        <x:f aca="0">IF($A70&lt;&gt;"", "    | '"&amp;$A70&amp;"'", "")</x:f>
        <x:v>    | '05-oboro-o-n-4'</x:v>
      </x:c>
    </x:row>
    <x:row r="70" ht="98" hidden="0" customHeight="1">
      <x:c r="A70" s="375" t="str">
        <x:v>05-oboro-o-n-4</x:v>
      </x:c>
      <x:c r="B70" s="375" t="str">
        <x:v>oboro</x:v>
      </x:c>
      <x:c r="C70" s="375"/>
      <x:c r="D70" s="375"/>
      <x:c r="E70" s="375" t="str">
        <x:v>忍歩</x:v>
      </x:c>
      <x:c r="F70" s="375" t="str">
        <x:v>にんぽ</x:v>
      </x:c>
      <x:c r="G70" s="375" t="str">
        <x:v>忍步</x:v>
      </x:c>
      <x:c r="H70" s="375" t="str">
        <x:v>忍步</x:v>
      </x:c>
      <x:c r="I70" s="375"/>
      <x:c r="J70" s="375" t="str">
        <x:v>닌자걸음</x:v>
      </x:c>
      <x:c r="K70" s="375" t="str">
        <x:v>Ninpo-Walk</x:v>
      </x:c>
      <x:c r="L70" s="375"/>
      <x:c r="M70" s="375" t="str">
        <x:v>通常札</x:v>
      </x:c>
      <x:c r="N70" s="375"/>
      <x:c r="O70" s="375"/>
      <x:c r="P70" s="375"/>
      <x:c r="Q70" s="375"/>
      <x:c r="R70" s="375" t="str">
        <x:v>行動</x:v>
      </x:c>
      <x:c r="S70" s="375"/>
      <x:c r="T70" s="375"/>
      <x:c r="U70" s="383"/>
      <x:c r="V70" s="382"/>
      <x:c r="W70" s="383"/>
      <x:c r="X70" s="382"/>
      <x:c r="Y70" s="382"/>
      <x:c r="Z70" s="382"/>
      <x:c r="AA70" s="382"/>
      <x:c r="AB70" s="385"/>
      <x:c r="AC70" s="385"/>
      <x:c r="AD70" s="386"/>
      <x:c r="AE70" s="440" t="str">
        <x:v>設置 
ダスト→間合：1
このカードを伏せ札から使用したならば、伏せ札から設置を持つカードを1枚まで選び、それを使用してもよい。</x:v>
      </x:c>
      <x:c r="AF70" s="441"/>
      <x:c r="AG70" s="488" t="str">
        <x:v>设置
虚→1→距
若你从盖牌区中使用此牌，则你可以从盖牌区中额外使用1张具设置关键字的牌。</x:v>
      </x:c>
      <x:c r="AH70" s="442"/>
      <x:c r="AI70" s="488" t="str">
        <x:v>设置
虚 (1)→距
若你从盖牌区中使用此牌，则你可以从盖牌区中额外使用一张具设置关键字的牌。</x:v>
      </x:c>
      <x:c r="AJ70" s="440"/>
      <x:c r="AK70" s="488" t="str">
        <x:v>설치 
더스트→간격：1 
이 카드를 덮임패에서 사용했다면, 덮임패에서 설치를 갖는 카드를 1장 사용해도 좋다.</x:v>
      </x:c>
      <x:c r="AL70" s="440"/>
      <x:c r="AM70" s="488" t="str">
        <x:v>Trap
Shadow (1)→ Distance
If this card was played from your discard pile, you may play a card with Trap from your discard pile.</x:v>
      </x:c>
      <x:c r="AN70" s="440"/>
      <x:c r="AO70" s="440"/>
      <x:c r="AP70" s="440"/>
      <x:c r="AQ70" s="440"/>
      <x:c r="AR70" s="440"/>
      <x:c r="AS70" s="440"/>
      <x:c r="AT70" s="378" t="str">
        <x:f aca="0">IF(A70="", "","'"&amp;A70&amp;"': {megami: '"&amp;B70&amp;"'"&amp;IF(C70&lt;&gt;"",", anotherID: '"&amp;C70&amp;"', replace: '"&amp;D70&amp;"'","")&amp;", name: '"&amp;SUBSTITUTE(E70,"'","\'")&amp;"', nameEn: '"&amp;SUBSTITUTE(K70,"'","\'")&amp;"', nameZh: '"&amp;SUBSTITUTE(G70,"'","\'")&amp;"', nameZhG69: '"&amp;SUBSTITUTE(H70,"'","\'")&amp;"', nameKo: '"&amp;SUBSTITUTE(J70,"'","\'")&amp;"', ruby: '"&amp;F70&amp;"', rubyEn: '"&amp;L70&amp;IF(I70&lt;&gt;"", "', rubyZh: '"&amp;I70, "")&amp;"', baseType: '"&amp;IF(M70="通常札","normal",IF(M70="切札","special",IF(M70="追加札","extra",IF(M70="transform","transform",IF(M70="嵐","storm",IF(M70="兵員","troop",IF(M70="構想","plan",IF(M70="メインパーツ","mainParts",IF(M70="カスタムパーツ","customParts",IF(M70="運命","fate",IF(M70="仮想樹","virtualTree","")))))))))))&amp;"'"&amp;IF(N70="○",", extra: true","")&amp;IF(O70&lt;&gt;"",", extraFrom: '"&amp;O70&amp;"'","")&amp;IF(P70&lt;&gt;"",", exchangableTo: '"&amp;P70&amp;"'","")&amp;IF(Q70="○",", poison: true","")&amp;IF(R70&lt;&gt;"", ", type: '"&amp;IF(R70="攻撃","attack",IF(R70="行動","action",IF(R70="不定","variable",IF(R70="対応","reaction",IF(R70="全力","fullpower",IF(R70="付与","enhance",IF(R70="transform","transform","")))))))&amp;"'", "")&amp;IF(S70&lt;&gt;"",", subType: '"&amp;IF(S70="攻撃","attack",IF(S70="行動","action",IF(S70="不定","variable",IF(S70="対応","reaction",IF(S70="全力","fullpower",IF(S70="付与","enhance",IF(S70="transform","transform","")))))))&amp;"'","")&amp;""&amp;IF(T70&lt;&gt;"",", range: '"&amp;T70&amp;"'","")&amp;IF(V70&lt;&gt;"",", damage: '"&amp;V70&amp;"'","")&amp;IF(X70&lt;&gt;"",", capacity: '"&amp;X70&amp;"'","")&amp;IF(Y70&lt;&gt;"",", growth: "&amp;Y70&amp;"","")&amp;IF(Z70&lt;&gt;"",", cost: '"&amp;Z70&amp;"'","")&amp;", text: '"&amp;SUBSTITUTE(SUBSTITUTE(AE70, CHAR(13), ""),CHAR(10),"\n")&amp;IF(AF70&lt;&gt;"", "', textAdditional: '"&amp;SUBSTITUTE(SUBSTITUTE(AF70, CHAR(13), ""),CHAR(10),"\n"), "")&amp;"', textZh: '"&amp;SUBSTITUTE(SUBSTITUTE(SUBSTITUTE(AG70, CHAR(13), ""),CHAR(10),"\n"),"'","\'")&amp;"', textZhG69: '"&amp;SUBSTITUTE(SUBSTITUTE(SUBSTITUTE(AI70, CHAR(13), ""),CHAR(10),"\n"),"'","\'")&amp;IF(AH70&lt;&gt;"", "', textZhAdditional: '"&amp;SUBSTITUTE(SUBSTITUTE(AH70, CHAR(13), ""),CHAR(10),"\n"), "")&amp;IF(AK70&lt;&gt;"", "', textZhG69Additional: '"&amp;SUBSTITUTE(SUBSTITUTE(AK70, CHAR(13), ""),CHAR(10),"\n"), "")&amp;"', textKo: '"&amp;SUBSTITUTE(SUBSTITUTE(SUBSTITUTE(AM70, CHAR(13), ""),CHAR(10),"\n"),"'","\'")&amp;IF(AM70&lt;&gt;"", "', textKoAdditional: '"&amp;SUBSTITUTE(SUBSTITUTE(AM70, CHAR(13), ""),CHAR(10),"\n"), "")&amp;"', textEn: '"&amp;SUBSTITUTE(SUBSTITUTE(SUBSTITUTE(AM70, CHAR(13), ""),CHAR(10),"\n"),"'","\'")&amp;IF(AN70&lt;&gt;"", "', textEnAdditional: '"&amp;SUBSTITUTE(SUBSTITUTE(AN70, CHAR(13), ""),CHAR(10),"\n"), "")&amp;"'"&amp;IF(AB70="○",", sealable: true","")&amp;IF(AC70="○",", removable: true","")&amp;IF(AA70="○",", lie: true","")&amp;IF(AD70="○",", investable: true","")&amp;"},")</x:f>
        <x:v>'05-oboro-o-n-4': {megami: 'oboro', name: '忍歩', nameEn: 'Ninpo-Walk', nameZh: '忍步', nameZhG69: '忍步', nameKo: '닌자걸음', ruby: 'にんぽ', rubyEn: '', baseType: 'normal', type: 'action', text: '設置 \nダスト→間合：1\nこのカードを伏せ札から使用したならば、伏せ札から設置を持つカードを1枚まで選び、それを使用してもよい。', textZh: '设置\n虚→1→距\n若你从盖牌区中使用此牌，则你可以从盖牌区中额外使用1张具设置关键字的牌。', textZhG69: '设置\n虚 (1)→距\n若你从盖牌区中使用此牌，则你可以从盖牌区中额外使用一张具设置关键字的牌。', textZhG69Additional: '설치 \n더스트→간격：1 \n이 카드를 덮임패에서 사용했다면, 덮임패에서 설치를 갖는 카드를 1장 사용해도 좋다.', textKo: 'Trap\n\nShadow (1)→ Distance\n\nIf this card was played from your discard pile, you may play a card with Trap from your discard pile.', textKoAdditional: 'Trap\n\nShadow (1)→ Distance\n\nIf this card was played from your discard pile, you may play a card with Trap from your discard pile.', textEn: 'Trap\n\nShadow (1)→ Distance\n\nIf this card was played from your discard pile, you may play a card with Trap from your discard pile.'},</x:v>
      </x:c>
      <x:c r="AU70" s="379" t="str">
        <x:f aca="0">IF($A70&lt;&gt;"", "    /** 《"&amp;$E70&amp;"》 */ export const "&amp;SUBSTITUTE(UPPER(IF(MID($A70, 3, 1)="-", RIGHT($A70,LEN($A70)-3), $A70)), "-", "_")&amp;": TCardId = '"&amp;$A70&amp;"';", "")</x:f>
        <x:v>    /** 《忍歩》 */ export const OBORO_O_N_4: TCardId = '05-oboro-o-n-4';</x:v>
      </x:c>
      <x:c r="AV70" s="380" t="str">
        <x:f aca="0">IF($A71&lt;&gt;"", "    | '"&amp;$A71&amp;"'", "")</x:f>
        <x:v>    | '05-oboro-o-n-5'</x:v>
      </x:c>
    </x:row>
    <x:row r="71" ht="83" hidden="0" customHeight="1">
      <x:c r="A71" s="375" t="str">
        <x:v>05-oboro-o-n-5</x:v>
      </x:c>
      <x:c r="B71" s="375" t="str">
        <x:v>oboro</x:v>
      </x:c>
      <x:c r="C71" s="375"/>
      <x:c r="D71" s="375"/>
      <x:c r="E71" s="375" t="str">
        <x:v>誘導</x:v>
      </x:c>
      <x:c r="F71" s="375" t="str">
        <x:v>ゆうどう</x:v>
      </x:c>
      <x:c r="G71" s="375" t="str">
        <x:v>诱导</x:v>
      </x:c>
      <x:c r="H71" s="375" t="str">
        <x:v>诱导</x:v>
      </x:c>
      <x:c r="I71" s="375"/>
      <x:c r="J71" s="375" t="str">
        <x:v>유도</x:v>
      </x:c>
      <x:c r="K71" s="375" t="str">
        <x:v>Induce</x:v>
      </x:c>
      <x:c r="L71" s="375"/>
      <x:c r="M71" s="375" t="str">
        <x:v>通常札</x:v>
      </x:c>
      <x:c r="N71" s="375"/>
      <x:c r="O71" s="375"/>
      <x:c r="P71" s="375"/>
      <x:c r="Q71" s="375"/>
      <x:c r="R71" s="375" t="str">
        <x:v>行動</x:v>
      </x:c>
      <x:c r="S71" s="375" t="str">
        <x:v>対応</x:v>
      </x:c>
      <x:c r="T71" s="375"/>
      <x:c r="U71" s="383"/>
      <x:c r="V71" s="382"/>
      <x:c r="W71" s="383"/>
      <x:c r="X71" s="382"/>
      <x:c r="Y71" s="382"/>
      <x:c r="Z71" s="382"/>
      <x:c r="AA71" s="382"/>
      <x:c r="AB71" s="385"/>
      <x:c r="AC71" s="385"/>
      <x:c r="AD71" s="386"/>
      <x:c r="AE71" s="440" t="str">
        <x:v>設置 以下から1つを選ぶ。
・間合→相オーラ：1
・相オーラ→相フレア：1</x:v>
      </x:c>
      <x:c r="AF71" s="441"/>
      <x:c r="AG71" s="488" t="str">
        <x:v>设置 
选择一项：
●距→1→敌装
●敌装→1→敌气</x:v>
      </x:c>
      <x:c r="AH71" s="442"/>
      <x:c r="AI71" s="488" t="str">
        <x:v>设置 
选择一项：
1.距（1）→敌装
2.敌装（1）→敌气</x:v>
      </x:c>
      <x:c r="AJ71" s="440"/>
      <x:c r="AK71" s="488" t="str">
        <x:v>설치
 이하에서 하나를 고른다.
 ・간격→상대 오라：1
 ・상대 오라→상대 플레어：1</x:v>
      </x:c>
      <x:c r="AL71" s="440"/>
      <x:c r="AM71" s="488" t="str">
        <x:v>Trap
Choose one:
・Distance (1)→ Opponent's Aura
・Opponent's Aura (1)→ Opponent's Flare</x:v>
      </x:c>
      <x:c r="AN71" s="440"/>
      <x:c r="AO71" s="440"/>
      <x:c r="AP71" s="440"/>
      <x:c r="AQ71" s="440"/>
      <x:c r="AR71" s="440"/>
      <x:c r="AS71" s="440"/>
      <x:c r="AT71" s="378" t="str">
        <x:f aca="0">IF(A71="", "","'"&amp;A71&amp;"': {megami: '"&amp;B71&amp;"'"&amp;IF(C71&lt;&gt;"",", anotherID: '"&amp;C71&amp;"', replace: '"&amp;D71&amp;"'","")&amp;", name: '"&amp;SUBSTITUTE(E71,"'","\'")&amp;"', nameEn: '"&amp;SUBSTITUTE(K71,"'","\'")&amp;"', nameZh: '"&amp;SUBSTITUTE(G71,"'","\'")&amp;"', nameZhG70: '"&amp;SUBSTITUTE(H71,"'","\'")&amp;"', nameKo: '"&amp;SUBSTITUTE(J71,"'","\'")&amp;"', ruby: '"&amp;F71&amp;"', rubyEn: '"&amp;L71&amp;IF(I71&lt;&gt;"", "', rubyZh: '"&amp;I71, "")&amp;"', baseType: '"&amp;IF(M71="通常札","normal",IF(M71="切札","special",IF(M71="追加札","extra",IF(M71="transform","transform",IF(M71="嵐","storm",IF(M71="兵員","troop",IF(M71="構想","plan",IF(M71="メインパーツ","mainParts",IF(M71="カスタムパーツ","customParts",IF(M71="運命","fate",IF(M71="仮想樹","virtualTree","")))))))))))&amp;"'"&amp;IF(N71="○",", extra: true","")&amp;IF(O71&lt;&gt;"",", extraFrom: '"&amp;O71&amp;"'","")&amp;IF(P71&lt;&gt;"",", exchangableTo: '"&amp;P71&amp;"'","")&amp;IF(Q71="○",", poison: true","")&amp;IF(R71&lt;&gt;"", ", type: '"&amp;IF(R71="攻撃","attack",IF(R71="行動","action",IF(R71="不定","variable",IF(R71="対応","reaction",IF(R71="全力","fullpower",IF(R71="付与","enhance",IF(R71="transform","transform","")))))))&amp;"'", "")&amp;IF(S71&lt;&gt;"",", subType: '"&amp;IF(S71="攻撃","attack",IF(S71="行動","action",IF(S71="不定","variable",IF(S71="対応","reaction",IF(S71="全力","fullpower",IF(S71="付与","enhance",IF(S71="transform","transform","")))))))&amp;"'","")&amp;""&amp;IF(T71&lt;&gt;"",", range: '"&amp;T71&amp;"'","")&amp;IF(V71&lt;&gt;"",", damage: '"&amp;V71&amp;"'","")&amp;IF(X71&lt;&gt;"",", capacity: '"&amp;X71&amp;"'","")&amp;IF(Y71&lt;&gt;"",", growth: "&amp;Y71&amp;"","")&amp;IF(Z71&lt;&gt;"",", cost: '"&amp;Z71&amp;"'","")&amp;", text: '"&amp;SUBSTITUTE(SUBSTITUTE(AE71, CHAR(13), ""),CHAR(10),"\n")&amp;IF(AF71&lt;&gt;"", "', textAdditional: '"&amp;SUBSTITUTE(SUBSTITUTE(AF71, CHAR(13), ""),CHAR(10),"\n"), "")&amp;"', textZh: '"&amp;SUBSTITUTE(SUBSTITUTE(SUBSTITUTE(AG71, CHAR(13), ""),CHAR(10),"\n"),"'","\'")&amp;"', textZhG70: '"&amp;SUBSTITUTE(SUBSTITUTE(SUBSTITUTE(AI71, CHAR(13), ""),CHAR(10),"\n"),"'","\'")&amp;IF(AH71&lt;&gt;"", "', textZhAdditional: '"&amp;SUBSTITUTE(SUBSTITUTE(AH71, CHAR(13), ""),CHAR(10),"\n"), "")&amp;IF(AK71&lt;&gt;"", "', textZhG70Additional: '"&amp;SUBSTITUTE(SUBSTITUTE(AK71, CHAR(13), ""),CHAR(10),"\n"), "")&amp;"', textKo: '"&amp;SUBSTITUTE(SUBSTITUTE(SUBSTITUTE(AM71, CHAR(13), ""),CHAR(10),"\n"),"'","\'")&amp;IF(AM71&lt;&gt;"", "', textKoAdditional: '"&amp;SUBSTITUTE(SUBSTITUTE(AM71, CHAR(13), ""),CHAR(10),"\n"), "")&amp;"', textEn: '"&amp;SUBSTITUTE(SUBSTITUTE(SUBSTITUTE(AM71, CHAR(13), ""),CHAR(10),"\n"),"'","\'")&amp;IF(AN71&lt;&gt;"", "', textEnAdditional: '"&amp;SUBSTITUTE(SUBSTITUTE(AN71, CHAR(13), ""),CHAR(10),"\n"), "")&amp;"'"&amp;IF(AB71="○",", sealable: true","")&amp;IF(AC71="○",", removable: true","")&amp;IF(AA71="○",", lie: true","")&amp;IF(AD71="○",", investable: true","")&amp;"},")</x:f>
        <x:v>'05-oboro-o-n-5': {megami: 'oboro', name: '誘導', nameEn: 'Induce', nameZh: '诱导', nameZhG70: '诱导', nameKo: '유도', ruby: 'ゆうどう', rubyEn: '', baseType: 'normal', type: 'action', subType: 'reaction', text: '設置 以下から1つを選ぶ。\n・間合→相オーラ：1\n・相オーラ→相フレア：1', textZh: '设置 \n选择一项：\n●距→1→敌装\n●敌装→1→敌气', textZhG70: '设置 \n选择一项：\n1.距（1）→敌装\n2.敌装（1）→敌气', textZhG70Additional: '설치\n 이하에서 하나를 고른다.\n ・간격→상대 오라：1\n ・상대 오라→상대 플레어：1', textKo: 'Trap\n\nChoose one:\n・Distance (1)→ Opponent\'s Aura\n・Opponent\'s Aura (1)→ Opponent\'s Flare', textKoAdditional: 'Trap\n\nChoose one:\n・Distance (1)→ Opponent's Aura\n・Opponent's Aura (1)→ Opponent's Flare', textEn: 'Trap\n\nChoose one:\n・Distance (1)→ Opponent\'s Aura\n・Opponent\'s Aura (1)→ Opponent\'s Flare'},</x:v>
      </x:c>
      <x:c r="AU71" s="379" t="str">
        <x:f aca="0">IF($A71&lt;&gt;"", "    /** 《"&amp;$E71&amp;"》 */ export const "&amp;SUBSTITUTE(UPPER(IF(MID($A71, 3, 1)="-", RIGHT($A71,LEN($A71)-3), $A71)), "-", "_")&amp;": TCardId = '"&amp;$A71&amp;"';", "")</x:f>
        <x:v>    /** 《誘導》 */ export const OBORO_O_N_5: TCardId = '05-oboro-o-n-5';</x:v>
      </x:c>
      <x:c r="AV71" s="380" t="str">
        <x:f aca="0">IF($A72&lt;&gt;"", "    | '"&amp;$A72&amp;"'", "")</x:f>
        <x:v>    | '05-oboro-o-n-7'</x:v>
      </x:c>
    </x:row>
    <x:row r="72" ht="68" hidden="0" customHeight="1">
      <x:c r="A72" s="375" t="str">
        <x:v>05-oboro-o-n-7</x:v>
      </x:c>
      <x:c r="B72" s="375" t="str">
        <x:v>oboro</x:v>
      </x:c>
      <x:c r="C72" s="375"/>
      <x:c r="D72" s="375"/>
      <x:c r="E72" s="375" t="str">
        <x:v>生体活性</x:v>
      </x:c>
      <x:c r="F72" s="375" t="str">
        <x:v>せいたいかっせい</x:v>
      </x:c>
      <x:c r="G72" s="375" t="str">
        <x:v>生物活性</x:v>
      </x:c>
      <x:c r="H72" s="375" t="str">
        <x:v>生物活性</x:v>
      </x:c>
      <x:c r="I72" s="375"/>
      <x:c r="J72" s="375" t="str">
        <x:v>생체활성</x:v>
      </x:c>
      <x:c r="K72" s="375" t="str">
        <x:v>Revitalize</x:v>
      </x:c>
      <x:c r="L72" s="375"/>
      <x:c r="M72" s="375" t="str">
        <x:v>通常札</x:v>
      </x:c>
      <x:c r="N72" s="375"/>
      <x:c r="O72" s="375"/>
      <x:c r="P72" s="375"/>
      <x:c r="Q72" s="375"/>
      <x:c r="R72" s="375" t="str">
        <x:v>付与</x:v>
      </x:c>
      <x:c r="S72" s="375"/>
      <x:c r="T72" s="375"/>
      <x:c r="U72" s="383"/>
      <x:c r="V72" s="382"/>
      <x:c r="W72" s="383"/>
      <x:c r="X72" s="382" t="n">
        <x:v>4</x:v>
      </x:c>
      <x:c r="Y72" s="382"/>
      <x:c r="Z72" s="382"/>
      <x:c r="AA72" s="382"/>
      <x:c r="AB72" s="385"/>
      <x:c r="AC72" s="385"/>
      <x:c r="AD72" s="386"/>
      <x:c r="AE72" s="440" t="str">
        <x:v>隙　設置
【破棄時】あなたの使用済の切札を1枚選び、それを未使用に戻す。</x:v>
      </x:c>
      <x:c r="AF72" s="441"/>
      <x:c r="AG72" s="488" t="str">
        <x:v>破绽 设置 
【破弃时】将你的1张处于已使用状态的王牌变为未使用状态。</x:v>
      </x:c>
      <x:c r="AH72" s="442"/>
      <x:c r="AI72" s="488" t="str">
        <x:v>破绽 设置 
【破弃时】将你的一张面朝上的王牌翻面。</x:v>
      </x:c>
      <x:c r="AJ72" s="440"/>
      <x:c r="AK72" s="488" t="str">
        <x:v>빈틈 설치 
 【파기시】당신의 사용완료 비장패를 1장 골라, 그것을 미사용으로 되돌린다.</x:v>
      </x:c>
      <x:c r="AL72" s="440"/>
      <x:c r="AM72" s="488" t="str">
        <x:v>Unguarded    Trap
Disenchant: Choose one of your Devoted Special cards and turn it face-down.</x:v>
      </x:c>
      <x:c r="AN72" s="440"/>
      <x:c r="AO72" s="440"/>
      <x:c r="AP72" s="440"/>
      <x:c r="AQ72" s="440"/>
      <x:c r="AR72" s="440"/>
      <x:c r="AS72" s="440"/>
      <x:c r="AT72" s="378" t="str">
        <x:f aca="0">IF(A72="", "","'"&amp;A72&amp;"': {megami: '"&amp;B72&amp;"'"&amp;IF(C72&lt;&gt;"",", anotherID: '"&amp;C72&amp;"', replace: '"&amp;D72&amp;"'","")&amp;", name: '"&amp;SUBSTITUTE(E72,"'","\'")&amp;"', nameEn: '"&amp;SUBSTITUTE(K72,"'","\'")&amp;"', nameZh: '"&amp;SUBSTITUTE(G72,"'","\'")&amp;"', nameZhG71: '"&amp;SUBSTITUTE(H72,"'","\'")&amp;"', nameKo: '"&amp;SUBSTITUTE(J72,"'","\'")&amp;"', ruby: '"&amp;F72&amp;"', rubyEn: '"&amp;L72&amp;IF(I72&lt;&gt;"", "', rubyZh: '"&amp;I72, "")&amp;"', baseType: '"&amp;IF(M72="通常札","normal",IF(M72="切札","special",IF(M72="追加札","extra",IF(M72="transform","transform",IF(M72="嵐","storm",IF(M72="兵員","troop",IF(M72="構想","plan",IF(M72="メインパーツ","mainParts",IF(M72="カスタムパーツ","customParts",IF(M72="運命","fate",IF(M72="仮想樹","virtualTree","")))))))))))&amp;"'"&amp;IF(N72="○",", extra: true","")&amp;IF(O72&lt;&gt;"",", extraFrom: '"&amp;O72&amp;"'","")&amp;IF(P72&lt;&gt;"",", exchangableTo: '"&amp;P72&amp;"'","")&amp;IF(Q72="○",", poison: true","")&amp;IF(R72&lt;&gt;"", ", type: '"&amp;IF(R72="攻撃","attack",IF(R72="行動","action",IF(R72="不定","variable",IF(R72="対応","reaction",IF(R72="全力","fullpower",IF(R72="付与","enhance",IF(R72="transform","transform","")))))))&amp;"'", "")&amp;IF(S72&lt;&gt;"",", subType: '"&amp;IF(S72="攻撃","attack",IF(S72="行動","action",IF(S72="不定","variable",IF(S72="対応","reaction",IF(S72="全力","fullpower",IF(S72="付与","enhance",IF(S72="transform","transform","")))))))&amp;"'","")&amp;""&amp;IF(T72&lt;&gt;"",", range: '"&amp;T72&amp;"'","")&amp;IF(V72&lt;&gt;"",", damage: '"&amp;V72&amp;"'","")&amp;IF(X72&lt;&gt;"",", capacity: '"&amp;X72&amp;"'","")&amp;IF(Y72&lt;&gt;"",", growth: "&amp;Y72&amp;"","")&amp;IF(Z72&lt;&gt;"",", cost: '"&amp;Z72&amp;"'","")&amp;", text: '"&amp;SUBSTITUTE(SUBSTITUTE(AE72, CHAR(13), ""),CHAR(10),"\n")&amp;IF(AF72&lt;&gt;"", "', textAdditional: '"&amp;SUBSTITUTE(SUBSTITUTE(AF72, CHAR(13), ""),CHAR(10),"\n"), "")&amp;"', textZh: '"&amp;SUBSTITUTE(SUBSTITUTE(SUBSTITUTE(AG72, CHAR(13), ""),CHAR(10),"\n"),"'","\'")&amp;"', textZhG71: '"&amp;SUBSTITUTE(SUBSTITUTE(SUBSTITUTE(AI72, CHAR(13), ""),CHAR(10),"\n"),"'","\'")&amp;IF(AH72&lt;&gt;"", "', textZhAdditional: '"&amp;SUBSTITUTE(SUBSTITUTE(AH72, CHAR(13), ""),CHAR(10),"\n"), "")&amp;IF(AK72&lt;&gt;"", "', textZhG71Additional: '"&amp;SUBSTITUTE(SUBSTITUTE(AK72, CHAR(13), ""),CHAR(10),"\n"), "")&amp;"', textKo: '"&amp;SUBSTITUTE(SUBSTITUTE(SUBSTITUTE(AM72, CHAR(13), ""),CHAR(10),"\n"),"'","\'")&amp;IF(AM72&lt;&gt;"", "', textKoAdditional: '"&amp;SUBSTITUTE(SUBSTITUTE(AM72, CHAR(13), ""),CHAR(10),"\n"), "")&amp;"', textEn: '"&amp;SUBSTITUTE(SUBSTITUTE(SUBSTITUTE(AM72, CHAR(13), ""),CHAR(10),"\n"),"'","\'")&amp;IF(AN72&lt;&gt;"", "', textEnAdditional: '"&amp;SUBSTITUTE(SUBSTITUTE(AN72, CHAR(13), ""),CHAR(10),"\n"), "")&amp;"'"&amp;IF(AB72="○",", sealable: true","")&amp;IF(AC72="○",", removable: true","")&amp;IF(AA72="○",", lie: true","")&amp;IF(AD72="○",", investable: true","")&amp;"},")</x:f>
        <x:v>'05-oboro-o-n-7': {megami: 'oboro', name: '生体活性', nameEn: 'Revitalize', nameZh: '生物活性', nameZhG71: '生物活性', nameKo: '생체활성', ruby: 'せいたいかっせい', rubyEn: '', baseType: 'normal', type: 'enhance', capacity: '4', text: '隙　設置\n【破棄時】あなたの使用済の切札を1枚選び、それを未使用に戻す。', textZh: '破绽 设置 \n【破弃时】将你的1张处于已使用状态的王牌变为未使用状态。', textZhG71: '破绽 设置 \n【破弃时】将你的一张面朝上的王牌翻面。', textZhG71Additional: '빈틈 설치 \n 【파기시】당신의 사용완료 비장패를 1장 골라, 그것을 미사용으로 되돌린다.', textKo: 'Unguarded    Trap\n\nDisenchant: Choose one of your Devoted Special cards and turn it face-down.', textKoAdditional: 'Unguarded    Trap\n\nDisenchant: Choose one of your Devoted Special cards and turn it face-down.', textEn: 'Unguarded    Trap\n\nDisenchant: Choose one of your Devoted Special cards and turn it face-down.'},</x:v>
      </x:c>
      <x:c r="AU72" s="379" t="str">
        <x:f aca="0">IF($A72&lt;&gt;"", "    /** 《"&amp;$E72&amp;"》 */ export const "&amp;SUBSTITUTE(UPPER(IF(MID($A72, 3, 1)="-", RIGHT($A72,LEN($A72)-3), $A72)), "-", "_")&amp;": TCardId = '"&amp;$A72&amp;"';", "")</x:f>
        <x:v>    /** 《生体活性》 */ export const OBORO_O_N_7: TCardId = '05-oboro-o-n-7';</x:v>
      </x:c>
      <x:c r="AV72" s="380" t="str">
        <x:f aca="0">IF($A73&lt;&gt;"", "    | '"&amp;$A73&amp;"'", "")</x:f>
        <x:v>    | '05-oboro-o-s-1'</x:v>
      </x:c>
    </x:row>
    <x:row r="73" ht="53" hidden="0" customHeight="1">
      <x:c r="A73" s="375" t="str">
        <x:v>05-oboro-o-s-1</x:v>
      </x:c>
      <x:c r="B73" s="375" t="str">
        <x:v>oboro</x:v>
      </x:c>
      <x:c r="C73" s="375"/>
      <x:c r="D73" s="375"/>
      <x:c r="E73" s="375" t="str">
        <x:v>熊介</x:v>
      </x:c>
      <x:c r="F73" s="375" t="str">
        <x:v>くますけ</x:v>
      </x:c>
      <x:c r="G73" s="375" t="str">
        <x:v>熊介</x:v>
      </x:c>
      <x:c r="H73" s="375" t="str">
        <x:v>熊介</x:v>
      </x:c>
      <x:c r="I73" s="375"/>
      <x:c r="J73" s="375" t="str">
        <x:v>쿠마스케</x:v>
      </x:c>
      <x:c r="K73" s="375" t="str">
        <x:v>Kuma-Suke</x:v>
      </x:c>
      <x:c r="L73" s="375"/>
      <x:c r="M73" s="375" t="str">
        <x:v>切札</x:v>
      </x:c>
      <x:c r="N73" s="375"/>
      <x:c r="O73" s="375"/>
      <x:c r="P73" s="375"/>
      <x:c r="Q73" s="375"/>
      <x:c r="R73" s="375" t="str">
        <x:v>攻撃</x:v>
      </x:c>
      <x:c r="S73" s="375" t="str">
        <x:v>全力</x:v>
      </x:c>
      <x:c r="T73" s="375" t="str">
        <x:v>3-4</x:v>
      </x:c>
      <x:c r="U73" s="383"/>
      <x:c r="V73" s="382" t="str">
        <x:v>2/2</x:v>
      </x:c>
      <x:c r="W73" s="383"/>
      <x:c r="X73" s="382"/>
      <x:c r="Y73" s="382"/>
      <x:c r="Z73" s="382" t="n">
        <x:v>4</x:v>
      </x:c>
      <x:c r="AA73" s="382"/>
      <x:c r="AB73" s="385"/>
      <x:c r="AC73" s="385"/>
      <x:c r="AD73" s="386"/>
      <x:c r="AE73" s="440" t="str">
        <x:v>【攻撃後】攻撃『適正距離 3-4, 2/2』をX回行う。Xはあなたの伏せ札の枚数に等しい。</x:v>
      </x:c>
      <x:c r="AF73" s="441"/>
      <x:c r="AG73" s="488" t="str">
        <x:v>【攻击后】进行X次“攻击距离3-4、伤害2/2”的攻击，X等于你盖牌区中的牌张数。</x:v>
      </x:c>
      <x:c r="AH73" s="442"/>
      <x:c r="AI73" s="488" t="str">
        <x:v>【攻击后】进行X次“攻击距离3-4 伤害2/2”的攻击。X等于你盖牌区中的牌张数。 </x:v>
      </x:c>
      <x:c r="AJ73" s="440"/>
      <x:c r="AK73" s="488" t="str">
        <x:v>【공격후】공격『적정거리3-4、2/2』을 X번 행한다. X는 당신의 덮임패 장수와 같다.</x:v>
      </x:c>
      <x:c r="AL73" s="440"/>
      <x:c r="AM73" s="488" t="str">
        <x:v>After Attack: You attack with "Range: 3-4, Damage: 2/2" X times, where X is the number of cards in your discard pile.</x:v>
      </x:c>
      <x:c r="AN73" s="440"/>
      <x:c r="AO73" s="440"/>
      <x:c r="AP73" s="440"/>
      <x:c r="AQ73" s="440"/>
      <x:c r="AR73" s="440"/>
      <x:c r="AS73" s="440"/>
      <x:c r="AT73" s="378" t="str">
        <x:f aca="0">IF(A73="", "","'"&amp;A73&amp;"': {megami: '"&amp;B73&amp;"'"&amp;IF(C73&lt;&gt;"",", anotherID: '"&amp;C73&amp;"', replace: '"&amp;D73&amp;"'","")&amp;", name: '"&amp;SUBSTITUTE(E73,"'","\'")&amp;"', nameEn: '"&amp;SUBSTITUTE(K73,"'","\'")&amp;"', nameZh: '"&amp;SUBSTITUTE(G73,"'","\'")&amp;"', nameZhG72: '"&amp;SUBSTITUTE(H73,"'","\'")&amp;"', nameKo: '"&amp;SUBSTITUTE(J73,"'","\'")&amp;"', ruby: '"&amp;F73&amp;"', rubyEn: '"&amp;L73&amp;IF(I73&lt;&gt;"", "', rubyZh: '"&amp;I73, "")&amp;"', baseType: '"&amp;IF(M73="通常札","normal",IF(M73="切札","special",IF(M73="追加札","extra",IF(M73="transform","transform",IF(M73="嵐","storm",IF(M73="兵員","troop",IF(M73="構想","plan",IF(M73="メインパーツ","mainParts",IF(M73="カスタムパーツ","customParts",IF(M73="運命","fate",IF(M73="仮想樹","virtualTree","")))))))))))&amp;"'"&amp;IF(N73="○",", extra: true","")&amp;IF(O73&lt;&gt;"",", extraFrom: '"&amp;O73&amp;"'","")&amp;IF(P73&lt;&gt;"",", exchangableTo: '"&amp;P73&amp;"'","")&amp;IF(Q73="○",", poison: true","")&amp;IF(R73&lt;&gt;"", ", type: '"&amp;IF(R73="攻撃","attack",IF(R73="行動","action",IF(R73="不定","variable",IF(R73="対応","reaction",IF(R73="全力","fullpower",IF(R73="付与","enhance",IF(R73="transform","transform","")))))))&amp;"'", "")&amp;IF(S73&lt;&gt;"",", subType: '"&amp;IF(S73="攻撃","attack",IF(S73="行動","action",IF(S73="不定","variable",IF(S73="対応","reaction",IF(S73="全力","fullpower",IF(S73="付与","enhance",IF(S73="transform","transform","")))))))&amp;"'","")&amp;""&amp;IF(T73&lt;&gt;"",", range: '"&amp;T73&amp;"'","")&amp;IF(V73&lt;&gt;"",", damage: '"&amp;V73&amp;"'","")&amp;IF(X73&lt;&gt;"",", capacity: '"&amp;X73&amp;"'","")&amp;IF(Y73&lt;&gt;"",", growth: "&amp;Y73&amp;"","")&amp;IF(Z73&lt;&gt;"",", cost: '"&amp;Z73&amp;"'","")&amp;", text: '"&amp;SUBSTITUTE(SUBSTITUTE(AE73, CHAR(13), ""),CHAR(10),"\n")&amp;IF(AF73&lt;&gt;"", "', textAdditional: '"&amp;SUBSTITUTE(SUBSTITUTE(AF73, CHAR(13), ""),CHAR(10),"\n"), "")&amp;"', textZh: '"&amp;SUBSTITUTE(SUBSTITUTE(SUBSTITUTE(AG73, CHAR(13), ""),CHAR(10),"\n"),"'","\'")&amp;"', textZhG72: '"&amp;SUBSTITUTE(SUBSTITUTE(SUBSTITUTE(AI73, CHAR(13), ""),CHAR(10),"\n"),"'","\'")&amp;IF(AH73&lt;&gt;"", "', textZhAdditional: '"&amp;SUBSTITUTE(SUBSTITUTE(AH73, CHAR(13), ""),CHAR(10),"\n"), "")&amp;IF(AK73&lt;&gt;"", "', textZhG72Additional: '"&amp;SUBSTITUTE(SUBSTITUTE(AK73, CHAR(13), ""),CHAR(10),"\n"), "")&amp;"', textKo: '"&amp;SUBSTITUTE(SUBSTITUTE(SUBSTITUTE(AM73, CHAR(13), ""),CHAR(10),"\n"),"'","\'")&amp;IF(AM73&lt;&gt;"", "', textKoAdditional: '"&amp;SUBSTITUTE(SUBSTITUTE(AM73, CHAR(13), ""),CHAR(10),"\n"), "")&amp;"', textEn: '"&amp;SUBSTITUTE(SUBSTITUTE(SUBSTITUTE(AM73, CHAR(13), ""),CHAR(10),"\n"),"'","\'")&amp;IF(AN73&lt;&gt;"", "', textEnAdditional: '"&amp;SUBSTITUTE(SUBSTITUTE(AN73, CHAR(13), ""),CHAR(10),"\n"), "")&amp;"'"&amp;IF(AB73="○",", sealable: true","")&amp;IF(AC73="○",", removable: true","")&amp;IF(AA73="○",", lie: true","")&amp;IF(AD73="○",", investable: true","")&amp;"},")</x:f>
        <x:v>'05-oboro-o-s-1': {megami: 'oboro', name: '熊介', nameEn: 'Kuma-Suke', nameZh: '熊介', nameZhG72: '熊介', nameKo: '쿠마스케', ruby: 'くますけ', rubyEn: '', baseType: 'special', type: 'attack', subType: 'fullpower', range: '3-4', damage: '2/2', cost: '4', text: '【攻撃後】攻撃『適正距離 3-4, 2/2』をX回行う。Xはあなたの伏せ札の枚数に等しい。', textZh: '【攻击后】进行X次“攻击距离3-4、伤害2/2”的攻击，X等于你盖牌区中的牌张数。', textZhG72: '【攻击后】进行X次“攻击距离3-4 伤害2/2”的攻击。X等于你盖牌区中的牌张数。 ', textZhG72Additional: '【공격후】공격『적정거리3-4、2/2』을 X번 행한다. X는 당신의 덮임패 장수와 같다.', textKo: 'After Attack: You attack with "Range: 3-4, Damage: 2/2" X times, where X is the number of cards in your discard pile.', textKoAdditional: 'After Attack: You attack with "Range: 3-4, Damage: 2/2" X times, where X is the number of cards in your discard pile.', textEn: 'After Attack: You attack with "Range: 3-4, Damage: 2/2" X times, where X is the number of cards in your discard pile.'},</x:v>
      </x:c>
      <x:c r="AU73" s="379" t="str">
        <x:f aca="0">IF($A73&lt;&gt;"", "    /** 《"&amp;$E73&amp;"》 */ export const "&amp;SUBSTITUTE(UPPER(IF(MID($A73, 3, 1)="-", RIGHT($A73,LEN($A73)-3), $A73)), "-", "_")&amp;": TCardId = '"&amp;$A73&amp;"';", "")</x:f>
        <x:v>    /** 《熊介》 */ export const OBORO_O_S_1: TCardId = '05-oboro-o-s-1';</x:v>
      </x:c>
      <x:c r="AV73" s="380" t="str">
        <x:f aca="0">IF($A74&lt;&gt;"", "    | '"&amp;$A74&amp;"'", "")</x:f>
        <x:v>    | '05-oboro-o-s-2'</x:v>
      </x:c>
    </x:row>
    <x:row r="74" ht="68" hidden="0" customHeight="1">
      <x:c r="A74" s="375" t="str">
        <x:v>05-oboro-o-s-2</x:v>
      </x:c>
      <x:c r="B74" s="375" t="str">
        <x:v>oboro</x:v>
      </x:c>
      <x:c r="C74" s="375"/>
      <x:c r="D74" s="375"/>
      <x:c r="E74" s="375" t="str">
        <x:v>鳶影</x:v>
      </x:c>
      <x:c r="F74" s="375" t="str">
        <x:v>とびかげ</x:v>
      </x:c>
      <x:c r="G74" s="375" t="str">
        <x:v>鸢影</x:v>
      </x:c>
      <x:c r="H74" s="375" t="str">
        <x:v>鸢影</x:v>
      </x:c>
      <x:c r="I74" s="375"/>
      <x:c r="J74" s="375" t="str">
        <x:v>토비카게</x:v>
      </x:c>
      <x:c r="K74" s="375" t="str">
        <x:v>Tobi-Kage</x:v>
      </x:c>
      <x:c r="L74" s="375"/>
      <x:c r="M74" s="375" t="str">
        <x:v>切札</x:v>
      </x:c>
      <x:c r="N74" s="375"/>
      <x:c r="O74" s="375"/>
      <x:c r="P74" s="375"/>
      <x:c r="Q74" s="375"/>
      <x:c r="R74" s="375" t="str">
        <x:v>行動</x:v>
      </x:c>
      <x:c r="S74" s="375" t="str">
        <x:v>対応</x:v>
      </x:c>
      <x:c r="T74" s="375"/>
      <x:c r="U74" s="383"/>
      <x:c r="V74" s="382"/>
      <x:c r="W74" s="383"/>
      <x:c r="X74" s="382"/>
      <x:c r="Y74" s="382"/>
      <x:c r="Z74" s="382" t="n">
        <x:v>4</x:v>
      </x:c>
      <x:c r="AA74" s="382"/>
      <x:c r="AB74" s="385"/>
      <x:c r="AC74" s="385"/>
      <x:c r="AD74" s="386"/>
      <x:c r="AE74" s="440" t="str">
        <x:v>伏せ札から《全力》でないカードを1枚まで選び、それを使用してもよい。
この際、このカードが対応している《攻撃》があるならば、使用されたカードはそれに対応しているものと扱う。</x:v>
      </x:c>
      <x:c r="AF74" s="441"/>
      <x:c r="AG74" s="488" t="str">
        <x:v>从盖牌区中选择1张非《全力》的牌使用。若此牌对应了一个《攻击》，则视为所选择的牌也对应了那个《攻击》。</x:v>
      </x:c>
      <x:c r="AH74" s="442"/>
      <x:c r="AI74" s="488" t="str">
        <x:v>从盖牌区中选择一张非《全力》的牌使用。若此牌对应了一个《攻击》，则视为所选择的牌代替此牌对应了那个《攻击》。</x:v>
      </x:c>
      <x:c r="AJ74" s="440"/>
      <x:c r="AK74" s="488" t="str">
        <x:v>덮임패에서 《전력》이 아닌 카드를 1장 골라, 그 카드를 사용해도 좋다. 이 때, 이 카드가 대응하는 《공격》이 있다면, 사용된 카드는 그것에 대응하고 있는것으로 취급한다.</x:v>
      </x:c>
      <x:c r="AL74" s="440"/>
      <x:c r="AM74" s="488" t="str">
        <x:v>Reveal a non-Throughout card in your discard pile and play it. If this card was played as a Reaction to an attack, treat that card as if it were played as a Reaction to that attack.</x:v>
      </x:c>
      <x:c r="AN74" s="440"/>
      <x:c r="AO74" s="440"/>
      <x:c r="AP74" s="440"/>
      <x:c r="AQ74" s="440"/>
      <x:c r="AR74" s="440"/>
      <x:c r="AS74" s="440"/>
      <x:c r="AT74" s="378" t="str">
        <x:f aca="0">IF(A74="", "","'"&amp;A74&amp;"': {megami: '"&amp;B74&amp;"'"&amp;IF(C74&lt;&gt;"",", anotherID: '"&amp;C74&amp;"', replace: '"&amp;D74&amp;"'","")&amp;", name: '"&amp;SUBSTITUTE(E74,"'","\'")&amp;"', nameEn: '"&amp;SUBSTITUTE(K74,"'","\'")&amp;"', nameZh: '"&amp;SUBSTITUTE(G74,"'","\'")&amp;"', nameZhG73: '"&amp;SUBSTITUTE(H74,"'","\'")&amp;"', nameKo: '"&amp;SUBSTITUTE(J74,"'","\'")&amp;"', ruby: '"&amp;F74&amp;"', rubyEn: '"&amp;L74&amp;IF(I74&lt;&gt;"", "', rubyZh: '"&amp;I74, "")&amp;"', baseType: '"&amp;IF(M74="通常札","normal",IF(M74="切札","special",IF(M74="追加札","extra",IF(M74="transform","transform",IF(M74="嵐","storm",IF(M74="兵員","troop",IF(M74="構想","plan",IF(M74="メインパーツ","mainParts",IF(M74="カスタムパーツ","customParts",IF(M74="運命","fate",IF(M74="仮想樹","virtualTree","")))))))))))&amp;"'"&amp;IF(N74="○",", extra: true","")&amp;IF(O74&lt;&gt;"",", extraFrom: '"&amp;O74&amp;"'","")&amp;IF(P74&lt;&gt;"",", exchangableTo: '"&amp;P74&amp;"'","")&amp;IF(Q74="○",", poison: true","")&amp;IF(R74&lt;&gt;"", ", type: '"&amp;IF(R74="攻撃","attack",IF(R74="行動","action",IF(R74="不定","variable",IF(R74="対応","reaction",IF(R74="全力","fullpower",IF(R74="付与","enhance",IF(R74="transform","transform","")))))))&amp;"'", "")&amp;IF(S74&lt;&gt;"",", subType: '"&amp;IF(S74="攻撃","attack",IF(S74="行動","action",IF(S74="不定","variable",IF(S74="対応","reaction",IF(S74="全力","fullpower",IF(S74="付与","enhance",IF(S74="transform","transform","")))))))&amp;"'","")&amp;""&amp;IF(T74&lt;&gt;"",", range: '"&amp;T74&amp;"'","")&amp;IF(V74&lt;&gt;"",", damage: '"&amp;V74&amp;"'","")&amp;IF(X74&lt;&gt;"",", capacity: '"&amp;X74&amp;"'","")&amp;IF(Y74&lt;&gt;"",", growth: "&amp;Y74&amp;"","")&amp;IF(Z74&lt;&gt;"",", cost: '"&amp;Z74&amp;"'","")&amp;", text: '"&amp;SUBSTITUTE(SUBSTITUTE(AE74, CHAR(13), ""),CHAR(10),"\n")&amp;IF(AF74&lt;&gt;"", "', textAdditional: '"&amp;SUBSTITUTE(SUBSTITUTE(AF74, CHAR(13), ""),CHAR(10),"\n"), "")&amp;"', textZh: '"&amp;SUBSTITUTE(SUBSTITUTE(SUBSTITUTE(AG74, CHAR(13), ""),CHAR(10),"\n"),"'","\'")&amp;"', textZhG73: '"&amp;SUBSTITUTE(SUBSTITUTE(SUBSTITUTE(AI74, CHAR(13), ""),CHAR(10),"\n"),"'","\'")&amp;IF(AH74&lt;&gt;"", "', textZhAdditional: '"&amp;SUBSTITUTE(SUBSTITUTE(AH74, CHAR(13), ""),CHAR(10),"\n"), "")&amp;IF(AK74&lt;&gt;"", "', textZhG73Additional: '"&amp;SUBSTITUTE(SUBSTITUTE(AK74, CHAR(13), ""),CHAR(10),"\n"), "")&amp;"', textKo: '"&amp;SUBSTITUTE(SUBSTITUTE(SUBSTITUTE(AM74, CHAR(13), ""),CHAR(10),"\n"),"'","\'")&amp;IF(AM74&lt;&gt;"", "', textKoAdditional: '"&amp;SUBSTITUTE(SUBSTITUTE(AM74, CHAR(13), ""),CHAR(10),"\n"), "")&amp;"', textEn: '"&amp;SUBSTITUTE(SUBSTITUTE(SUBSTITUTE(AM74, CHAR(13), ""),CHAR(10),"\n"),"'","\'")&amp;IF(AN74&lt;&gt;"", "', textEnAdditional: '"&amp;SUBSTITUTE(SUBSTITUTE(AN74, CHAR(13), ""),CHAR(10),"\n"), "")&amp;"'"&amp;IF(AB74="○",", sealable: true","")&amp;IF(AC74="○",", removable: true","")&amp;IF(AA74="○",", lie: true","")&amp;IF(AD74="○",", investable: true","")&amp;"},")</x:f>
        <x:v>'05-oboro-o-s-2': {megami: 'oboro', name: '鳶影', nameEn: 'Tobi-Kage', nameZh: '鸢影', nameZhG73: '鸢影', nameKo: '토비카게', ruby: 'とびかげ', rubyEn: '', baseType: 'special', type: 'action', subType: 'reaction', cost: '4', text: '伏せ札から《全力》でないカードを1枚まで選び、それを使用してもよい。\nこの際、このカードが対応している《攻撃》があるならば、使用されたカードはそれに対応しているものと扱う。', textZh: '从盖牌区中选择1张非《全力》的牌使用。若此牌对应了一个《攻击》，则视为所选择的牌也对应了那个《攻击》。', textZhG73: '从盖牌区中选择一张非《全力》的牌使用。若此牌对应了一个《攻击》，则视为所选择的牌代替此牌对应了那个《攻击》。', textZhG73Additional: '덮임패에서 《전력》이 아닌 카드를 1장 골라, 그 카드를 사용해도 좋다. 이 때, 이 카드가 대응하는 《공격》이 있다면, 사용된 카드는 그것에 대응하고 있는것으로 취급한다.', textKo: 'Reveal a non-Throughout card in your discard pile and play it. If this card was played as a Reaction to an attack, treat that card as if it were played as a Reaction to that attack.', textKoAdditional: 'Reveal a non-Throughout card in your discard pile and play it. If this card was played as a Reaction to an attack, treat that card as if it were played as a Reaction to that attack.', textEn: 'Reveal a non-Throughout card in your discard pile and play it. If this card was played as a Reaction to an attack, treat that card as if it were played as a Reaction to that attack.'},</x:v>
      </x:c>
      <x:c r="AU74" s="379" t="str">
        <x:f aca="0">IF($A74&lt;&gt;"", "    /** 《"&amp;$E74&amp;"》 */ export const "&amp;SUBSTITUTE(UPPER(IF(MID($A74, 3, 1)="-", RIGHT($A74,LEN($A74)-3), $A74)), "-", "_")&amp;": TCardId = '"&amp;$A74&amp;"';", "")</x:f>
        <x:v>    /** 《鳶影》 */ export const OBORO_O_S_2: TCardId = '05-oboro-o-s-2';</x:v>
      </x:c>
      <x:c r="AV74" s="380" t="str">
        <x:f aca="0">IF($A75&lt;&gt;"", "    | '"&amp;$A75&amp;"'", "")</x:f>
        <x:v>    | '05-oboro-o-s-3'</x:v>
      </x:c>
    </x:row>
    <x:row r="75" ht="143" hidden="0" customHeight="1">
      <x:c r="A75" s="375" t="str">
        <x:v>05-oboro-o-s-3</x:v>
      </x:c>
      <x:c r="B75" s="375" t="str">
        <x:v>oboro</x:v>
      </x:c>
      <x:c r="C75" s="375"/>
      <x:c r="D75" s="375"/>
      <x:c r="E75" s="375" t="str">
        <x:v>虚魚</x:v>
      </x:c>
      <x:c r="F75" s="375" t="str">
        <x:v>うろうお</x:v>
      </x:c>
      <x:c r="G75" s="375" t="str">
        <x:v>虚鱼</x:v>
      </x:c>
      <x:c r="H75" s="375" t="str">
        <x:v>虚鱼</x:v>
      </x:c>
      <x:c r="I75" s="375"/>
      <x:c r="J75" s="375" t="str">
        <x:v>우로우오</x:v>
      </x:c>
      <x:c r="K75" s="375" t="str">
        <x:v>Uro-Uo</x:v>
      </x:c>
      <x:c r="L75" s="375"/>
      <x:c r="M75" s="375" t="str">
        <x:v>切札</x:v>
      </x:c>
      <x:c r="N75" s="375"/>
      <x:c r="O75" s="375"/>
      <x:c r="P75" s="375"/>
      <x:c r="Q75" s="375"/>
      <x:c r="R75" s="375" t="str">
        <x:v>付与</x:v>
      </x:c>
      <x:c r="S75" s="375"/>
      <x:c r="T75" s="375"/>
      <x:c r="U75" s="383"/>
      <x:c r="V75" s="382"/>
      <x:c r="W75" s="383"/>
      <x:c r="X75" s="382" t="n">
        <x:v>3</x:v>
      </x:c>
      <x:c r="Y75" s="382"/>
      <x:c r="Z75" s="382" t="n">
        <x:v>2</x:v>
      </x:c>
      <x:c r="AA75" s="382"/>
      <x:c r="AB75" s="385"/>
      <x:c r="AC75" s="385"/>
      <x:c r="AD75" s="386"/>
      <x:c r="AE75" s="440" t="str">
        <x:v>【展開時】あなたは捨て札を好きな枚数だけ伏せ札にする。
【展開中】あなたが伏せ札から使用するカードの矢印は両矢印になる。
【展開中/展開済】山札を再構成する直前に設置を持つ《攻撃》でないカードを追加で1枚伏せ札から使用できる。</x:v>
      </x:c>
      <x:c r="AF75" s="441"/>
      <x:c r="AG75" s="488" t="str">
        <x:v>【展开时】你将任意数量的弃牌盖伏。
【展开中】你从盖牌中使用的牌的箭头视为双箭头（↔）。
【展开中/已使用】重铸牌库前可以从盖牌追加使用一张具有设置的非《攻击》的牌。</x:v>
      </x:c>
      <x:c r="AH75" s="442"/>
      <x:c r="AI75" s="440"/>
      <x:c r="AJ75" s="440"/>
      <x:c r="AK75" s="488" t="str">
        <x:v>【전개시】 당신은 버림패를 원하는 숫자만큼 덮은패로 보내도 된다.
【전개중】 당신이 덮은패에서 사용하는 카드의 화살표는 양방향 화살표(↔)가 된다.
【전개중/사용됨】 패산을 재구성하기 직전에 설치를 가지는 《공격》이 아닌 카드를 추가로 1장 덮은패에서 사용해도 된다.</x:v>
      </x:c>
      <x:c r="AL75" s="440"/>
      <x:c r="AM75" s="488" t="str">
        <x:v>Initialize: You may move any number of cards from your played pile to your discard pile.
Ongoing: Arrows on your cards you play from your discard pile become double arrows (⇔).
Ongoing/Devoted: You may play 1 extra non-Attack card with Trap from your discard pile just before you reshuffle your deck.</x:v>
      </x:c>
      <x:c r="AN75" s="440"/>
      <x:c r="AO75" s="440"/>
      <x:c r="AP75" s="440"/>
      <x:c r="AQ75" s="440"/>
      <x:c r="AR75" s="440"/>
      <x:c r="AS75" s="440"/>
      <x:c r="AT75" s="378" t="str">
        <x:f aca="0">IF(A75="", "","'"&amp;A75&amp;"': {megami: '"&amp;B75&amp;"'"&amp;IF(C75&lt;&gt;"",", anotherID: '"&amp;C75&amp;"', replace: '"&amp;D75&amp;"'","")&amp;", name: '"&amp;SUBSTITUTE(E75,"'","\'")&amp;"', nameEn: '"&amp;SUBSTITUTE(K75,"'","\'")&amp;"', nameZh: '"&amp;SUBSTITUTE(G75,"'","\'")&amp;"', nameZhG74: '"&amp;SUBSTITUTE(H75,"'","\'")&amp;"', nameKo: '"&amp;SUBSTITUTE(J75,"'","\'")&amp;"', ruby: '"&amp;F75&amp;"', rubyEn: '"&amp;L75&amp;IF(I75&lt;&gt;"", "', rubyZh: '"&amp;I75, "")&amp;"', baseType: '"&amp;IF(M75="通常札","normal",IF(M75="切札","special",IF(M75="追加札","extra",IF(M75="transform","transform",IF(M75="嵐","storm",IF(M75="兵員","troop",IF(M75="構想","plan",IF(M75="メインパーツ","mainParts",IF(M75="カスタムパーツ","customParts",IF(M75="運命","fate",IF(M75="仮想樹","virtualTree","")))))))))))&amp;"'"&amp;IF(N75="○",", extra: true","")&amp;IF(O75&lt;&gt;"",", extraFrom: '"&amp;O75&amp;"'","")&amp;IF(P75&lt;&gt;"",", exchangableTo: '"&amp;P75&amp;"'","")&amp;IF(Q75="○",", poison: true","")&amp;IF(R75&lt;&gt;"", ", type: '"&amp;IF(R75="攻撃","attack",IF(R75="行動","action",IF(R75="不定","variable",IF(R75="対応","reaction",IF(R75="全力","fullpower",IF(R75="付与","enhance",IF(R75="transform","transform","")))))))&amp;"'", "")&amp;IF(S75&lt;&gt;"",", subType: '"&amp;IF(S75="攻撃","attack",IF(S75="行動","action",IF(S75="不定","variable",IF(S75="対応","reaction",IF(S75="全力","fullpower",IF(S75="付与","enhance",IF(S75="transform","transform","")))))))&amp;"'","")&amp;""&amp;IF(T75&lt;&gt;"",", range: '"&amp;T75&amp;"'","")&amp;IF(V75&lt;&gt;"",", damage: '"&amp;V75&amp;"'","")&amp;IF(X75&lt;&gt;"",", capacity: '"&amp;X75&amp;"'","")&amp;IF(Y75&lt;&gt;"",", growth: "&amp;Y75&amp;"","")&amp;IF(Z75&lt;&gt;"",", cost: '"&amp;Z75&amp;"'","")&amp;", text: '"&amp;SUBSTITUTE(SUBSTITUTE(AE75, CHAR(13), ""),CHAR(10),"\n")&amp;IF(AF75&lt;&gt;"", "', textAdditional: '"&amp;SUBSTITUTE(SUBSTITUTE(AF75, CHAR(13), ""),CHAR(10),"\n"), "")&amp;"', textZh: '"&amp;SUBSTITUTE(SUBSTITUTE(SUBSTITUTE(AG75, CHAR(13), ""),CHAR(10),"\n"),"'","\'")&amp;"', textZhG74: '"&amp;SUBSTITUTE(SUBSTITUTE(SUBSTITUTE(AI75, CHAR(13), ""),CHAR(10),"\n"),"'","\'")&amp;IF(AH75&lt;&gt;"", "', textZhAdditional: '"&amp;SUBSTITUTE(SUBSTITUTE(AH75, CHAR(13), ""),CHAR(10),"\n"), "")&amp;IF(AK75&lt;&gt;"", "', textZhG74Additional: '"&amp;SUBSTITUTE(SUBSTITUTE(AK75, CHAR(13), ""),CHAR(10),"\n"), "")&amp;"', textKo: '"&amp;SUBSTITUTE(SUBSTITUTE(SUBSTITUTE(AM75, CHAR(13), ""),CHAR(10),"\n"),"'","\'")&amp;IF(AM75&lt;&gt;"", "', textKoAdditional: '"&amp;SUBSTITUTE(SUBSTITUTE(AM75, CHAR(13), ""),CHAR(10),"\n"), "")&amp;"', textEn: '"&amp;SUBSTITUTE(SUBSTITUTE(SUBSTITUTE(AM75, CHAR(13), ""),CHAR(10),"\n"),"'","\'")&amp;IF(AN75&lt;&gt;"", "', textEnAdditional: '"&amp;SUBSTITUTE(SUBSTITUTE(AN75, CHAR(13), ""),CHAR(10),"\n"), "")&amp;"'"&amp;IF(AB75="○",", sealable: true","")&amp;IF(AC75="○",", removable: true","")&amp;IF(AA75="○",", lie: true","")&amp;IF(AD75="○",", investable: true","")&amp;"},")</x:f>
        <x:v>'05-oboro-o-s-3': {megami: 'oboro', name: '虚魚', nameEn: 'Uro-Uo', nameZh: '虚鱼', nameZhG74: '虚鱼', nameKo: '우로우오', ruby: 'うろうお', rubyEn: '', baseType: 'special', type: 'enhance', capacity: '3', cost: '2', text: '【展開時】あなたは捨て札を好きな枚数だけ伏せ札にする。\n【展開中】あなたが伏せ札から使用するカードの矢印は両矢印になる。\n【展開中/展開済】山札を再構成する直前に設置を持つ《攻撃》でないカードを追加で1枚伏せ札から使用できる。', textZh: '【展开时】你将任意数量的弃牌盖伏。\n【展开中】你从盖牌中使用的牌的箭头视为双箭头（↔）。\n【展开中/已使用】重铸牌库前可以从盖牌追加使用一张具有设置的非《攻击》的牌。', textZhG74: '', textZhG74Additional: '【전개시】 당신은 버림패를 원하는 숫자만큼 덮은패로 보내도 된다.\n【전개중】 당신이 덮은패에서 사용하는 카드의 화살표는 양방향 화살표(↔)가 된다.\n【전개중/사용됨】 패산을 재구성하기 직전에 설치를 가지는 《공격》이 아닌 카드를 추가로 1장 덮은패에서 사용해도 된다.', textKo: 'Initialize: You may move any number of cards from your played pile to your discard pile.\n\nOngoing: Arrows on your cards you play from your discard pile become double arrows (⇔).\n\nOngoing/Devoted: You may play 1 extra non-Attack card with Trap from your discard pile just before you reshuffle your deck.', textKoAdditional: 'Initialize: You may move any number of cards from your played pile to your discard pile.\n\nOngoing: Arrows on your cards you play from your discard pile become double arrows (⇔).\n\nOngoing/Devoted: You may play 1 extra non-Attack card with Trap from your discard pile just before you reshuffle your deck.', textEn: 'Initialize: You may move any number of cards from your played pile to your discard pile.\n\nOngoing: Arrows on your cards you play from your discard pile become double arrows (⇔).\n\nOngoing/Devoted: You may play 1 extra non-Attack card with Trap from your discard pile just before you reshuffle your deck.'},</x:v>
      </x:c>
      <x:c r="AU75" s="379" t="str">
        <x:f aca="0">IF($A75&lt;&gt;"", "    /** 《"&amp;$E75&amp;"》 */ export const "&amp;SUBSTITUTE(UPPER(IF(MID($A75, 3, 1)="-", RIGHT($A75,LEN($A75)-3), $A75)), "-", "_")&amp;": TCardId = '"&amp;$A75&amp;"';", "")</x:f>
        <x:v>    /** 《虚魚》 */ export const OBORO_O_S_3: TCardId = '05-oboro-o-s-3';</x:v>
      </x:c>
      <x:c r="AV75" s="380" t="str">
        <x:f aca="0">IF($A76&lt;&gt;"", "    | '"&amp;$A76&amp;"'", "")</x:f>
        <x:v>    | '05-oboro-o-s-4'</x:v>
      </x:c>
    </x:row>
    <x:row r="76" ht="53" hidden="0" customHeight="1">
      <x:c r="A76" s="375" t="str">
        <x:v>05-oboro-o-s-4</x:v>
      </x:c>
      <x:c r="B76" s="375" t="str">
        <x:v>oboro</x:v>
      </x:c>
      <x:c r="C76" s="375"/>
      <x:c r="D76" s="375"/>
      <x:c r="E76" s="375" t="str">
        <x:v>壬蔓</x:v>
      </x:c>
      <x:c r="F76" s="375" t="str">
        <x:v>みかずら</x:v>
      </x:c>
      <x:c r="G76" s="375" t="str">
        <x:v>壬蔓</x:v>
      </x:c>
      <x:c r="H76" s="375" t="str">
        <x:v>壬蔓</x:v>
      </x:c>
      <x:c r="I76" s="375"/>
      <x:c r="J76" s="375" t="str">
        <x:v>미카즈라</x:v>
      </x:c>
      <x:c r="K76" s="375" t="str">
        <x:v>Mi-Kazura</x:v>
      </x:c>
      <x:c r="L76" s="375"/>
      <x:c r="M76" s="375" t="str">
        <x:v>切札</x:v>
      </x:c>
      <x:c r="N76" s="375"/>
      <x:c r="O76" s="375"/>
      <x:c r="P76" s="375"/>
      <x:c r="Q76" s="375"/>
      <x:c r="R76" s="375" t="str">
        <x:v>攻撃</x:v>
      </x:c>
      <x:c r="S76" s="375"/>
      <x:c r="T76" s="375" t="str">
        <x:v>3-7</x:v>
      </x:c>
      <x:c r="U76" s="383"/>
      <x:c r="V76" s="382" t="str">
        <x:v>1/1</x:v>
      </x:c>
      <x:c r="W76" s="383"/>
      <x:c r="X76" s="382"/>
      <x:c r="Y76" s="382"/>
      <x:c r="Z76" s="382" t="n">
        <x:v>0</x:v>
      </x:c>
      <x:c r="AA76" s="382"/>
      <x:c r="AB76" s="385"/>
      <x:c r="AC76" s="385"/>
      <x:c r="AD76" s="386"/>
      <x:c r="AE76" s="440" t="str">
        <x:v>【攻撃後】ダスト→自フレア：1
再起:あなたのフレアが0である。</x:v>
      </x:c>
      <x:c r="AF76" s="441"/>
      <x:c r="AG76" s="488" t="str">
        <x:v>虚→1→自气 
----
【再起】自气中没有樱花结晶。</x:v>
      </x:c>
      <x:c r="AH76" s="442"/>
      <x:c r="AI76" s="488" t="str">
        <x:v>虚（1）→自气 
----
【再起】自气中没有樱花结晶。</x:v>
      </x:c>
      <x:c r="AJ76" s="440"/>
      <x:c r="AK76" s="488" t="str">
        <x:v>더스트→자신 플레어：1 
 ----
 【재기】당신의 플레어가 0이다.</x:v>
      </x:c>
      <x:c r="AL76" s="440"/>
      <x:c r="AM76" s="488" t="str">
        <x:v>After Attack: Shadow (1)→ Your Flare
----
Resurgence: There are no Sakura tokens on your Flare.</x:v>
      </x:c>
      <x:c r="AN76" s="440"/>
      <x:c r="AO76" s="440"/>
      <x:c r="AP76" s="440"/>
      <x:c r="AQ76" s="440"/>
      <x:c r="AR76" s="440"/>
      <x:c r="AS76" s="440"/>
      <x:c r="AT76" s="378" t="str">
        <x:f aca="0">IF(A76="", "","'"&amp;A76&amp;"': {megami: '"&amp;B76&amp;"'"&amp;IF(C76&lt;&gt;"",", anotherID: '"&amp;C76&amp;"', replace: '"&amp;D76&amp;"'","")&amp;", name: '"&amp;SUBSTITUTE(E76,"'","\'")&amp;"', nameEn: '"&amp;SUBSTITUTE(K76,"'","\'")&amp;"', nameZh: '"&amp;SUBSTITUTE(G76,"'","\'")&amp;"', nameZhG75: '"&amp;SUBSTITUTE(H76,"'","\'")&amp;"', nameKo: '"&amp;SUBSTITUTE(J76,"'","\'")&amp;"', ruby: '"&amp;F76&amp;"', rubyEn: '"&amp;L76&amp;IF(I76&lt;&gt;"", "', rubyZh: '"&amp;I76, "")&amp;"', baseType: '"&amp;IF(M76="通常札","normal",IF(M76="切札","special",IF(M76="追加札","extra",IF(M76="transform","transform",IF(M76="嵐","storm",IF(M76="兵員","troop",IF(M76="構想","plan",IF(M76="メインパーツ","mainParts",IF(M76="カスタムパーツ","customParts",IF(M76="運命","fate",IF(M76="仮想樹","virtualTree","")))))))))))&amp;"'"&amp;IF(N76="○",", extra: true","")&amp;IF(O76&lt;&gt;"",", extraFrom: '"&amp;O76&amp;"'","")&amp;IF(P76&lt;&gt;"",", exchangableTo: '"&amp;P76&amp;"'","")&amp;IF(Q76="○",", poison: true","")&amp;IF(R76&lt;&gt;"", ", type: '"&amp;IF(R76="攻撃","attack",IF(R76="行動","action",IF(R76="不定","variable",IF(R76="対応","reaction",IF(R76="全力","fullpower",IF(R76="付与","enhance",IF(R76="transform","transform","")))))))&amp;"'", "")&amp;IF(S76&lt;&gt;"",", subType: '"&amp;IF(S76="攻撃","attack",IF(S76="行動","action",IF(S76="不定","variable",IF(S76="対応","reaction",IF(S76="全力","fullpower",IF(S76="付与","enhance",IF(S76="transform","transform","")))))))&amp;"'","")&amp;""&amp;IF(T76&lt;&gt;"",", range: '"&amp;T76&amp;"'","")&amp;IF(V76&lt;&gt;"",", damage: '"&amp;V76&amp;"'","")&amp;IF(X76&lt;&gt;"",", capacity: '"&amp;X76&amp;"'","")&amp;IF(Y76&lt;&gt;"",", growth: "&amp;Y76&amp;"","")&amp;IF(Z76&lt;&gt;"",", cost: '"&amp;Z76&amp;"'","")&amp;", text: '"&amp;SUBSTITUTE(SUBSTITUTE(AE76, CHAR(13), ""),CHAR(10),"\n")&amp;IF(AF76&lt;&gt;"", "', textAdditional: '"&amp;SUBSTITUTE(SUBSTITUTE(AF76, CHAR(13), ""),CHAR(10),"\n"), "")&amp;"', textZh: '"&amp;SUBSTITUTE(SUBSTITUTE(SUBSTITUTE(AG76, CHAR(13), ""),CHAR(10),"\n"),"'","\'")&amp;"', textZhG75: '"&amp;SUBSTITUTE(SUBSTITUTE(SUBSTITUTE(AI76, CHAR(13), ""),CHAR(10),"\n"),"'","\'")&amp;IF(AH76&lt;&gt;"", "', textZhAdditional: '"&amp;SUBSTITUTE(SUBSTITUTE(AH76, CHAR(13), ""),CHAR(10),"\n"), "")&amp;IF(AK76&lt;&gt;"", "', textZhG75Additional: '"&amp;SUBSTITUTE(SUBSTITUTE(AK76, CHAR(13), ""),CHAR(10),"\n"), "")&amp;"', textKo: '"&amp;SUBSTITUTE(SUBSTITUTE(SUBSTITUTE(AM76, CHAR(13), ""),CHAR(10),"\n"),"'","\'")&amp;IF(AM76&lt;&gt;"", "', textKoAdditional: '"&amp;SUBSTITUTE(SUBSTITUTE(AM76, CHAR(13), ""),CHAR(10),"\n"), "")&amp;"', textEn: '"&amp;SUBSTITUTE(SUBSTITUTE(SUBSTITUTE(AM76, CHAR(13), ""),CHAR(10),"\n"),"'","\'")&amp;IF(AN76&lt;&gt;"", "', textEnAdditional: '"&amp;SUBSTITUTE(SUBSTITUTE(AN76, CHAR(13), ""),CHAR(10),"\n"), "")&amp;"'"&amp;IF(AB76="○",", sealable: true","")&amp;IF(AC76="○",", removable: true","")&amp;IF(AA76="○",", lie: true","")&amp;IF(AD76="○",", investable: true","")&amp;"},")</x:f>
        <x:v>'05-oboro-o-s-4': {megami: 'oboro', name: '壬蔓', nameEn: 'Mi-Kazura', nameZh: '壬蔓', nameZhG75: '壬蔓', nameKo: '미카즈라', ruby: 'みかずら', rubyEn: '', baseType: 'special', type: 'attack', range: '3-7', damage: '1/1', text: '【攻撃後】ダスト→自フレア：1\n再起:あなたのフレアが0である。', textZh: '虚→1→自气 \n----\n【再起】自气中没有樱花结晶。', textZhG75: '虚（1）→自气 \n----\n【再起】自气中没有樱花结晶。', textZhG75Additional: '더스트→자신 플레어：1 \n ----\n 【재기】당신의 플레어가 0이다.', textKo: 'After Attack: Shadow (1)→ Your Flare\n----\nResurgence: There are no Sakura tokens on your Flare.', textKoAdditional: 'After Attack: Shadow (1)→ Your Flare\n----\nResurgence: There are no Sakura tokens on your Flare.', textEn: 'After Attack: Shadow (1)→ Your Flare\n----\nResurgence: There are no Sakura tokens on your Flare.'},</x:v>
      </x:c>
      <x:c r="AU76" s="379" t="str">
        <x:f aca="0">IF($A76&lt;&gt;"", "    /** 《"&amp;$E76&amp;"》 */ export const "&amp;SUBSTITUTE(UPPER(IF(MID($A76, 3, 1)="-", RIGHT($A76,LEN($A76)-3), $A76)), "-", "_")&amp;": TCardId = '"&amp;$A76&amp;"';", "")</x:f>
        <x:v>    /** 《壬蔓》 */ export const OBORO_O_S_4: TCardId = '05-oboro-o-s-4';</x:v>
      </x:c>
      <x:c r="AV76" s="380" t="str">
        <x:f aca="0">IF($A77&lt;&gt;"", "    | '"&amp;$A77&amp;"'", "")</x:f>
        <x:v>    | '05-oboro-A1-n-2'</x:v>
      </x:c>
    </x:row>
    <x:row r="77" ht="53" hidden="0" customHeight="1">
      <x:c r="A77" s="375" t="str">
        <x:v>05-oboro-A1-n-2</x:v>
      </x:c>
      <x:c r="B77" s="375" t="str">
        <x:v>oboro</x:v>
      </x:c>
      <x:c r="C77" s="375" t="str">
        <x:v>A1</x:v>
      </x:c>
      <x:c r="D77" s="375" t="str">
        <x:v>05-oboro-o-n-2</x:v>
      </x:c>
      <x:c r="E77" s="375" t="str">
        <x:v>手裏剣</x:v>
      </x:c>
      <x:c r="F77" s="375" t="str">
        <x:v>しゅりけん</x:v>
      </x:c>
      <x:c r="G77" s="375" t="str">
        <x:v>手里剑</x:v>
      </x:c>
      <x:c r="H77" s="375" t="str">
        <x:v>手里剑</x:v>
      </x:c>
      <x:c r="I77" s="375"/>
      <x:c r="J77" s="375" t="str">
        <x:v>수리검</x:v>
      </x:c>
      <x:c r="K77" s="375" t="str">
        <x:v>Shuriken</x:v>
      </x:c>
      <x:c r="L77" s="375"/>
      <x:c r="M77" s="375" t="str">
        <x:v>通常札</x:v>
      </x:c>
      <x:c r="N77" s="375"/>
      <x:c r="O77" s="375"/>
      <x:c r="P77" s="375"/>
      <x:c r="Q77" s="375"/>
      <x:c r="R77" s="375" t="str">
        <x:v>攻撃</x:v>
      </x:c>
      <x:c r="S77" s="375"/>
      <x:c r="T77" s="375" t="str">
        <x:v>3-5</x:v>
      </x:c>
      <x:c r="U77" s="383"/>
      <x:c r="V77" s="382" t="str">
        <x:v>2/1</x:v>
      </x:c>
      <x:c r="W77" s="383"/>
      <x:c r="X77" s="382"/>
      <x:c r="Y77" s="382"/>
      <x:c r="Z77" s="382"/>
      <x:c r="AA77" s="382"/>
      <x:c r="AB77" s="385"/>
      <x:c r="AC77" s="385"/>
      <x:c r="AD77" s="386"/>
      <x:c r="AE77" s="440" t="str">
        <x:v>【常時】あなたの終了フェイズに両者の伏せ札が合計5枚以上あるならば、このカードを捨て札から手札に戻してもよい。</x:v>
      </x:c>
      <x:c r="AF77" s="441"/>
      <x:c r="AG77" s="488" t="str">
        <x:v>【常时】在你的结束阶段，若双方盖牌区中的牌张数之和大于等于5，则你可以将此牌从弃牌区置入手牌。</x:v>
      </x:c>
      <x:c r="AH77" s="442"/>
      <x:c r="AI77" s="488" t="str">
        <x:v>【常时】你的结束阶段开始时，若双方盖牌区中的牌张数之和大于5，则你可以将此牌从弃牌区置入手牌。</x:v>
      </x:c>
      <x:c r="AJ77" s="440"/>
      <x:c r="AK77" s="488" t="str">
        <x:v>【상시】당신의 종료 페이즈에 양플레이어의 덮임패 합계가 5장 이상이라면, 이 카드를 덮임패에서 손패로 되돌려도 좋다.</x:v>
      </x:c>
      <x:c r="AL77" s="440"/>
      <x:c r="AM77" s="488" t="str">
        <x:v>Forced: At the end of your turn, if there are 5 or more cards in both players' discard piles combined, you may return this card from your played pile to your hand.</x:v>
      </x:c>
      <x:c r="AN77" s="440"/>
      <x:c r="AO77" s="440"/>
      <x:c r="AP77" s="440"/>
      <x:c r="AQ77" s="440"/>
      <x:c r="AR77" s="440"/>
      <x:c r="AS77" s="440"/>
      <x:c r="AT77" s="378" t="str">
        <x:f aca="0">IF(A77="", "","'"&amp;A77&amp;"': {megami: '"&amp;B77&amp;"'"&amp;IF(C77&lt;&gt;"",", anotherID: '"&amp;C77&amp;"', replace: '"&amp;D77&amp;"'","")&amp;", name: '"&amp;SUBSTITUTE(E77,"'","\'")&amp;"', nameEn: '"&amp;SUBSTITUTE(K77,"'","\'")&amp;"', nameZh: '"&amp;SUBSTITUTE(G77,"'","\'")&amp;"', nameZhG76: '"&amp;SUBSTITUTE(H77,"'","\'")&amp;"', nameKo: '"&amp;SUBSTITUTE(J77,"'","\'")&amp;"', ruby: '"&amp;F77&amp;"', rubyEn: '"&amp;L77&amp;IF(I77&lt;&gt;"", "', rubyZh: '"&amp;I77, "")&amp;"', baseType: '"&amp;IF(M77="通常札","normal",IF(M77="切札","special",IF(M77="追加札","extra",IF(M77="transform","transform",IF(M77="嵐","storm",IF(M77="兵員","troop",IF(M77="構想","plan",IF(M77="メインパーツ","mainParts",IF(M77="カスタムパーツ","customParts",IF(M77="運命","fate",IF(M77="仮想樹","virtualTree","")))))))))))&amp;"'"&amp;IF(N77="○",", extra: true","")&amp;IF(O77&lt;&gt;"",", extraFrom: '"&amp;O77&amp;"'","")&amp;IF(P77&lt;&gt;"",", exchangableTo: '"&amp;P77&amp;"'","")&amp;IF(Q77="○",", poison: true","")&amp;IF(R77&lt;&gt;"", ", type: '"&amp;IF(R77="攻撃","attack",IF(R77="行動","action",IF(R77="不定","variable",IF(R77="対応","reaction",IF(R77="全力","fullpower",IF(R77="付与","enhance",IF(R77="transform","transform","")))))))&amp;"'", "")&amp;IF(S77&lt;&gt;"",", subType: '"&amp;IF(S77="攻撃","attack",IF(S77="行動","action",IF(S77="不定","variable",IF(S77="対応","reaction",IF(S77="全力","fullpower",IF(S77="付与","enhance",IF(S77="transform","transform","")))))))&amp;"'","")&amp;""&amp;IF(T77&lt;&gt;"",", range: '"&amp;T77&amp;"'","")&amp;IF(V77&lt;&gt;"",", damage: '"&amp;V77&amp;"'","")&amp;IF(X77&lt;&gt;"",", capacity: '"&amp;X77&amp;"'","")&amp;IF(Y77&lt;&gt;"",", growth: "&amp;Y77&amp;"","")&amp;IF(Z77&lt;&gt;"",", cost: '"&amp;Z77&amp;"'","")&amp;", text: '"&amp;SUBSTITUTE(SUBSTITUTE(AE77, CHAR(13), ""),CHAR(10),"\n")&amp;IF(AF77&lt;&gt;"", "', textAdditional: '"&amp;SUBSTITUTE(SUBSTITUTE(AF77, CHAR(13), ""),CHAR(10),"\n"), "")&amp;"', textZh: '"&amp;SUBSTITUTE(SUBSTITUTE(SUBSTITUTE(AG77, CHAR(13), ""),CHAR(10),"\n"),"'","\'")&amp;"', textZhG76: '"&amp;SUBSTITUTE(SUBSTITUTE(SUBSTITUTE(AI77, CHAR(13), ""),CHAR(10),"\n"),"'","\'")&amp;IF(AH77&lt;&gt;"", "', textZhAdditional: '"&amp;SUBSTITUTE(SUBSTITUTE(AH77, CHAR(13), ""),CHAR(10),"\n"), "")&amp;IF(AK77&lt;&gt;"", "', textZhG76Additional: '"&amp;SUBSTITUTE(SUBSTITUTE(AK77, CHAR(13), ""),CHAR(10),"\n"), "")&amp;"', textKo: '"&amp;SUBSTITUTE(SUBSTITUTE(SUBSTITUTE(AM77, CHAR(13), ""),CHAR(10),"\n"),"'","\'")&amp;IF(AM77&lt;&gt;"", "', textKoAdditional: '"&amp;SUBSTITUTE(SUBSTITUTE(AM77, CHAR(13), ""),CHAR(10),"\n"), "")&amp;"', textEn: '"&amp;SUBSTITUTE(SUBSTITUTE(SUBSTITUTE(AM77, CHAR(13), ""),CHAR(10),"\n"),"'","\'")&amp;IF(AN77&lt;&gt;"", "', textEnAdditional: '"&amp;SUBSTITUTE(SUBSTITUTE(AN77, CHAR(13), ""),CHAR(10),"\n"), "")&amp;"'"&amp;IF(AB77="○",", sealable: true","")&amp;IF(AC77="○",", removable: true","")&amp;IF(AA77="○",", lie: true","")&amp;IF(AD77="○",", investable: true","")&amp;"},")</x:f>
        <x:v>'05-oboro-A1-n-2': {megami: 'oboro', anotherID: 'A1', replace: '05-oboro-o-n-2', name: '手裏剣', nameEn: 'Shuriken', nameZh: '手里剑', nameZhG76: '手里剑', nameKo: '수리검', ruby: 'しゅりけん', rubyEn: '', baseType: 'normal', type: 'attack', range: '3-5', damage: '2/1', text: '【常時】あなたの終了フェイズに両者の伏せ札が合計5枚以上あるならば、このカードを捨て札から手札に戻してもよい。', textZh: '【常时】在你的结束阶段，若双方盖牌区中的牌张数之和大于等于5，则你可以将此牌从弃牌区置入手牌。', textZhG76: '【常时】你的结束阶段开始时，若双方盖牌区中的牌张数之和大于5，则你可以将此牌从弃牌区置入手牌。', textZhG76Additional: '【상시】당신의 종료 페이즈에 양플레이어의 덮임패 합계가 5장 이상이라면, 이 카드를 덮임패에서 손패로 되돌려도 좋다.', textKo: 'Forced: At the end of your turn, if there are 5 or more cards in both players\' discard piles combined, you may return this card from your played pile to your hand.', textKoAdditional: 'Forced: At the end of your turn, if there are 5 or more cards in both players' discard piles combined, you may return this card from your played pile to your hand.', textEn: 'Forced: At the end of your turn, if there are 5 or more cards in both players\' discard piles combined, you may return this card from your played pile to your hand.'},</x:v>
      </x:c>
      <x:c r="AU77" s="379" t="str">
        <x:f aca="0">IF($A77&lt;&gt;"", "    /** 《"&amp;$E77&amp;"》 */ export const "&amp;SUBSTITUTE(UPPER(IF(MID($A77, 3, 1)="-", RIGHT($A77,LEN($A77)-3), $A77)), "-", "_")&amp;": TCardId = '"&amp;$A77&amp;"';", "")</x:f>
        <x:v>    /** 《手裏剣》 */ export const OBORO_A1_N_2: TCardId = '05-oboro-A1-n-2';</x:v>
      </x:c>
      <x:c r="AV77" s="380" t="str">
        <x:f aca="0">IF($A78&lt;&gt;"", "    | '"&amp;$A78&amp;"'", "")</x:f>
        <x:v>    | '05-oboro-A1-n-3'</x:v>
      </x:c>
    </x:row>
    <x:row r="78" ht="68" hidden="0" customHeight="1">
      <x:c r="A78" s="375" t="str">
        <x:v>05-oboro-A1-n-3</x:v>
      </x:c>
      <x:c r="B78" s="375" t="str">
        <x:v>oboro</x:v>
      </x:c>
      <x:c r="C78" s="375" t="str">
        <x:v>A1</x:v>
      </x:c>
      <x:c r="D78" s="375" t="str">
        <x:v>05-oboro-o-n-3</x:v>
      </x:c>
      <x:c r="E78" s="375" t="str">
        <x:v>不意打ち</x:v>
      </x:c>
      <x:c r="F78" s="375" t="str">
        <x:v>ふいうち</x:v>
      </x:c>
      <x:c r="G78" s="375" t="str">
        <x:v>突袭</x:v>
      </x:c>
      <x:c r="H78" s="375" t="str">
        <x:v>突袭</x:v>
      </x:c>
      <x:c r="I78" s="375"/>
      <x:c r="J78" s="375" t="str">
        <x:v>기습</x:v>
      </x:c>
      <x:c r="K78" s="375" t="str">
        <x:v>Sneak Attack</x:v>
      </x:c>
      <x:c r="L78" s="375"/>
      <x:c r="M78" s="375" t="str">
        <x:v>通常札</x:v>
      </x:c>
      <x:c r="N78" s="375"/>
      <x:c r="O78" s="375"/>
      <x:c r="P78" s="375"/>
      <x:c r="Q78" s="375"/>
      <x:c r="R78" s="375" t="str">
        <x:v>攻撃</x:v>
      </x:c>
      <x:c r="S78" s="375" t="str">
        <x:v>全力</x:v>
      </x:c>
      <x:c r="T78" s="375" t="str">
        <x:v>1-3</x:v>
      </x:c>
      <x:c r="U78" s="383"/>
      <x:c r="V78" s="382" t="str">
        <x:v>4/3</x:v>
      </x:c>
      <x:c r="W78" s="383"/>
      <x:c r="X78" s="382"/>
      <x:c r="Y78" s="382"/>
      <x:c r="Z78" s="382"/>
      <x:c r="AA78" s="382"/>
      <x:c r="AB78" s="385"/>
      <x:c r="AC78" s="385"/>
      <x:c r="AD78" s="386"/>
      <x:c r="AE78" s="440" t="str">
        <x:v>対応不可（通常札）
【常時】この《攻撃》は-X/-Xとなる。Xは相手の伏せ札の枚数に等しい。</x:v>
      </x:c>
      <x:c r="AF78" s="441"/>
      <x:c r="AG78" s="488" t="str">
        <x:v>不可被对应（通常牌）
【常时】此《攻击》得-X/-X，X等于对手盖牌区中的牌张数。</x:v>
      </x:c>
      <x:c r="AH78" s="442"/>
      <x:c r="AI78" s="488" t="str">
        <x:v>不可被对应（通常牌）
【常时】此《攻击》获得-X/-X，X等于对手盖牌区中的牌张数。</x:v>
      </x:c>
      <x:c r="AJ78" s="440"/>
      <x:c r="AK78" s="488" t="str">
        <x:v>대응불가（통상패） 
【상시】이 《공격》은 -X/-X 가 된다. X는 상대 덮임패의 장수와 같다.</x:v>
      </x:c>
      <x:c r="AL78" s="440"/>
      <x:c r="AM78" s="488" t="str">
        <x:v>No Reactions (Normal)
Forced: This attack gets -X/-X. X is the number of cards in your opponent's discard pile.</x:v>
      </x:c>
      <x:c r="AN78" s="440"/>
      <x:c r="AO78" s="440"/>
      <x:c r="AP78" s="440"/>
      <x:c r="AQ78" s="440"/>
      <x:c r="AR78" s="440"/>
      <x:c r="AS78" s="440"/>
      <x:c r="AT78" s="378" t="str">
        <x:f aca="0">IF(A78="", "","'"&amp;A78&amp;"': {megami: '"&amp;B78&amp;"'"&amp;IF(C78&lt;&gt;"",", anotherID: '"&amp;C78&amp;"', replace: '"&amp;D78&amp;"'","")&amp;", name: '"&amp;SUBSTITUTE(E78,"'","\'")&amp;"', nameEn: '"&amp;SUBSTITUTE(K78,"'","\'")&amp;"', nameZh: '"&amp;SUBSTITUTE(G78,"'","\'")&amp;"', nameZhG77: '"&amp;SUBSTITUTE(H78,"'","\'")&amp;"', nameKo: '"&amp;SUBSTITUTE(J78,"'","\'")&amp;"', ruby: '"&amp;F78&amp;"', rubyEn: '"&amp;L78&amp;IF(I78&lt;&gt;"", "', rubyZh: '"&amp;I78, "")&amp;"', baseType: '"&amp;IF(M78="通常札","normal",IF(M78="切札","special",IF(M78="追加札","extra",IF(M78="transform","transform",IF(M78="嵐","storm",IF(M78="兵員","troop",IF(M78="構想","plan",IF(M78="メインパーツ","mainParts",IF(M78="カスタムパーツ","customParts",IF(M78="運命","fate",IF(M78="仮想樹","virtualTree","")))))))))))&amp;"'"&amp;IF(N78="○",", extra: true","")&amp;IF(O78&lt;&gt;"",", extraFrom: '"&amp;O78&amp;"'","")&amp;IF(P78&lt;&gt;"",", exchangableTo: '"&amp;P78&amp;"'","")&amp;IF(Q78="○",", poison: true","")&amp;IF(R78&lt;&gt;"", ", type: '"&amp;IF(R78="攻撃","attack",IF(R78="行動","action",IF(R78="不定","variable",IF(R78="対応","reaction",IF(R78="全力","fullpower",IF(R78="付与","enhance",IF(R78="transform","transform","")))))))&amp;"'", "")&amp;IF(S78&lt;&gt;"",", subType: '"&amp;IF(S78="攻撃","attack",IF(S78="行動","action",IF(S78="不定","variable",IF(S78="対応","reaction",IF(S78="全力","fullpower",IF(S78="付与","enhance",IF(S78="transform","transform","")))))))&amp;"'","")&amp;""&amp;IF(T78&lt;&gt;"",", range: '"&amp;T78&amp;"'","")&amp;IF(V78&lt;&gt;"",", damage: '"&amp;V78&amp;"'","")&amp;IF(X78&lt;&gt;"",", capacity: '"&amp;X78&amp;"'","")&amp;IF(Y78&lt;&gt;"",", growth: "&amp;Y78&amp;"","")&amp;IF(Z78&lt;&gt;"",", cost: '"&amp;Z78&amp;"'","")&amp;", text: '"&amp;SUBSTITUTE(SUBSTITUTE(AE78, CHAR(13), ""),CHAR(10),"\n")&amp;IF(AF78&lt;&gt;"", "', textAdditional: '"&amp;SUBSTITUTE(SUBSTITUTE(AF78, CHAR(13), ""),CHAR(10),"\n"), "")&amp;"', textZh: '"&amp;SUBSTITUTE(SUBSTITUTE(SUBSTITUTE(AG78, CHAR(13), ""),CHAR(10),"\n"),"'","\'")&amp;"', textZhG77: '"&amp;SUBSTITUTE(SUBSTITUTE(SUBSTITUTE(AI78, CHAR(13), ""),CHAR(10),"\n"),"'","\'")&amp;IF(AH78&lt;&gt;"", "', textZhAdditional: '"&amp;SUBSTITUTE(SUBSTITUTE(AH78, CHAR(13), ""),CHAR(10),"\n"), "")&amp;IF(AK78&lt;&gt;"", "', textZhG77Additional: '"&amp;SUBSTITUTE(SUBSTITUTE(AK78, CHAR(13), ""),CHAR(10),"\n"), "")&amp;"', textKo: '"&amp;SUBSTITUTE(SUBSTITUTE(SUBSTITUTE(AM78, CHAR(13), ""),CHAR(10),"\n"),"'","\'")&amp;IF(AM78&lt;&gt;"", "', textKoAdditional: '"&amp;SUBSTITUTE(SUBSTITUTE(AM78, CHAR(13), ""),CHAR(10),"\n"), "")&amp;"', textEn: '"&amp;SUBSTITUTE(SUBSTITUTE(SUBSTITUTE(AM78, CHAR(13), ""),CHAR(10),"\n"),"'","\'")&amp;IF(AN78&lt;&gt;"", "', textEnAdditional: '"&amp;SUBSTITUTE(SUBSTITUTE(AN78, CHAR(13), ""),CHAR(10),"\n"), "")&amp;"'"&amp;IF(AB78="○",", sealable: true","")&amp;IF(AC78="○",", removable: true","")&amp;IF(AA78="○",", lie: true","")&amp;IF(AD78="○",", investable: true","")&amp;"},")</x:f>
        <x:v>'05-oboro-A1-n-3': {megami: 'oboro', anotherID: 'A1', replace: '05-oboro-o-n-3', name: '不意打ち', nameEn: 'Sneak Attack', nameZh: '突袭', nameZhG77: '突袭', nameKo: '기습', ruby: 'ふいうち', rubyEn: '', baseType: 'normal', type: 'attack', subType: 'fullpower', range: '1-3', damage: '4/3', text: '対応不可（通常札）\n【常時】この《攻撃》は-X/-Xとなる。Xは相手の伏せ札の枚数に等しい。', textZh: '不可被对应（通常牌）\n【常时】此《攻击》得-X/-X，X等于对手盖牌区中的牌张数。', textZhG77: '不可被对应（通常牌）\n【常时】此《攻击》获得-X/-X，X等于对手盖牌区中的牌张数。', textZhG77Additional: '대응불가（통상패） \n【상시】이 《공격》은 -X/-X 가 된다. X는 상대 덮임패의 장수와 같다.', textKo: 'No Reactions (Normal)\n\nForced: This attack gets -X/-X. X is the number of cards in your opponent\'s discard pile.', textKoAdditional: 'No Reactions (Normal)\n\nForced: This attack gets -X/-X. X is the number of cards in your opponent's discard pile.', textEn: 'No Reactions (Normal)\n\nForced: This attack gets -X/-X. X is the number of cards in your opponent\'s discard pile.'},</x:v>
      </x:c>
      <x:c r="AU78" s="379" t="str">
        <x:f aca="0">IF($A78&lt;&gt;"", "    /** 《"&amp;$E78&amp;"》 */ export const "&amp;SUBSTITUTE(UPPER(IF(MID($A78, 3, 1)="-", RIGHT($A78,LEN($A78)-3), $A78)), "-", "_")&amp;": TCardId = '"&amp;$A78&amp;"';", "")</x:f>
        <x:v>    /** 《不意打ち》 */ export const OBORO_A1_N_3: TCardId = '05-oboro-A1-n-3';</x:v>
      </x:c>
      <x:c r="AV78" s="380" t="str">
        <x:f aca="0">IF($A79&lt;&gt;"", "    | '"&amp;$A79&amp;"'", "")</x:f>
        <x:v>    | '05-oboro-A1-s-4'</x:v>
      </x:c>
    </x:row>
    <x:row r="79" ht="83" hidden="0" customHeight="1">
      <x:c r="A79" s="375" t="str">
        <x:v>05-oboro-A1-s-4</x:v>
      </x:c>
      <x:c r="B79" s="375" t="str">
        <x:v>oboro</x:v>
      </x:c>
      <x:c r="C79" s="375" t="str">
        <x:v>A1</x:v>
      </x:c>
      <x:c r="D79" s="375" t="str">
        <x:v>05-oboro-o-s-4</x:v>
      </x:c>
      <x:c r="E79" s="375" t="str">
        <x:v>神代枝</x:v>
      </x:c>
      <x:c r="F79" s="375" t="str">
        <x:v>かみしろのえ</x:v>
      </x:c>
      <x:c r="G79" s="375" t="str">
        <x:v>神代枝</x:v>
      </x:c>
      <x:c r="H79" s="375" t="str">
        <x:v>神代枝</x:v>
      </x:c>
      <x:c r="I79" s="375"/>
      <x:c r="J79" s="375" t="str">
        <x:v>신대의 가지</x:v>
      </x:c>
      <x:c r="K79" s="375" t="str">
        <x:v>Twig of the Sacred Sakura</x:v>
      </x:c>
      <x:c r="L79" s="375"/>
      <x:c r="M79" s="375" t="str">
        <x:v>切札</x:v>
      </x:c>
      <x:c r="N79" s="375"/>
      <x:c r="O79" s="375"/>
      <x:c r="P79" s="375" t="str">
        <x:v>05-oboro-A1-s-4-ex1</x:v>
      </x:c>
      <x:c r="Q79" s="375"/>
      <x:c r="R79" s="375" t="str">
        <x:v>行動</x:v>
      </x:c>
      <x:c r="S79" s="375" t="str">
        <x:v>全力</x:v>
      </x:c>
      <x:c r="T79" s="375"/>
      <x:c r="U79" s="383"/>
      <x:c r="V79" s="382"/>
      <x:c r="W79" s="383"/>
      <x:c r="X79" s="382"/>
      <x:c r="Y79" s="382"/>
      <x:c r="Z79" s="382" t="n">
        <x:v>0</x:v>
      </x:c>
      <x:c r="AA79" s="382"/>
      <x:c r="AB79" s="385"/>
      <x:c r="AC79" s="385" t="str">
        <x:v>○</x:v>
      </x:c>
      <x:c r="AD79" s="386"/>
      <x:c r="AE79" s="440" t="str">
        <x:v>ゲーム外→自オーラ：1
ゲーム外→自フレア：1
このカードを取り除き、追加札から「最後の結晶」を未使用で得る。</x:v>
      </x:c>
      <x:c r="AF79" s="441"/>
      <x:c r="AG79" s="488" t="str">
        <x:v>游戏外→1→自装
游戏外→1→自气
将此牌移出游戏，从追加牌区以未使用状态获得王牌『最后的结晶』。</x:v>
      </x:c>
      <x:c r="AH79" s="442"/>
      <x:c r="AI79" s="488" t="str">
        <x:v>游戏外（1）→自装
游戏外（1）→自气
将追加牌『最后的结晶』背面朝上加入王牌，将此牌移出游戏。</x:v>
      </x:c>
      <x:c r="AJ79" s="440"/>
      <x:c r="AK79" s="488" t="str">
        <x:v>게임 밖→자신 오라：1 
게임 밖→자신 플레어：1 
이 카드를 제외하고, 비장패 「최후의 결정」을 추가패에서 미사용으로 얻는다.</x:v>
      </x:c>
      <x:c r="AL79" s="440"/>
      <x:c r="AM79" s="488" t="str">
        <x:v>Out-of-Game (1)→ Your Aura
Out-of-Game (1)→ Your Flare
Remove this card from the game. Add your set aside "The Final Petal" to your Special cards, face-down.</x:v>
      </x:c>
      <x:c r="AN79" s="440"/>
      <x:c r="AO79" s="440"/>
      <x:c r="AP79" s="440"/>
      <x:c r="AQ79" s="440"/>
      <x:c r="AR79" s="440"/>
      <x:c r="AS79" s="440"/>
      <x:c r="AT79" s="378" t="str">
        <x:f aca="0">IF(A79="", "","'"&amp;A79&amp;"': {megami: '"&amp;B79&amp;"'"&amp;IF(C79&lt;&gt;"",", anotherID: '"&amp;C79&amp;"', replace: '"&amp;D79&amp;"'","")&amp;", name: '"&amp;SUBSTITUTE(E79,"'","\'")&amp;"', nameEn: '"&amp;SUBSTITUTE(K79,"'","\'")&amp;"', nameZh: '"&amp;SUBSTITUTE(G79,"'","\'")&amp;"', nameZhG78: '"&amp;SUBSTITUTE(H79,"'","\'")&amp;"', nameKo: '"&amp;SUBSTITUTE(J79,"'","\'")&amp;"', ruby: '"&amp;F79&amp;"', rubyEn: '"&amp;L79&amp;IF(I79&lt;&gt;"", "', rubyZh: '"&amp;I79, "")&amp;"', baseType: '"&amp;IF(M79="通常札","normal",IF(M79="切札","special",IF(M79="追加札","extra",IF(M79="transform","transform",IF(M79="嵐","storm",IF(M79="兵員","troop",IF(M79="構想","plan",IF(M79="メインパーツ","mainParts",IF(M79="カスタムパーツ","customParts",IF(M79="運命","fate",IF(M79="仮想樹","virtualTree","")))))))))))&amp;"'"&amp;IF(N79="○",", extra: true","")&amp;IF(O79&lt;&gt;"",", extraFrom: '"&amp;O79&amp;"'","")&amp;IF(P79&lt;&gt;"",", exchangableTo: '"&amp;P79&amp;"'","")&amp;IF(Q79="○",", poison: true","")&amp;IF(R79&lt;&gt;"", ", type: '"&amp;IF(R79="攻撃","attack",IF(R79="行動","action",IF(R79="不定","variable",IF(R79="対応","reaction",IF(R79="全力","fullpower",IF(R79="付与","enhance",IF(R79="transform","transform","")))))))&amp;"'", "")&amp;IF(S79&lt;&gt;"",", subType: '"&amp;IF(S79="攻撃","attack",IF(S79="行動","action",IF(S79="不定","variable",IF(S79="対応","reaction",IF(S79="全力","fullpower",IF(S79="付与","enhance",IF(S79="transform","transform","")))))))&amp;"'","")&amp;""&amp;IF(T79&lt;&gt;"",", range: '"&amp;T79&amp;"'","")&amp;IF(V79&lt;&gt;"",", damage: '"&amp;V79&amp;"'","")&amp;IF(X79&lt;&gt;"",", capacity: '"&amp;X79&amp;"'","")&amp;IF(Y79&lt;&gt;"",", growth: "&amp;Y79&amp;"","")&amp;IF(Z79&lt;&gt;"",", cost: '"&amp;Z79&amp;"'","")&amp;", text: '"&amp;SUBSTITUTE(SUBSTITUTE(AE79, CHAR(13), ""),CHAR(10),"\n")&amp;IF(AF79&lt;&gt;"", "', textAdditional: '"&amp;SUBSTITUTE(SUBSTITUTE(AF79, CHAR(13), ""),CHAR(10),"\n"), "")&amp;"', textZh: '"&amp;SUBSTITUTE(SUBSTITUTE(SUBSTITUTE(AG79, CHAR(13), ""),CHAR(10),"\n"),"'","\'")&amp;"', textZhG78: '"&amp;SUBSTITUTE(SUBSTITUTE(SUBSTITUTE(AI79, CHAR(13), ""),CHAR(10),"\n"),"'","\'")&amp;IF(AH79&lt;&gt;"", "', textZhAdditional: '"&amp;SUBSTITUTE(SUBSTITUTE(AH79, CHAR(13), ""),CHAR(10),"\n"), "")&amp;IF(AK79&lt;&gt;"", "', textZhG78Additional: '"&amp;SUBSTITUTE(SUBSTITUTE(AK79, CHAR(13), ""),CHAR(10),"\n"), "")&amp;"', textKo: '"&amp;SUBSTITUTE(SUBSTITUTE(SUBSTITUTE(AM79, CHAR(13), ""),CHAR(10),"\n"),"'","\'")&amp;IF(AM79&lt;&gt;"", "', textKoAdditional: '"&amp;SUBSTITUTE(SUBSTITUTE(AM79, CHAR(13), ""),CHAR(10),"\n"), "")&amp;"', textEn: '"&amp;SUBSTITUTE(SUBSTITUTE(SUBSTITUTE(AM79, CHAR(13), ""),CHAR(10),"\n"),"'","\'")&amp;IF(AN79&lt;&gt;"", "', textEnAdditional: '"&amp;SUBSTITUTE(SUBSTITUTE(AN79, CHAR(13), ""),CHAR(10),"\n"), "")&amp;"'"&amp;IF(AB79="○",", sealable: true","")&amp;IF(AC79="○",", removable: true","")&amp;IF(AA79="○",", lie: true","")&amp;IF(AD79="○",", investable: true","")&amp;"},")</x:f>
        <x:v>'05-oboro-A1-s-4': {megami: 'oboro', anotherID: 'A1', replace: '05-oboro-o-s-4', name: '神代枝', nameEn: 'Twig of the Sacred Sakura', nameZh: '神代枝', nameZhG78: '神代枝', nameKo: '신대의 가지', ruby: 'かみしろのえ', rubyEn: '', baseType: 'special', exchangableTo: '05-oboro-A1-s-4-ex1', type: 'action', subType: 'fullpower', text: 'ゲーム外→自オーラ：1\nゲーム外→自フレア：1\nこのカードを取り除き、追加札から「最後の結晶」を未使用で得る。', textZh: '游戏外→1→自装\n游戏外→1→自气\n将此牌移出游戏，从追加牌区以未使用状态获得王牌『最后的结晶』。', textZhG78: '游戏外（1）→自装\n游戏外（1）→自气\n将追加牌『最后的结晶』背面朝上加入王牌，将此牌移出游戏。', textZhG78Additional: '게임 밖→자신 오라：1 \n게임 밖→자신 플레어：1 \n이 카드를 제외하고, 비장패 「최후의 결정」을 추가패에서 미사용으로 얻는다.', textKo: 'Out-of-Game (1)→ Your Aura\nOut-of-Game (1)→ Your Flare\n\nRemove this card from the game. Add your set aside "The Final Petal" to your Special cards, face-down.', textKoAdditional: 'Out-of-Game (1)→ Your Aura\nOut-of-Game (1)→ Your Flare\n\nRemove this card from the game. Add your set aside "The Final Petal" to your Special cards, face-down.', textEn: 'Out-of-Game (1)→ Your Aura\nOut-of-Game (1)→ Your Flare\n\nRemove this card from the game. Add your set aside "The Final Petal" to your Special cards, face-down.', removable: true},</x:v>
      </x:c>
      <x:c r="AU79" s="379" t="str">
        <x:f aca="0">IF($A79&lt;&gt;"", "    /** 《"&amp;$E79&amp;"》 */ export const "&amp;SUBSTITUTE(UPPER(IF(MID($A79, 3, 1)="-", RIGHT($A79,LEN($A79)-3), $A79)), "-", "_")&amp;": TCardId = '"&amp;$A79&amp;"';", "")</x:f>
        <x:v>    /** 《神代枝》 */ export const OBORO_A1_S_4: TCardId = '05-oboro-A1-s-4';</x:v>
      </x:c>
      <x:c r="AV79" s="380" t="str">
        <x:f aca="0">IF($A80&lt;&gt;"", "    | '"&amp;$A80&amp;"'", "")</x:f>
        <x:v>    | '05-oboro-A1-s-4-ex1'</x:v>
      </x:c>
    </x:row>
    <x:row r="80" ht="128" hidden="0" customHeight="1">
      <x:c r="A80" s="375" t="str">
        <x:v>05-oboro-A1-s-4-ex1</x:v>
      </x:c>
      <x:c r="B80" s="375" t="str">
        <x:v>oboro</x:v>
      </x:c>
      <x:c r="C80" s="375" t="str">
        <x:v>A1</x:v>
      </x:c>
      <x:c r="D80" s="375"/>
      <x:c r="E80" s="375" t="str">
        <x:v>最後の結晶</x:v>
      </x:c>
      <x:c r="F80" s="375" t="str">
        <x:v>さいごのけっしょう</x:v>
      </x:c>
      <x:c r="G80" s="375" t="str">
        <x:v>最后的结晶</x:v>
      </x:c>
      <x:c r="H80" s="375" t="str">
        <x:v>最后的结晶</x:v>
      </x:c>
      <x:c r="I80" s="375"/>
      <x:c r="J80" s="375" t="str">
        <x:v>최후의 결정</x:v>
      </x:c>
      <x:c r="K80" s="375" t="str">
        <x:v>The Final Petal</x:v>
      </x:c>
      <x:c r="L80" s="375"/>
      <x:c r="M80" s="375" t="str">
        <x:v>切札</x:v>
      </x:c>
      <x:c r="N80" s="375" t="str">
        <x:v>○</x:v>
      </x:c>
      <x:c r="O80" s="375" t="str">
        <x:v>05-oboro-A1-s-4</x:v>
      </x:c>
      <x:c r="P80" s="375"/>
      <x:c r="Q80" s="375"/>
      <x:c r="R80" s="375" t="str">
        <x:v>行動</x:v>
      </x:c>
      <x:c r="S80" s="375"/>
      <x:c r="T80" s="375"/>
      <x:c r="U80" s="383"/>
      <x:c r="V80" s="382"/>
      <x:c r="W80" s="383"/>
      <x:c r="X80" s="382"/>
      <x:c r="Y80" s="382"/>
      <x:c r="Z80" s="382" t="n">
        <x:v>3</x:v>
      </x:c>
      <x:c r="AA80" s="382"/>
      <x:c r="AB80" s="385"/>
      <x:c r="AC80" s="385"/>
      <x:c r="AD80" s="386"/>
      <x:c r="AE80" s="440" t="str">
        <x:v>【常時】このカードはこの効果でのみ使用できる。あなたが初めて敗北するならば、代わりにあなたのライフ全てをダストに送り、このカードを使用してもよい（消費は支払う)。
手札を1枚伏せ札にし、ダスト→自ライフ：1</x:v>
      </x:c>
      <x:c r="AF80" s="441"/>
      <x:c r="AG80" s="488" t="str">
        <x:v>【常时】这张牌不能以正常方法使用。仅当你第一次将要输掉本局游戏时，作为失败的代替，可以改为将自命全部移至虚并使用此牌（仍需支付费用）。
盖伏一张手牌，然后：虚→1→自命</x:v>
      </x:c>
      <x:c r="AH80" s="442"/>
      <x:c r="AI80" s="488" t="str">
        <x:v>【常时】这张牌不能以正常方法使用。仅当你第一次将要输掉本局游戏时，作为失败的代替，可以将自命中的所有樱花结晶移至虚，并立即使用此牌（仍需支付费用）。
盖伏1张手牌，虚（1）→自命</x:v>
      </x:c>
      <x:c r="AJ80" s="440"/>
      <x:c r="AK80" s="488" t="str">
        <x:v>【상시】이 카드는 이 효과로만 사용할 수 있다. 당신이 최초로 패배했다면, 대신에 당신의 모든 라이프를 더스트로 옮기고 이 카드를 사용해도 좋다(코스트는 지불한다).
손패를 1장 덮임패로 하고,
더스트→자신 라이프：1</x:v>
      </x:c>
      <x:c r="AL80" s="440"/>
      <x:c r="AM80" s="488" t="str">
        <x:v>Forced: This card cannot be played except by this effect. When you would lose the game for the first time, instead you may move all Sakura tokens from your Life to Shadow and play this card (paying its cost).
Discard a card.
Shadow (1)→ Your Life</x:v>
      </x:c>
      <x:c r="AN80" s="440"/>
      <x:c r="AO80" s="440"/>
      <x:c r="AP80" s="440"/>
      <x:c r="AQ80" s="440"/>
      <x:c r="AR80" s="440"/>
      <x:c r="AS80" s="440"/>
      <x:c r="AT80" s="378" t="str">
        <x:f aca="0">IF(A80="", "","'"&amp;A80&amp;"': {megami: '"&amp;B80&amp;"'"&amp;IF(C80&lt;&gt;"",", anotherID: '"&amp;C80&amp;"', replace: '"&amp;D80&amp;"'","")&amp;", name: '"&amp;SUBSTITUTE(E80,"'","\'")&amp;"', nameEn: '"&amp;SUBSTITUTE(K80,"'","\'")&amp;"', nameZh: '"&amp;SUBSTITUTE(G80,"'","\'")&amp;"', nameZhG79: '"&amp;SUBSTITUTE(H80,"'","\'")&amp;"', nameKo: '"&amp;SUBSTITUTE(J80,"'","\'")&amp;"', ruby: '"&amp;F80&amp;"', rubyEn: '"&amp;L80&amp;IF(I80&lt;&gt;"", "', rubyZh: '"&amp;I80, "")&amp;"', baseType: '"&amp;IF(M80="通常札","normal",IF(M80="切札","special",IF(M80="追加札","extra",IF(M80="transform","transform",IF(M80="嵐","storm",IF(M80="兵員","troop",IF(M80="構想","plan",IF(M80="メインパーツ","mainParts",IF(M80="カスタムパーツ","customParts",IF(M80="運命","fate",IF(M80="仮想樹","virtualTree","")))))))))))&amp;"'"&amp;IF(N80="○",", extra: true","")&amp;IF(O80&lt;&gt;"",", extraFrom: '"&amp;O80&amp;"'","")&amp;IF(P80&lt;&gt;"",", exchangableTo: '"&amp;P80&amp;"'","")&amp;IF(Q80="○",", poison: true","")&amp;IF(R80&lt;&gt;"", ", type: '"&amp;IF(R80="攻撃","attack",IF(R80="行動","action",IF(R80="不定","variable",IF(R80="対応","reaction",IF(R80="全力","fullpower",IF(R80="付与","enhance",IF(R80="transform","transform","")))))))&amp;"'", "")&amp;IF(S80&lt;&gt;"",", subType: '"&amp;IF(S80="攻撃","attack",IF(S80="行動","action",IF(S80="不定","variable",IF(S80="対応","reaction",IF(S80="全力","fullpower",IF(S80="付与","enhance",IF(S80="transform","transform","")))))))&amp;"'","")&amp;""&amp;IF(T80&lt;&gt;"",", range: '"&amp;T80&amp;"'","")&amp;IF(V80&lt;&gt;"",", damage: '"&amp;V80&amp;"'","")&amp;IF(X80&lt;&gt;"",", capacity: '"&amp;X80&amp;"'","")&amp;IF(Y80&lt;&gt;"",", growth: "&amp;Y80&amp;"","")&amp;IF(Z80&lt;&gt;"",", cost: '"&amp;Z80&amp;"'","")&amp;", text: '"&amp;SUBSTITUTE(SUBSTITUTE(AE80, CHAR(13), ""),CHAR(10),"\n")&amp;IF(AF80&lt;&gt;"", "', textAdditional: '"&amp;SUBSTITUTE(SUBSTITUTE(AF80, CHAR(13), ""),CHAR(10),"\n"), "")&amp;"', textZh: '"&amp;SUBSTITUTE(SUBSTITUTE(SUBSTITUTE(AG80, CHAR(13), ""),CHAR(10),"\n"),"'","\'")&amp;"', textZhG79: '"&amp;SUBSTITUTE(SUBSTITUTE(SUBSTITUTE(AI80, CHAR(13), ""),CHAR(10),"\n"),"'","\'")&amp;IF(AH80&lt;&gt;"", "', textZhAdditional: '"&amp;SUBSTITUTE(SUBSTITUTE(AH80, CHAR(13), ""),CHAR(10),"\n"), "")&amp;IF(AK80&lt;&gt;"", "', textZhG79Additional: '"&amp;SUBSTITUTE(SUBSTITUTE(AK80, CHAR(13), ""),CHAR(10),"\n"), "")&amp;"', textKo: '"&amp;SUBSTITUTE(SUBSTITUTE(SUBSTITUTE(AM80, CHAR(13), ""),CHAR(10),"\n"),"'","\'")&amp;IF(AM80&lt;&gt;"", "', textKoAdditional: '"&amp;SUBSTITUTE(SUBSTITUTE(AM80, CHAR(13), ""),CHAR(10),"\n"), "")&amp;"', textEn: '"&amp;SUBSTITUTE(SUBSTITUTE(SUBSTITUTE(AM80, CHAR(13), ""),CHAR(10),"\n"),"'","\'")&amp;IF(AN80&lt;&gt;"", "', textEnAdditional: '"&amp;SUBSTITUTE(SUBSTITUTE(AN80, CHAR(13), ""),CHAR(10),"\n"), "")&amp;"'"&amp;IF(AB80="○",", sealable: true","")&amp;IF(AC80="○",", removable: true","")&amp;IF(AA80="○",", lie: true","")&amp;IF(AD80="○",", investable: true","")&amp;"},")</x:f>
        <x:v>'05-oboro-A1-s-4-ex1': {megami: 'oboro', anotherID: 'A1', replace: '', name: '最後の結晶', nameEn: 'The Final Petal', nameZh: '最后的结晶', nameZhG79: '最后的结晶', nameKo: '최후의 결정', ruby: 'さいごのけっしょう', rubyEn: '', baseType: 'special', extra: true, extraFrom: '05-oboro-A1-s-4', type: 'action', cost: '3', text: '【常時】このカードはこの効果でのみ使用できる。あなたが初めて敗北するならば、代わりにあなたのライフ全てをダストに送り、このカードを使用してもよい（消費は支払う)。\n手札を1枚伏せ札にし、ダスト→自ライフ：1', textZh: '【常时】这张牌不能以正常方法使用。仅当你第一次将要输掉本局游戏时，作为失败的代替，可以改为将自命全部移至虚并使用此牌（仍需支付费用）。\n盖伏一张手牌，然后：虚→1→自命', textZhG79: '【常时】这张牌不能以正常方法使用。仅当你第一次将要输掉本局游戏时，作为失败的代替，可以将自命中的所有樱花结晶移至虚，并立即使用此牌（仍需支付费用）。\n盖伏1张手牌，虚（1）→自命', textZhG79Additional: '【상시】이 카드는 이 효과로만 사용할 수 있다. 당신이 최초로 패배했다면, 대신에 당신의 모든 라이프를 더스트로 옮기고 이 카드를 사용해도 좋다(코스트는 지불한다).\n손패를 1장 덮임패로 하고,\n더스트→자신 라이프：1', textKo: 'Forced: This card cannot be played except by this effect. When you would lose the game for the first time, instead you may move all Sakura tokens from your Life to Shadow and play this card (paying its cost).\n\nDiscard a card.\n\nShadow (1)→ Your Life', textKoAdditional: 'Forced: This card cannot be played except by this effect. When you would lose the game for the first time, instead you may move all Sakura tokens from your Life to Shadow and play this card (paying its cost).\n\nDiscard a card.\n\nShadow (1)→ Your Life', textEn: 'Forced: This card cannot be played except by this effect. When you would lose the game for the first time, instead you may move all Sakura tokens from your Life to Shadow and play this card (paying its cost).\n\nDiscard a card.\n\nShadow (1)→ Your Life'},</x:v>
      </x:c>
      <x:c r="AU80" s="379" t="str">
        <x:f aca="0">IF($A80&lt;&gt;"", "    /** 《"&amp;$E80&amp;"》 */ export const "&amp;SUBSTITUTE(UPPER(IF(MID($A80, 3, 1)="-", RIGHT($A80,LEN($A80)-3), $A80)), "-", "_")&amp;": TCardId = '"&amp;$A80&amp;"';", "")</x:f>
        <x:v>    /** 《最後の結晶》 */ export const OBORO_A1_S_4_EX1: TCardId = '05-oboro-A1-s-4-ex1';</x:v>
      </x:c>
      <x:c r="AV80" s="387" t="str">
        <x:f>IF($A81&lt;&gt;"", "    | '"&amp;$A81&amp;"'", "")</x:f>
        <x:v>    | '05-oboro-A2-n-1'</x:v>
      </x:c>
      <x:c r="AW80" s="387"/>
      <x:c r="AX80" s="387"/>
      <x:c r="AY80" s="387"/>
      <x:c r="AZ80" s="387"/>
      <x:c r="BA80" s="387"/>
      <x:c r="BB80" s="387"/>
      <x:c r="BC80" s="387"/>
      <x:c r="BD80" s="387"/>
      <x:c r="BE80" s="387"/>
      <x:c r="BF80" s="387"/>
      <x:c r="BG80" s="387"/>
      <x:c r="BH80" s="387"/>
      <x:c r="BI80" s="387"/>
      <x:c r="BJ80" s="387"/>
      <x:c r="BK80" s="387"/>
      <x:c r="BL80" s="387"/>
      <x:c r="BM80" s="387"/>
      <x:c r="BN80" s="387"/>
      <x:c r="BO80" s="387"/>
      <x:c r="BP80" s="387"/>
      <x:c r="BQ80" s="387"/>
      <x:c r="BR80" s="387"/>
      <x:c r="BS80" s="387"/>
      <x:c r="BT80" s="387"/>
      <x:c r="BU80" s="387"/>
    </x:row>
    <x:row r="81" ht="53" hidden="0" customHeight="1">
      <x:c r="A81" s="375" t="str">
        <x:v>05-oboro-A2-n-1</x:v>
      </x:c>
      <x:c r="B81" s="375" t="str">
        <x:v>oboro</x:v>
      </x:c>
      <x:c r="C81" s="375" t="str">
        <x:v>A2</x:v>
      </x:c>
      <x:c r="D81" s="375" t="str">
        <x:v>05-oboro-o-n-1</x:v>
      </x:c>
      <x:c r="E81" s="375" t="str">
        <x:v>ホロ苦無</x:v>
      </x:c>
      <x:c r="F81" s="375" t="str">
        <x:v>ほろくない</x:v>
      </x:c>
      <x:c r="G81" s="375" t="str">
        <x:v>全息苦无</x:v>
      </x:c>
      <x:c r="H81" s="375"/>
      <x:c r="I81" s="375"/>
      <x:c r="J81" s="375" t="str">
        <x:v>홀로 쿠나이</x:v>
      </x:c>
      <x:c r="K81" s="375"/>
      <x:c r="L81" s="375"/>
      <x:c r="M81" s="375" t="str">
        <x:v>通常札</x:v>
      </x:c>
      <x:c r="N81" s="375"/>
      <x:c r="O81" s="375"/>
      <x:c r="P81" s="375"/>
      <x:c r="Q81" s="375"/>
      <x:c r="R81" s="375" t="str">
        <x:v>攻撃</x:v>
      </x:c>
      <x:c r="S81" s="375"/>
      <x:c r="T81" s="375" t="str">
        <x:v>1,3,5</x:v>
      </x:c>
      <x:c r="U81" s="383"/>
      <x:c r="V81" s="382" t="str">
        <x:v>1/1</x:v>
      </x:c>
      <x:c r="W81" s="383"/>
      <x:c r="X81" s="382"/>
      <x:c r="Y81" s="382"/>
      <x:c r="Z81" s="382"/>
      <x:c r="AA81" s="382"/>
      <x:c r="AB81" s="385"/>
      <x:c r="AC81" s="385"/>
      <x:c r="AD81" s="386"/>
      <x:c r="AE81" s="440" t="str">
        <x:v>設置
【攻撃後】パーツを1つ組み立てる。
【常時】使用されたこのカードが捨て札になるならば、代わりに伏せ札にしてもよい。</x:v>
      </x:c>
      <x:c r="AF81" s="441"/>
      <x:c r="AG81" s="487" t="str">
        <x:v>设置
【攻击后】组装1个部件。
【常时】被使用的此牌弃置时，可以改为盖伏。</x:v>
      </x:c>
      <x:c r="AH81" s="441"/>
      <x:c r="AI81" s="441"/>
      <x:c r="AJ81" s="441"/>
      <x:c r="AK81" s="487" t="str">
        <x:v>설치
【공격후】파츠를 1개 조립한다
【상시】사용된 이 카드가 버림패로 보내진다면, 대신 덮음패로 보내도 된다.</x:v>
      </x:c>
      <x:c r="AL81" s="441"/>
      <x:c r="AM81" s="441"/>
      <x:c r="AN81" s="441"/>
      <x:c r="AO81" s="441"/>
      <x:c r="AP81" s="441"/>
      <x:c r="AQ81" s="441"/>
      <x:c r="AR81" s="441"/>
      <x:c r="AS81" s="441"/>
      <x:c r="AT81" s="387" t="str">
        <x:f>IF(A81="", "","'"&amp;A81&amp;"': {megami: '"&amp;B81&amp;"'"&amp;IF(C81&lt;&gt;"",", anotherID: '"&amp;C81&amp;"', replace: '"&amp;D81&amp;"'","")&amp;", name: '"&amp;SUBSTITUTE(E81,"'","\'")&amp;"', nameEn: '"&amp;SUBSTITUTE(K81,"'","\'")&amp;"', nameZh: '"&amp;SUBSTITUTE(G81,"'","\'")&amp;"', nameZhG80: '"&amp;SUBSTITUTE(H81,"'","\'")&amp;"', nameKo: '"&amp;SUBSTITUTE(J81,"'","\'")&amp;"', ruby: '"&amp;F81&amp;"', rubyEn: '"&amp;L81&amp;IF(I81&lt;&gt;"", "', rubyZh: '"&amp;I81, "")&amp;"', baseType: '"&amp;IF(M81="通常札","normal",IF(M81="切札","special",IF(M81="追加札","extra",IF(M81="transform","transform",IF(M81="嵐","storm",IF(M81="兵員","troop",IF(M81="構想","plan",IF(M81="メインパーツ","mainParts",IF(M81="カスタムパーツ","customParts",IF(M81="運命","fate",IF(M81="仮想樹","virtualTree","")))))))))))&amp;"'"&amp;IF(N81="○",", extra: true","")&amp;IF(O81&lt;&gt;"",", extraFrom: '"&amp;O81&amp;"'","")&amp;IF(P81&lt;&gt;"",", exchangableTo: '"&amp;P81&amp;"'","")&amp;IF(Q81="○",", poison: true","")&amp;IF(R81&lt;&gt;"", ", type: '"&amp;IF(R81="攻撃","attack",IF(R81="行動","action",IF(R81="不定","variable",IF(R81="対応","reaction",IF(R81="全力","fullpower",IF(R81="付与","enhance",IF(R81="transform","transform","")))))))&amp;"'", "")&amp;IF(S81&lt;&gt;"",", subType: '"&amp;IF(S81="攻撃","attack",IF(S81="行動","action",IF(S81="不定","variable",IF(S81="対応","reaction",IF(S81="全力","fullpower",IF(S81="付与","enhance",IF(S81="transform","transform","")))))))&amp;"'","")&amp;""&amp;IF(T81&lt;&gt;"",", range: '"&amp;T81&amp;"'","")&amp;IF(V81&lt;&gt;"",", damage: '"&amp;V81&amp;"'","")&amp;IF(X81&lt;&gt;"",", capacity: '"&amp;X81&amp;"'","")&amp;IF(Y81&lt;&gt;"",", growth: "&amp;Y81&amp;"","")&amp;IF(Z81&lt;&gt;"",", cost: '"&amp;Z81&amp;"'","")&amp;", text: '"&amp;SUBSTITUTE(SUBSTITUTE(AE81, CHAR(13), ""),CHAR(10),"\n")&amp;IF(AF81&lt;&gt;"", "', textAdditional: '"&amp;SUBSTITUTE(SUBSTITUTE(AF81, CHAR(13), ""),CHAR(10),"\n"), "")&amp;"', textZh: '"&amp;SUBSTITUTE(SUBSTITUTE(SUBSTITUTE(AG81, CHAR(13), ""),CHAR(10),"\n"),"'","\'")&amp;"', textZhG80: '"&amp;SUBSTITUTE(SUBSTITUTE(SUBSTITUTE(AI81, CHAR(13), ""),CHAR(10),"\n"),"'","\'")&amp;IF(AH81&lt;&gt;"", "', textZhAdditional: '"&amp;SUBSTITUTE(SUBSTITUTE(AH81, CHAR(13), ""),CHAR(10),"\n"), "")&amp;IF(AK81&lt;&gt;"", "', textZhG80Additional: '"&amp;SUBSTITUTE(SUBSTITUTE(AK81, CHAR(13), ""),CHAR(10),"\n"), "")&amp;"', textKo: '"&amp;SUBSTITUTE(SUBSTITUTE(SUBSTITUTE(AM81, CHAR(13), ""),CHAR(10),"\n"),"'","\'")&amp;IF(AM81&lt;&gt;"", "', textKoAdditional: '"&amp;SUBSTITUTE(SUBSTITUTE(AM81, CHAR(13), ""),CHAR(10),"\n"), "")&amp;"', textEn: '"&amp;SUBSTITUTE(SUBSTITUTE(SUBSTITUTE(AM81, CHAR(13), ""),CHAR(10),"\n"),"'","\'")&amp;IF(AN81&lt;&gt;"", "', textEnAdditional: '"&amp;SUBSTITUTE(SUBSTITUTE(AN81, CHAR(13), ""),CHAR(10),"\n"), "")&amp;"'"&amp;IF(AB81="○",", sealable: true","")&amp;IF(AC81="○",", removable: true","")&amp;IF(AA81="○",", lie: true","")&amp;IF(AD81="○",", investable: true","")&amp;"},")</x:f>
        <x:v>'05-oboro-A2-n-1': {megami: 'oboro', anotherID: 'A2', replace: '05-oboro-o-n-1', name: 'ホロ苦無', nameEn: '', nameZh: '全息苦无', nameZhG80: '', nameKo: '홀로 쿠나이', ruby: 'ほろくない', rubyEn: '', baseType: 'normal', type: 'attack', range: '1,3,5', damage: '1/1', text: '設置\n【攻撃後】パーツを1つ組み立てる。\n【常時】使用されたこのカードが捨て札になるならば、代わりに伏せ札にしてもよい。', textZh: '设置\n【攻击后】组装1个部件。\n【常时】被使用的此牌弃置时，可以改为盖伏。', textZhG80: '', textZhG80Additional: '설치\n【공격후】파츠를 1개 조립한다\n【상시】사용된 이 카드가 버림패로 보내진다면, 대신 덮음패로 보내도 된다.', textKo: '', textEn: ''},</x:v>
      </x:c>
      <x:c r="AU81" s="387" t="str">
        <x:f>IF($A81&lt;&gt;"", "    /** 《"&amp;$E81&amp;"》 */ export const "&amp;SUBSTITUTE(UPPER(IF(MID($A81, 3, 1)="-", RIGHT($A81,LEN($A81)-3), $A81)), "-", "_")&amp;": TCardId = '"&amp;$A81&amp;"';", "")</x:f>
        <x:v>    /** 《ホロ苦無》 */ export const OBORO_A2_N_1: TCardId = '05-oboro-A2-n-1';</x:v>
      </x:c>
      <x:c r="AV81" s="387" t="str">
        <x:f>IF($A82&lt;&gt;"", "    | '"&amp;$A82&amp;"'", "")</x:f>
        <x:v>    | '05-oboro-A2-s-1'</x:v>
      </x:c>
      <x:c r="AW81" s="387"/>
      <x:c r="AX81" s="387"/>
      <x:c r="AY81" s="387"/>
      <x:c r="AZ81" s="387"/>
      <x:c r="BA81" s="387"/>
      <x:c r="BB81" s="387"/>
      <x:c r="BC81" s="387"/>
      <x:c r="BD81" s="387"/>
      <x:c r="BE81" s="387"/>
      <x:c r="BF81" s="387"/>
      <x:c r="BG81" s="387"/>
      <x:c r="BH81" s="387"/>
      <x:c r="BI81" s="387"/>
      <x:c r="BJ81" s="387"/>
      <x:c r="BK81" s="387"/>
      <x:c r="BL81" s="387"/>
      <x:c r="BM81" s="387"/>
      <x:c r="BN81" s="387"/>
      <x:c r="BO81" s="387"/>
      <x:c r="BP81" s="387"/>
      <x:c r="BQ81" s="387"/>
      <x:c r="BR81" s="387"/>
      <x:c r="BS81" s="387"/>
      <x:c r="BT81" s="387"/>
      <x:c r="BU81" s="387"/>
    </x:row>
    <x:row r="82" ht="53" hidden="0" customHeight="1">
      <x:c r="A82" s="375" t="str">
        <x:v>05-oboro-A2-s-1</x:v>
      </x:c>
      <x:c r="B82" s="375" t="str">
        <x:v>oboro</x:v>
      </x:c>
      <x:c r="C82" s="375" t="str">
        <x:v>A2</x:v>
      </x:c>
      <x:c r="D82" s="375" t="str">
        <x:v>05-oboro-o-s-1</x:v>
      </x:c>
      <x:c r="E82" s="375" t="str">
        <x:v>ギガ介</x:v>
      </x:c>
      <x:c r="F82" s="375" t="str">
        <x:v>ギガすけ</x:v>
      </x:c>
      <x:c r="G82" s="375" t="str">
        <x:v>千兆介 </x:v>
      </x:c>
      <x:c r="H82" s="375"/>
      <x:c r="I82" s="375"/>
      <x:c r="J82" s="375" t="str">
        <x:v>기가스케</x:v>
      </x:c>
      <x:c r="K82" s="375"/>
      <x:c r="L82" s="375"/>
      <x:c r="M82" s="375" t="str">
        <x:v>切札</x:v>
      </x:c>
      <x:c r="N82" s="375"/>
      <x:c r="O82" s="375"/>
      <x:c r="P82" s="375"/>
      <x:c r="Q82" s="375"/>
      <x:c r="R82" s="375" t="str">
        <x:v>攻撃</x:v>
      </x:c>
      <x:c r="S82" s="375"/>
      <x:c r="T82" s="375" t="str">
        <x:v>3-4</x:v>
      </x:c>
      <x:c r="U82" s="383"/>
      <x:c r="V82" s="382" t="str">
        <x:v>2/2</x:v>
      </x:c>
      <x:c r="W82" s="383"/>
      <x:c r="X82" s="382"/>
      <x:c r="Y82" s="382"/>
      <x:c r="Z82" s="382" t="n">
        <x:v>16</x:v>
      </x:c>
      <x:c r="AA82" s="382"/>
      <x:c r="AB82" s="385"/>
      <x:c r="AC82" s="385"/>
      <x:c r="AD82" s="386"/>
      <x:c r="AE82" s="440" t="str">
        <x:v>対応不可
【常時】このカードの消費はあなたの伏せ札の枚数と組み立てられたパーツの数の合計だけ少なくなる。
【攻撃後】攻撃『適正距離 3-4, 2/2』を2回行う。</x:v>
      </x:c>
      <x:c r="AF82" s="441"/>
      <x:c r="AG82" s="487" t="str">
        <x:v>【常时】此牌的消费会减少你的盖牌和组装的部件数的和。
【攻击后】进行3次“攻击距离3-4 伤害2/1”的攻击。</x:v>
      </x:c>
      <x:c r="AH82" s="441"/>
      <x:c r="AI82" s="441"/>
      <x:c r="AJ82" s="441"/>
      <x:c r="AK82" s="487" t="str">
        <x:v>【상시】이 카드의 소비값은 당신의 덮은패 숫자와 조립한 파츠의 숫자의 합계만큼 감소한다.
【공격후】 공격 『적정거리 3-4, 2/1』을 3번 수행한다.</x:v>
      </x:c>
      <x:c r="AL82" s="441"/>
      <x:c r="AM82" s="441"/>
      <x:c r="AN82" s="441"/>
      <x:c r="AO82" s="441"/>
      <x:c r="AP82" s="441"/>
      <x:c r="AQ82" s="441"/>
      <x:c r="AR82" s="441"/>
      <x:c r="AS82" s="441"/>
      <x:c r="AT82" s="387" t="str">
        <x:f>IF(A82="", "","'"&amp;A82&amp;"': {megami: '"&amp;B82&amp;"'"&amp;IF(C82&lt;&gt;"",", anotherID: '"&amp;C82&amp;"', replace: '"&amp;D82&amp;"'","")&amp;", name: '"&amp;SUBSTITUTE(E82,"'","\'")&amp;"', nameEn: '"&amp;SUBSTITUTE(K82,"'","\'")&amp;"', nameZh: '"&amp;SUBSTITUTE(G82,"'","\'")&amp;"', nameZhG81: '"&amp;SUBSTITUTE(H82,"'","\'")&amp;"', nameKo: '"&amp;SUBSTITUTE(J82,"'","\'")&amp;"', ruby: '"&amp;F82&amp;"', rubyEn: '"&amp;L82&amp;IF(I82&lt;&gt;"", "', rubyZh: '"&amp;I82, "")&amp;"', baseType: '"&amp;IF(M82="通常札","normal",IF(M82="切札","special",IF(M82="追加札","extra",IF(M82="transform","transform",IF(M82="嵐","storm",IF(M82="兵員","troop",IF(M82="構想","plan",IF(M82="メインパーツ","mainParts",IF(M82="カスタムパーツ","customParts",IF(M82="運命","fate",IF(M82="仮想樹","virtualTree","")))))))))))&amp;"'"&amp;IF(N82="○",", extra: true","")&amp;IF(O82&lt;&gt;"",", extraFrom: '"&amp;O82&amp;"'","")&amp;IF(P82&lt;&gt;"",", exchangableTo: '"&amp;P82&amp;"'","")&amp;IF(Q82="○",", poison: true","")&amp;IF(R82&lt;&gt;"", ", type: '"&amp;IF(R82="攻撃","attack",IF(R82="行動","action",IF(R82="不定","variable",IF(R82="対応","reaction",IF(R82="全力","fullpower",IF(R82="付与","enhance",IF(R82="transform","transform","")))))))&amp;"'", "")&amp;IF(S82&lt;&gt;"",", subType: '"&amp;IF(S82="攻撃","attack",IF(S82="行動","action",IF(S82="不定","variable",IF(S82="対応","reaction",IF(S82="全力","fullpower",IF(S82="付与","enhance",IF(S82="transform","transform","")))))))&amp;"'","")&amp;""&amp;IF(T82&lt;&gt;"",", range: '"&amp;T82&amp;"'","")&amp;IF(V82&lt;&gt;"",", damage: '"&amp;V82&amp;"'","")&amp;IF(X82&lt;&gt;"",", capacity: '"&amp;X82&amp;"'","")&amp;IF(Y82&lt;&gt;"",", growth: "&amp;Y82&amp;"","")&amp;IF(Z82&lt;&gt;"",", cost: '"&amp;Z82&amp;"'","")&amp;", text: '"&amp;SUBSTITUTE(SUBSTITUTE(AE82, CHAR(13), ""),CHAR(10),"\n")&amp;IF(AF82&lt;&gt;"", "', textAdditional: '"&amp;SUBSTITUTE(SUBSTITUTE(AF82, CHAR(13), ""),CHAR(10),"\n"), "")&amp;"', textZh: '"&amp;SUBSTITUTE(SUBSTITUTE(SUBSTITUTE(AG82, CHAR(13), ""),CHAR(10),"\n"),"'","\'")&amp;"', textZhG81: '"&amp;SUBSTITUTE(SUBSTITUTE(SUBSTITUTE(AI82, CHAR(13), ""),CHAR(10),"\n"),"'","\'")&amp;IF(AH82&lt;&gt;"", "', textZhAdditional: '"&amp;SUBSTITUTE(SUBSTITUTE(AH82, CHAR(13), ""),CHAR(10),"\n"), "")&amp;IF(AK82&lt;&gt;"", "', textZhG81Additional: '"&amp;SUBSTITUTE(SUBSTITUTE(AK82, CHAR(13), ""),CHAR(10),"\n"), "")&amp;"', textKo: '"&amp;SUBSTITUTE(SUBSTITUTE(SUBSTITUTE(AM82, CHAR(13), ""),CHAR(10),"\n"),"'","\'")&amp;IF(AM82&lt;&gt;"", "', textKoAdditional: '"&amp;SUBSTITUTE(SUBSTITUTE(AM82, CHAR(13), ""),CHAR(10),"\n"), "")&amp;"', textEn: '"&amp;SUBSTITUTE(SUBSTITUTE(SUBSTITUTE(AM82, CHAR(13), ""),CHAR(10),"\n"),"'","\'")&amp;IF(AN82&lt;&gt;"", "', textEnAdditional: '"&amp;SUBSTITUTE(SUBSTITUTE(AN82, CHAR(13), ""),CHAR(10),"\n"), "")&amp;"'"&amp;IF(AB82="○",", sealable: true","")&amp;IF(AC82="○",", removable: true","")&amp;IF(AA82="○",", lie: true","")&amp;IF(AD82="○",", investable: true","")&amp;"},")</x:f>
        <x:v>'05-oboro-A2-s-1': {megami: 'oboro', anotherID: 'A2', replace: '05-oboro-o-s-1', name: 'ギガ介', nameEn: '', nameZh: '千兆介 ', nameZhG81: '', nameKo: '기가스케', ruby: 'ギガすけ', rubyEn: '', baseType: 'special', type: 'attack', range: '3-4', damage: '2/2', cost: '16', text: '対応不可\n【常時】このカードの消費はあなたの伏せ札の枚数と組み立てられたパーツの数の合計だけ少なくなる。\n【攻撃後】攻撃『適正距離 3-4, 2/2』を2回行う。', textZh: '【常时】此牌的消费会减少你的盖牌和组装的部件数的和。\n【攻击后】进行3次“攻击距离3-4 伤害2/1”的攻击。', textZhG81: '', textZhG81Additional: '【상시】이 카드의 소비값은 당신의 덮은패 숫자와 조립한 파츠의 숫자의 합계만큼 감소한다.\n【공격후】 공격 『적정거리 3-4, 2/1』을 3번 수행한다.', textKo: '', textEn: ''},</x:v>
      </x:c>
      <x:c r="AU82" s="387" t="str">
        <x:f>IF($A82&lt;&gt;"", "    /** 《"&amp;$E82&amp;"》 */ export const "&amp;SUBSTITUTE(UPPER(IF(MID($A82, 3, 1)="-", RIGHT($A82,LEN($A82)-3), $A82)), "-", "_")&amp;": TCardId = '"&amp;$A82&amp;"';", "")</x:f>
        <x:v>    /** 《ギガ介》 */ export const OBORO_A2_S_1: TCardId = '05-oboro-A2-s-1';</x:v>
      </x:c>
      <x:c r="AV82" s="387" t="str">
        <x:f>IF($A83&lt;&gt;"", "    | '"&amp;$A83&amp;"'", "")</x:f>
        <x:v>    | '05-oboro-A2-s-3'</x:v>
      </x:c>
      <x:c r="AW82" s="387"/>
      <x:c r="AX82" s="387"/>
      <x:c r="AY82" s="387"/>
      <x:c r="AZ82" s="387"/>
      <x:c r="BA82" s="387"/>
      <x:c r="BB82" s="387"/>
      <x:c r="BC82" s="387"/>
      <x:c r="BD82" s="387"/>
      <x:c r="BE82" s="387"/>
      <x:c r="BF82" s="387"/>
      <x:c r="BG82" s="387"/>
      <x:c r="BH82" s="387"/>
      <x:c r="BI82" s="387"/>
      <x:c r="BJ82" s="387"/>
      <x:c r="BK82" s="387"/>
      <x:c r="BL82" s="387"/>
      <x:c r="BM82" s="387"/>
      <x:c r="BN82" s="387"/>
      <x:c r="BO82" s="387"/>
      <x:c r="BP82" s="387"/>
      <x:c r="BQ82" s="387"/>
      <x:c r="BR82" s="387"/>
      <x:c r="BS82" s="387"/>
      <x:c r="BT82" s="387"/>
      <x:c r="BU82" s="387"/>
    </x:row>
    <x:row r="83" ht="53" hidden="0" customHeight="1">
      <x:c r="A83" t="str">
        <x:v>05-oboro-A2-s-3</x:v>
      </x:c>
      <x:c r="B83" t="str">
        <x:v>oboro</x:v>
      </x:c>
      <x:c r="C83" t="str">
        <x:v>A2</x:v>
      </x:c>
      <x:c r="D83" t="str">
        <x:v>05-oboro-o-s-3</x:v>
      </x:c>
      <x:c r="E83" t="str">
        <x:v>朧文書:電子干渉</x:v>
      </x:c>
      <x:c r="F83"/>
      <x:c r="G83" t="str">
        <x:v>胧文书·电子神涉</x:v>
      </x:c>
      <x:c r="H83"/>
      <x:c r="I83"/>
      <x:c r="J83" t="str">
        <x:v>흐릿한 문서: 전자신섭</x:v>
      </x:c>
      <x:c r="K83"/>
      <x:c r="L83"/>
      <x:c r="M83" t="str">
        <x:v>切札</x:v>
      </x:c>
      <x:c r="N83"/>
      <x:c r="O83"/>
      <x:c r="P83"/>
      <x:c r="Q83"/>
      <x:c r="R83" t="str">
        <x:v>行動</x:v>
      </x:c>
      <x:c r="S83" t="str">
        <x:v>全力</x:v>
      </x:c>
      <x:c r="T83"/>
      <x:c r="U83"/>
      <x:c r="V83"/>
      <x:c r="W83"/>
      <x:c r="X83"/>
      <x:c r="Y83"/>
      <x:c r="Z83" t="n">
        <x:v>0</x:v>
      </x:c>
      <x:c r="AA83"/>
      <x:c r="AB83"/>
      <x:c r="AC83"/>
      <x:c r="AD83"/>
      <x:c r="AE83" s="438" t="str">
        <x:v>パーツを1つまで組み立て、基本動作を1回まで行う。
【使用済】山札を再構成する直前に、組み立てられているパーツが1つ以下になるように解体してもよい。そうした場合、パーツをX個組み立てる。Xは伏せ札の枚数の半分(切り上げ)に等しい。</x:v>
      </x:c>
      <x:c r="AF83" s="441"/>
      <x:c r="AG83" s="487" t="str">
        <x:v>组装1个部件，进行最多1次基本动作。
【已使用】重铸牌库之前，可以解体到只剩最多1个部件。若如此做，组装X个部件。X是盖牌数的一半（向上取整）。</x:v>
      </x:c>
      <x:c r="AH83" s="441"/>
      <x:c r="AI83" s="441"/>
      <x:c r="AJ83" s="441"/>
      <x:c r="AK83" s="487" t="str">
        <x:v>파츠를 1개 조립한 후, 기본행동을 1회까지 수행한다.
【사용됨】패산을 재구성하기 전에, 조립된 파츠가 1개 이하가 될 때까지 해체해도 된다. 그렇게 했다면, 파츠를 X개 조립한다. X는 덮은패의 장수의 절반(소숫점 이하 올림)과 동일하다.</x:v>
      </x:c>
      <x:c r="AL83" s="441"/>
      <x:c r="AM83" s="441"/>
      <x:c r="AN83" s="441"/>
      <x:c r="AO83" s="441"/>
      <x:c r="AP83" s="441"/>
      <x:c r="AQ83" s="441"/>
      <x:c r="AR83" s="441"/>
      <x:c r="AS83" s="441"/>
      <x:c r="AT83" s="387" t="str">
        <x:f>IF(A83="", "","'"&amp;A83&amp;"': {megami: '"&amp;B83&amp;"'"&amp;IF(C83&lt;&gt;"",", anotherID: '"&amp;C83&amp;"', replace: '"&amp;D83&amp;"'","")&amp;", name: '"&amp;SUBSTITUTE(E83,"'","\'")&amp;"', nameEn: '"&amp;SUBSTITUTE(K83,"'","\'")&amp;"', nameZh: '"&amp;SUBSTITUTE(G83,"'","\'")&amp;"', nameZhG82: '"&amp;SUBSTITUTE(H83,"'","\'")&amp;"', nameKo: '"&amp;SUBSTITUTE(J83,"'","\'")&amp;"', ruby: '"&amp;F83&amp;"', rubyEn: '"&amp;L83&amp;IF(I83&lt;&gt;"", "', rubyZh: '"&amp;I83, "")&amp;"', baseType: '"&amp;IF(M83="通常札","normal",IF(M83="切札","special",IF(M83="追加札","extra",IF(M83="transform","transform",IF(M83="嵐","storm",IF(M83="兵員","troop",IF(M83="構想","plan",IF(M83="メインパーツ","mainParts",IF(M83="カスタムパーツ","customParts",IF(M83="運命","fate",IF(M83="仮想樹","virtualTree","")))))))))))&amp;"'"&amp;IF(N83="○",", extra: true","")&amp;IF(O83&lt;&gt;"",", extraFrom: '"&amp;O83&amp;"'","")&amp;IF(P83&lt;&gt;"",", exchangableTo: '"&amp;P83&amp;"'","")&amp;IF(Q83="○",", poison: true","")&amp;IF(R83&lt;&gt;"", ", type: '"&amp;IF(R83="攻撃","attack",IF(R83="行動","action",IF(R83="不定","variable",IF(R83="対応","reaction",IF(R83="全力","fullpower",IF(R83="付与","enhance",IF(R83="transform","transform","")))))))&amp;"'", "")&amp;IF(S83&lt;&gt;"",", subType: '"&amp;IF(S83="攻撃","attack",IF(S83="行動","action",IF(S83="不定","variable",IF(S83="対応","reaction",IF(S83="全力","fullpower",IF(S83="付与","enhance",IF(S83="transform","transform","")))))))&amp;"'","")&amp;""&amp;IF(T83&lt;&gt;"",", range: '"&amp;T83&amp;"'","")&amp;IF(V83&lt;&gt;"",", damage: '"&amp;V83&amp;"'","")&amp;IF(X83&lt;&gt;"",", capacity: '"&amp;X83&amp;"'","")&amp;IF(Y83&lt;&gt;"",", growth: "&amp;Y83&amp;"","")&amp;IF(Z83&lt;&gt;"",", cost: '"&amp;Z83&amp;"'","")&amp;", text: '"&amp;SUBSTITUTE(SUBSTITUTE(AE83, CHAR(13), ""),CHAR(10),"\n")&amp;IF(AF83&lt;&gt;"", "', textAdditional: '"&amp;SUBSTITUTE(SUBSTITUTE(AF83, CHAR(13), ""),CHAR(10),"\n"), "")&amp;"', textZh: '"&amp;SUBSTITUTE(SUBSTITUTE(SUBSTITUTE(AG83, CHAR(13), ""),CHAR(10),"\n"),"'","\'")&amp;"', textZhG82: '"&amp;SUBSTITUTE(SUBSTITUTE(SUBSTITUTE(AI83, CHAR(13), ""),CHAR(10),"\n"),"'","\'")&amp;IF(AH83&lt;&gt;"", "', textZhAdditional: '"&amp;SUBSTITUTE(SUBSTITUTE(AH83, CHAR(13), ""),CHAR(10),"\n"), "")&amp;IF(AK83&lt;&gt;"", "', textZhG82Additional: '"&amp;SUBSTITUTE(SUBSTITUTE(AK83, CHAR(13), ""),CHAR(10),"\n"), "")&amp;"', textKo: '"&amp;SUBSTITUTE(SUBSTITUTE(SUBSTITUTE(AM83, CHAR(13), ""),CHAR(10),"\n"),"'","\'")&amp;IF(AM83&lt;&gt;"", "', textKoAdditional: '"&amp;SUBSTITUTE(SUBSTITUTE(AM83, CHAR(13), ""),CHAR(10),"\n"), "")&amp;"', textEn: '"&amp;SUBSTITUTE(SUBSTITUTE(SUBSTITUTE(AM83, CHAR(13), ""),CHAR(10),"\n"),"'","\'")&amp;IF(AN83&lt;&gt;"", "', textEnAdditional: '"&amp;SUBSTITUTE(SUBSTITUTE(AN83, CHAR(13), ""),CHAR(10),"\n"), "")&amp;"'"&amp;IF(AB83="○",", sealable: true","")&amp;IF(AC83="○",", removable: true","")&amp;IF(AA83="○",", lie: true","")&amp;IF(AD83="○",", investable: true","")&amp;"},")</x:f>
        <x:v>'05-oboro-A2-s-3': {megami: 'oboro', anotherID: 'A2', replace: '05-oboro-o-s-3', name: '朧文書:電子干渉', nameEn: '', nameZh: '胧文书·电子神涉', nameZhG82: '', nameKo: '흐릿한 문서: 전자신섭', ruby: '', rubyEn: '', baseType: 'special', type: 'action', subType: 'fullpower', text: 'パーツを1つまで組み立て、基本動作を1回まで行う。\n【使用済】山札を再構成する直前に、組み立てられているパーツが1つ以下になるように解体してもよい。そうした場合、パーツをX個組み立てる。Xは伏せ札の枚数の半分(切り上げ)に等しい。', textZh: '组装1个部件，进行最多1次基本动作。\n【已使用】重铸牌库之前，可以解体到只剩最多1个部件。若如此做，组装X个部件。X是盖牌数的一半（向上取整）。', textZhG82: '', textZhG82Additional: '파츠를 1개 조립한 후, 기본행동을 1회까지 수행한다.\n【사용됨】패산을 재구성하기 전에, 조립된 파츠가 1개 이하가 될 때까지 해체해도 된다. 그렇게 했다면, 파츠를 X개 조립한다. X는 덮은패의 장수의 절반(소숫점 이하 올림)과 동일하다.', textKo: '', textEn: ''},</x:v>
      </x:c>
      <x:c r="AU83" s="387" t="str">
        <x:f>IF($A83&lt;&gt;"", "    /** 《"&amp;$E83&amp;"》 */ export const "&amp;SUBSTITUTE(UPPER(IF(MID($A83, 3, 1)="-", RIGHT($A83,LEN($A83)-3), $A83)), "-", "_")&amp;": TCardId = '"&amp;$A83&amp;"';", "")</x:f>
        <x:v>    /** 《朧文書:電子干渉》 */ export const OBORO_A2_S_3: TCardId = '05-oboro-A2-s-3';</x:v>
      </x:c>
      <x:c r="AV83" s="387" t="str">
        <x:f>IF($A84&lt;&gt;"", "    | '"&amp;$A84&amp;"'", "")</x:f>
        <x:v>    | '05-oboro-A2-mp-1'</x:v>
      </x:c>
      <x:c r="AW83" s="387"/>
      <x:c r="AX83" s="387"/>
      <x:c r="AY83" s="387"/>
      <x:c r="AZ83" s="387"/>
      <x:c r="BA83" s="387"/>
      <x:c r="BB83" s="387"/>
      <x:c r="BC83" s="387"/>
      <x:c r="BD83" s="387"/>
      <x:c r="BE83" s="387"/>
      <x:c r="BF83" s="387"/>
      <x:c r="BG83" s="387"/>
      <x:c r="BH83" s="387"/>
      <x:c r="BI83" s="387"/>
      <x:c r="BJ83" s="387"/>
      <x:c r="BK83" s="387"/>
      <x:c r="BL83" s="387"/>
      <x:c r="BM83" s="387"/>
      <x:c r="BN83" s="387"/>
      <x:c r="BO83" s="387"/>
      <x:c r="BP83" s="387"/>
      <x:c r="BQ83" s="387"/>
      <x:c r="BR83" s="387"/>
      <x:c r="BS83" s="387"/>
      <x:c r="BT83" s="387"/>
      <x:c r="BU83" s="387"/>
    </x:row>
    <x:row r="84" ht="30" hidden="0" customHeight="1">
      <x:c r="A84" t="str">
        <x:v>05-oboro-A2-mp-1</x:v>
      </x:c>
      <x:c r="B84" t="str">
        <x:v>oboro</x:v>
      </x:c>
      <x:c r="C84" t="str">
        <x:v>A2</x:v>
      </x:c>
      <x:c r="D84"/>
      <x:c r="E84" t="str">
        <x:v>メインパーツX</x:v>
      </x:c>
      <x:c r="F84"/>
      <x:c r="G84" t="str">
        <x:v>基础部件X</x:v>
      </x:c>
      <x:c r="H84"/>
      <x:c r="I84"/>
      <x:c r="J84" t="str">
        <x:v>메인 파츠 X</x:v>
      </x:c>
      <x:c r="K84"/>
      <x:c r="L84"/>
      <x:c r="M84" t="str">
        <x:v>メインパーツ</x:v>
      </x:c>
      <x:c r="N84"/>
      <x:c r="O84"/>
      <x:c r="P84"/>
      <x:c r="Q84"/>
      <x:c r="R84" t="str">
        <x:v>攻撃</x:v>
      </x:c>
      <x:c r="S84"/>
      <x:c r="T84" t="str">
        <x:v>4-5</x:v>
      </x:c>
      <x:c r="U84"/>
      <x:c r="V84" t="str">
        <x:v>2/2</x:v>
      </x:c>
      <x:c r="W84"/>
      <x:c r="X84"/>
      <x:c r="Y84"/>
      <x:c r="Z84"/>
      <x:c r="AA84"/>
      <x:c r="AB84"/>
      <x:c r="AC84"/>
      <x:c r="AD84"/>
      <x:c r="AE84" s="438" t="str">
        <x:v>デジ設置</x:v>
      </x:c>
      <x:c r="AF84" s="441" t="str">
        <x:v>（公開・使用する場合、このカードを「使用済み」領域へ移動）</x:v>
      </x:c>
      <x:c r="AG84" s="441" t="str">
        <x:v>数码设置</x:v>
      </x:c>
      <x:c r="AH84" s="441" t="str">
        <x:v>（需展示·使用的时候、将此牌移到「已使用」区域）</x:v>
      </x:c>
      <x:c r="AI84" s="441"/>
      <x:c r="AJ84" s="441"/>
      <x:c r="AK84" s="441" t="str">
        <x:v>디지설치</x:v>
      </x:c>
      <x:c r="AL84" s="441" t="str">
        <x:v>（공개 및 사용하는 경우, 이 카드를 「사용됨」 영역으로 이동)</x:v>
      </x:c>
      <x:c r="AM84" s="441"/>
      <x:c r="AN84" s="441"/>
      <x:c r="AO84" s="441"/>
      <x:c r="AP84" s="441"/>
      <x:c r="AQ84" s="441"/>
      <x:c r="AR84" s="441"/>
      <x:c r="AS84" s="441"/>
      <x:c r="AT84" s="387" t="str">
        <x:f>IF(A84="", "","'"&amp;A84&amp;"': {megami: '"&amp;B84&amp;"'"&amp;IF(C84&lt;&gt;"",", anotherID: '"&amp;C84&amp;"', replace: '"&amp;D84&amp;"'","")&amp;", name: '"&amp;SUBSTITUTE(E84,"'","\'")&amp;"', nameEn: '"&amp;SUBSTITUTE(K84,"'","\'")&amp;"', nameZh: '"&amp;SUBSTITUTE(G84,"'","\'")&amp;"', nameZhG83: '"&amp;SUBSTITUTE(H84,"'","\'")&amp;"', nameKo: '"&amp;SUBSTITUTE(J84,"'","\'")&amp;"', ruby: '"&amp;F84&amp;"', rubyEn: '"&amp;L84&amp;IF(I84&lt;&gt;"", "', rubyZh: '"&amp;I84, "")&amp;"', baseType: '"&amp;IF(M84="通常札","normal",IF(M84="切札","special",IF(M84="追加札","extra",IF(M84="transform","transform",IF(M84="嵐","storm",IF(M84="兵員","troop",IF(M84="構想","plan",IF(M84="メインパーツ","mainParts",IF(M84="カスタムパーツ","customParts",IF(M84="運命","fate",IF(M84="仮想樹","virtualTree","")))))))))))&amp;"'"&amp;IF(N84="○",", extra: true","")&amp;IF(O84&lt;&gt;"",", extraFrom: '"&amp;O84&amp;"'","")&amp;IF(P84&lt;&gt;"",", exchangableTo: '"&amp;P84&amp;"'","")&amp;IF(Q84="○",", poison: true","")&amp;IF(R84&lt;&gt;"", ", type: '"&amp;IF(R84="攻撃","attack",IF(R84="行動","action",IF(R84="不定","variable",IF(R84="対応","reaction",IF(R84="全力","fullpower",IF(R84="付与","enhance",IF(R84="transform","transform","")))))))&amp;"'", "")&amp;IF(S84&lt;&gt;"",", subType: '"&amp;IF(S84="攻撃","attack",IF(S84="行動","action",IF(S84="不定","variable",IF(S84="対応","reaction",IF(S84="全力","fullpower",IF(S84="付与","enhance",IF(S84="transform","transform","")))))))&amp;"'","")&amp;""&amp;IF(T84&lt;&gt;"",", range: '"&amp;T84&amp;"'","")&amp;IF(V84&lt;&gt;"",", damage: '"&amp;V84&amp;"'","")&amp;IF(X84&lt;&gt;"",", capacity: '"&amp;X84&amp;"'","")&amp;IF(Y84&lt;&gt;"",", growth: "&amp;Y84&amp;"","")&amp;IF(Z84&lt;&gt;"",", cost: '"&amp;Z84&amp;"'","")&amp;", text: '"&amp;SUBSTITUTE(SUBSTITUTE(AE84, CHAR(13), ""),CHAR(10),"\n")&amp;IF(AF84&lt;&gt;"", "', textAdditional: '"&amp;SUBSTITUTE(SUBSTITUTE(AF84, CHAR(13), ""),CHAR(10),"\n"), "")&amp;"', textZh: '"&amp;SUBSTITUTE(SUBSTITUTE(SUBSTITUTE(AG84, CHAR(13), ""),CHAR(10),"\n"),"'","\'")&amp;"', textZhG83: '"&amp;SUBSTITUTE(SUBSTITUTE(SUBSTITUTE(AI84, CHAR(13), ""),CHAR(10),"\n"),"'","\'")&amp;IF(AH84&lt;&gt;"", "', textZhAdditional: '"&amp;SUBSTITUTE(SUBSTITUTE(AH84, CHAR(13), ""),CHAR(10),"\n"), "")&amp;IF(AK84&lt;&gt;"", "', textZhG83Additional: '"&amp;SUBSTITUTE(SUBSTITUTE(AK84, CHAR(13), ""),CHAR(10),"\n"), "")&amp;"', textKo: '"&amp;SUBSTITUTE(SUBSTITUTE(SUBSTITUTE(AM84, CHAR(13), ""),CHAR(10),"\n"),"'","\'")&amp;IF(AM84&lt;&gt;"", "', textKoAdditional: '"&amp;SUBSTITUTE(SUBSTITUTE(AM84, CHAR(13), ""),CHAR(10),"\n"), "")&amp;"', textEn: '"&amp;SUBSTITUTE(SUBSTITUTE(SUBSTITUTE(AM84, CHAR(13), ""),CHAR(10),"\n"),"'","\'")&amp;IF(AN84&lt;&gt;"", "', textEnAdditional: '"&amp;SUBSTITUTE(SUBSTITUTE(AN84, CHAR(13), ""),CHAR(10),"\n"), "")&amp;"'"&amp;IF(AB84="○",", sealable: true","")&amp;IF(AC84="○",", removable: true","")&amp;IF(AA84="○",", lie: true","")&amp;IF(AD84="○",", investable: true","")&amp;"},")</x:f>
        <x:v>'05-oboro-A2-mp-1': {megami: 'oboro', anotherID: 'A2', replace: '', name: 'メインパーツX', nameEn: '', nameZh: '基础部件X', nameZhG83: '', nameKo: '메인 파츠 X', ruby: '', rubyEn: '', baseType: 'mainParts', type: 'attack', range: '4-5', damage: '2/2', text: 'デジ設置', textAdditional: '（公開・使用する場合、このカードを「使用済み」領域へ移動）', textZh: '数码设置', textZhG83: '', textZhAdditional: '（需展示·使用的时候、将此牌移到「已使用」区域）', textZhG83Additional: '디지설치', textKo: '', textEn: ''},</x:v>
      </x:c>
      <x:c r="AU84" s="387" t="str">
        <x:f>IF($A84&lt;&gt;"", "    /** 《"&amp;$E84&amp;"》 */ export const "&amp;SUBSTITUTE(UPPER(IF(MID($A84, 3, 1)="-", RIGHT($A84,LEN($A84)-3), $A84)), "-", "_")&amp;": TCardId = '"&amp;$A84&amp;"';", "")</x:f>
        <x:v>    /** 《メインパーツX》 */ export const OBORO_A2_MP_1: TCardId = '05-oboro-A2-mp-1';</x:v>
      </x:c>
      <x:c r="AV84" s="387" t="str">
        <x:f>IF($A85&lt;&gt;"", "    | '"&amp;$A85&amp;"'", "")</x:f>
        <x:v>    | '05-oboro-A2-mp-2'</x:v>
      </x:c>
      <x:c r="AW84" s="387"/>
      <x:c r="AX84" s="387"/>
      <x:c r="AY84" s="387"/>
      <x:c r="AZ84" s="387"/>
      <x:c r="BA84" s="387"/>
      <x:c r="BB84" s="387"/>
      <x:c r="BC84" s="387"/>
      <x:c r="BD84" s="387"/>
      <x:c r="BE84" s="387"/>
      <x:c r="BF84" s="387"/>
      <x:c r="BG84" s="387"/>
      <x:c r="BH84" s="387"/>
      <x:c r="BI84" s="387"/>
      <x:c r="BJ84" s="387"/>
      <x:c r="BK84" s="387"/>
      <x:c r="BL84" s="387"/>
      <x:c r="BM84" s="387"/>
      <x:c r="BN84" s="387"/>
      <x:c r="BO84" s="387"/>
      <x:c r="BP84" s="387"/>
      <x:c r="BQ84" s="387"/>
      <x:c r="BR84" s="387"/>
      <x:c r="BS84" s="387"/>
      <x:c r="BT84" s="387"/>
      <x:c r="BU84" s="387"/>
    </x:row>
    <x:row r="85" ht="30" hidden="0" customHeight="1">
      <x:c r="A85" t="str">
        <x:v>05-oboro-A2-mp-2</x:v>
      </x:c>
      <x:c r="B85" t="str">
        <x:v>oboro</x:v>
      </x:c>
      <x:c r="C85" t="str">
        <x:v>A2</x:v>
      </x:c>
      <x:c r="D85"/>
      <x:c r="E85" t="str">
        <x:v>メインパーツY</x:v>
      </x:c>
      <x:c r="F85"/>
      <x:c r="G85" t="str">
        <x:v>基础部件Y</x:v>
      </x:c>
      <x:c r="H85"/>
      <x:c r="I85"/>
      <x:c r="J85" t="str">
        <x:v>메인 파츠 Y</x:v>
      </x:c>
      <x:c r="K85"/>
      <x:c r="L85"/>
      <x:c r="M85" t="str">
        <x:v>メインパーツ</x:v>
      </x:c>
      <x:c r="N85"/>
      <x:c r="O85"/>
      <x:c r="P85"/>
      <x:c r="Q85"/>
      <x:c r="R85" t="str">
        <x:v>攻撃</x:v>
      </x:c>
      <x:c r="S85"/>
      <x:c r="T85" t="str">
        <x:v>3,6</x:v>
      </x:c>
      <x:c r="U85"/>
      <x:c r="V85" t="str">
        <x:v>2/1</x:v>
      </x:c>
      <x:c r="W85"/>
      <x:c r="X85"/>
      <x:c r="Y85"/>
      <x:c r="Z85"/>
      <x:c r="AA85"/>
      <x:c r="AB85"/>
      <x:c r="AC85"/>
      <x:c r="AD85"/>
      <x:c r="AE85" s="438" t="str">
        <x:v>デジ設置</x:v>
      </x:c>
      <x:c r="AF85" s="441" t="str">
        <x:v>（公開・使用する場合、このカードを「使用済み」領域へ移動）</x:v>
      </x:c>
      <x:c r="AG85" s="441" t="str">
        <x:v>数码设置</x:v>
      </x:c>
      <x:c r="AH85" s="441" t="str">
        <x:v>（需展示·使用的时候、将此牌移到「已使用」区域）</x:v>
      </x:c>
      <x:c r="AI85" s="441"/>
      <x:c r="AJ85" s="441"/>
      <x:c r="AK85" s="441" t="str">
        <x:v>디지설치</x:v>
      </x:c>
      <x:c r="AL85" s="441" t="str">
        <x:v>（공개 및 사용하는 경우, 이 카드를 「사용됨」 영역으로 이동)</x:v>
      </x:c>
      <x:c r="AM85" s="441"/>
      <x:c r="AN85" s="441"/>
      <x:c r="AO85" s="441"/>
      <x:c r="AP85" s="441"/>
      <x:c r="AQ85" s="441"/>
      <x:c r="AR85" s="441"/>
      <x:c r="AS85" s="441"/>
      <x:c r="AT85" s="387" t="str">
        <x:f>IF(A85="", "","'"&amp;A85&amp;"': {megami: '"&amp;B85&amp;"'"&amp;IF(C85&lt;&gt;"",", anotherID: '"&amp;C85&amp;"', replace: '"&amp;D85&amp;"'","")&amp;", name: '"&amp;SUBSTITUTE(E85,"'","\'")&amp;"', nameEn: '"&amp;SUBSTITUTE(K85,"'","\'")&amp;"', nameZh: '"&amp;SUBSTITUTE(G85,"'","\'")&amp;"', nameZhG84: '"&amp;SUBSTITUTE(H85,"'","\'")&amp;"', nameKo: '"&amp;SUBSTITUTE(J85,"'","\'")&amp;"', ruby: '"&amp;F85&amp;"', rubyEn: '"&amp;L85&amp;IF(I85&lt;&gt;"", "', rubyZh: '"&amp;I85, "")&amp;"', baseType: '"&amp;IF(M85="通常札","normal",IF(M85="切札","special",IF(M85="追加札","extra",IF(M85="transform","transform",IF(M85="嵐","storm",IF(M85="兵員","troop",IF(M85="構想","plan",IF(M85="メインパーツ","mainParts",IF(M85="カスタムパーツ","customParts",IF(M85="運命","fate",IF(M85="仮想樹","virtualTree","")))))))))))&amp;"'"&amp;IF(N85="○",", extra: true","")&amp;IF(O85&lt;&gt;"",", extraFrom: '"&amp;O85&amp;"'","")&amp;IF(P85&lt;&gt;"",", exchangableTo: '"&amp;P85&amp;"'","")&amp;IF(Q85="○",", poison: true","")&amp;IF(R85&lt;&gt;"", ", type: '"&amp;IF(R85="攻撃","attack",IF(R85="行動","action",IF(R85="不定","variable",IF(R85="対応","reaction",IF(R85="全力","fullpower",IF(R85="付与","enhance",IF(R85="transform","transform","")))))))&amp;"'", "")&amp;IF(S85&lt;&gt;"",", subType: '"&amp;IF(S85="攻撃","attack",IF(S85="行動","action",IF(S85="不定","variable",IF(S85="対応","reaction",IF(S85="全力","fullpower",IF(S85="付与","enhance",IF(S85="transform","transform","")))))))&amp;"'","")&amp;""&amp;IF(T85&lt;&gt;"",", range: '"&amp;T85&amp;"'","")&amp;IF(V85&lt;&gt;"",", damage: '"&amp;V85&amp;"'","")&amp;IF(X85&lt;&gt;"",", capacity: '"&amp;X85&amp;"'","")&amp;IF(Y85&lt;&gt;"",", growth: "&amp;Y85&amp;"","")&amp;IF(Z85&lt;&gt;"",", cost: '"&amp;Z85&amp;"'","")&amp;", text: '"&amp;SUBSTITUTE(SUBSTITUTE(AE85, CHAR(13), ""),CHAR(10),"\n")&amp;IF(AF85&lt;&gt;"", "', textAdditional: '"&amp;SUBSTITUTE(SUBSTITUTE(AF85, CHAR(13), ""),CHAR(10),"\n"), "")&amp;"', textZh: '"&amp;SUBSTITUTE(SUBSTITUTE(SUBSTITUTE(AG85, CHAR(13), ""),CHAR(10),"\n"),"'","\'")&amp;"', textZhG84: '"&amp;SUBSTITUTE(SUBSTITUTE(SUBSTITUTE(AI85, CHAR(13), ""),CHAR(10),"\n"),"'","\'")&amp;IF(AH85&lt;&gt;"", "', textZhAdditional: '"&amp;SUBSTITUTE(SUBSTITUTE(AH85, CHAR(13), ""),CHAR(10),"\n"), "")&amp;IF(AK85&lt;&gt;"", "', textZhG84Additional: '"&amp;SUBSTITUTE(SUBSTITUTE(AK85, CHAR(13), ""),CHAR(10),"\n"), "")&amp;"', textKo: '"&amp;SUBSTITUTE(SUBSTITUTE(SUBSTITUTE(AM85, CHAR(13), ""),CHAR(10),"\n"),"'","\'")&amp;IF(AM85&lt;&gt;"", "', textKoAdditional: '"&amp;SUBSTITUTE(SUBSTITUTE(AM85, CHAR(13), ""),CHAR(10),"\n"), "")&amp;"', textEn: '"&amp;SUBSTITUTE(SUBSTITUTE(SUBSTITUTE(AM85, CHAR(13), ""),CHAR(10),"\n"),"'","\'")&amp;IF(AN85&lt;&gt;"", "', textEnAdditional: '"&amp;SUBSTITUTE(SUBSTITUTE(AN85, CHAR(13), ""),CHAR(10),"\n"), "")&amp;"'"&amp;IF(AB85="○",", sealable: true","")&amp;IF(AC85="○",", removable: true","")&amp;IF(AA85="○",", lie: true","")&amp;IF(AD85="○",", investable: true","")&amp;"},")</x:f>
        <x:v>'05-oboro-A2-mp-2': {megami: 'oboro', anotherID: 'A2', replace: '', name: 'メインパーツY', nameEn: '', nameZh: '基础部件Y', nameZhG84: '', nameKo: '메인 파츠 Y', ruby: '', rubyEn: '', baseType: 'mainParts', type: 'attack', range: '3,6', damage: '2/1', text: 'デジ設置', textAdditional: '（公開・使用する場合、このカードを「使用済み」領域へ移動）', textZh: '数码设置', textZhG84: '', textZhAdditional: '（需展示·使用的时候、将此牌移到「已使用」区域）', textZhG84Additional: '디지설치', textKo: '', textEn: ''},</x:v>
      </x:c>
      <x:c r="AU85" s="387" t="str">
        <x:f>IF($A85&lt;&gt;"", "    /** 《"&amp;$E85&amp;"》 */ export const "&amp;SUBSTITUTE(UPPER(IF(MID($A85, 3, 1)="-", RIGHT($A85,LEN($A85)-3), $A85)), "-", "_")&amp;": TCardId = '"&amp;$A85&amp;"';", "")</x:f>
        <x:v>    /** 《メインパーツY》 */ export const OBORO_A2_MP_2: TCardId = '05-oboro-A2-mp-2';</x:v>
      </x:c>
      <x:c r="AV85" s="387" t="str">
        <x:f>IF($A86&lt;&gt;"", "    | '"&amp;$A86&amp;"'", "")</x:f>
        <x:v>    | '05-oboro-A2-mp-3'</x:v>
      </x:c>
      <x:c r="AW85" s="387"/>
      <x:c r="AX85" s="387"/>
      <x:c r="AY85" s="387"/>
      <x:c r="AZ85" s="387"/>
      <x:c r="BA85" s="387"/>
      <x:c r="BB85" s="387"/>
      <x:c r="BC85" s="387"/>
      <x:c r="BD85" s="387"/>
      <x:c r="BE85" s="387"/>
      <x:c r="BF85" s="387"/>
      <x:c r="BG85" s="387"/>
      <x:c r="BH85" s="387"/>
      <x:c r="BI85" s="387"/>
      <x:c r="BJ85" s="387"/>
      <x:c r="BK85" s="387"/>
      <x:c r="BL85" s="387"/>
      <x:c r="BM85" s="387"/>
      <x:c r="BN85" s="387"/>
      <x:c r="BO85" s="387"/>
      <x:c r="BP85" s="387"/>
      <x:c r="BQ85" s="387"/>
      <x:c r="BR85" s="387"/>
      <x:c r="BS85" s="387"/>
      <x:c r="BT85" s="387"/>
      <x:c r="BU85" s="387"/>
    </x:row>
    <x:row r="86" ht="38" hidden="0" customHeight="1">
      <x:c r="A86" t="str">
        <x:v>05-oboro-A2-mp-3</x:v>
      </x:c>
      <x:c r="B86" t="str">
        <x:v>oboro</x:v>
      </x:c>
      <x:c r="C86" t="str">
        <x:v>A2</x:v>
      </x:c>
      <x:c r="D86"/>
      <x:c r="E86" t="str">
        <x:v>メインパーツZ</x:v>
      </x:c>
      <x:c r="F86"/>
      <x:c r="G86" t="str">
        <x:v>基础部件Z</x:v>
      </x:c>
      <x:c r="H86"/>
      <x:c r="I86"/>
      <x:c r="J86" t="str">
        <x:v>메인 파츠 Z</x:v>
      </x:c>
      <x:c r="K86"/>
      <x:c r="L86"/>
      <x:c r="M86" t="str">
        <x:v>メインパーツ</x:v>
      </x:c>
      <x:c r="N86"/>
      <x:c r="O86"/>
      <x:c r="P86"/>
      <x:c r="Q86"/>
      <x:c r="R86" t="str">
        <x:v>攻撃</x:v>
      </x:c>
      <x:c r="S86"/>
      <x:c r="T86" t="str">
        <x:v>0-2</x:v>
      </x:c>
      <x:c r="U86"/>
      <x:c r="V86" t="str">
        <x:v>1/0</x:v>
      </x:c>
      <x:c r="W86"/>
      <x:c r="X86"/>
      <x:c r="Y86"/>
      <x:c r="Z86"/>
      <x:c r="AA86"/>
      <x:c r="AB86"/>
      <x:c r="AC86"/>
      <x:c r="AD86"/>
      <x:c r="AE86" s="438" t="str">
        <x:v>デジ設置
【攻撃後】相手がライフへのダメージを選んだならば、相手を畏縮させる。</x:v>
      </x:c>
      <x:c r="AF86" s="441" t="str">
        <x:v>（公開・使用する場合、このカードを「使用済み」領域へ移動）</x:v>
      </x:c>
      <x:c r="AG86" s="441" t="str">
        <x:v>数码设置
【攻击后】对手选择承受对命伤害的话，令对手畏缩。</x:v>
      </x:c>
      <x:c r="AH86" s="441" t="str">
        <x:v>（需展示·使用的时候、将此牌移到「已使用」区域）</x:v>
      </x:c>
      <x:c r="AI86" s="441"/>
      <x:c r="AJ86" s="441"/>
      <x:c r="AK86" s="441" t="str">
        <x:v>디지설치
【공격후】상대가 라이프 데미지를 선택했다면, 상대를 위축시킨다.</x:v>
      </x:c>
      <x:c r="AL86" s="441" t="str">
        <x:v>（공개 및 사용하는 경우, 이 카드를 「사용됨」 영역으로 이동)</x:v>
      </x:c>
      <x:c r="AM86" s="441"/>
      <x:c r="AN86" s="441"/>
      <x:c r="AO86" s="441"/>
      <x:c r="AP86" s="441"/>
      <x:c r="AQ86" s="441"/>
      <x:c r="AR86" s="441"/>
      <x:c r="AS86" s="441"/>
      <x:c r="AT86" s="387" t="str">
        <x:f>IF(A86="", "","'"&amp;A86&amp;"': {megami: '"&amp;B86&amp;"'"&amp;IF(C86&lt;&gt;"",", anotherID: '"&amp;C86&amp;"', replace: '"&amp;D86&amp;"'","")&amp;", name: '"&amp;SUBSTITUTE(E86,"'","\'")&amp;"', nameEn: '"&amp;SUBSTITUTE(K86,"'","\'")&amp;"', nameZh: '"&amp;SUBSTITUTE(G86,"'","\'")&amp;"', nameZhG85: '"&amp;SUBSTITUTE(H86,"'","\'")&amp;"', nameKo: '"&amp;SUBSTITUTE(J86,"'","\'")&amp;"', ruby: '"&amp;F86&amp;"', rubyEn: '"&amp;L86&amp;IF(I86&lt;&gt;"", "', rubyZh: '"&amp;I86, "")&amp;"', baseType: '"&amp;IF(M86="通常札","normal",IF(M86="切札","special",IF(M86="追加札","extra",IF(M86="transform","transform",IF(M86="嵐","storm",IF(M86="兵員","troop",IF(M86="構想","plan",IF(M86="メインパーツ","mainParts",IF(M86="カスタムパーツ","customParts",IF(M86="運命","fate",IF(M86="仮想樹","virtualTree","")))))))))))&amp;"'"&amp;IF(N86="○",", extra: true","")&amp;IF(O86&lt;&gt;"",", extraFrom: '"&amp;O86&amp;"'","")&amp;IF(P86&lt;&gt;"",", exchangableTo: '"&amp;P86&amp;"'","")&amp;IF(Q86="○",", poison: true","")&amp;IF(R86&lt;&gt;"", ", type: '"&amp;IF(R86="攻撃","attack",IF(R86="行動","action",IF(R86="不定","variable",IF(R86="対応","reaction",IF(R86="全力","fullpower",IF(R86="付与","enhance",IF(R86="transform","transform","")))))))&amp;"'", "")&amp;IF(S86&lt;&gt;"",", subType: '"&amp;IF(S86="攻撃","attack",IF(S86="行動","action",IF(S86="不定","variable",IF(S86="対応","reaction",IF(S86="全力","fullpower",IF(S86="付与","enhance",IF(S86="transform","transform","")))))))&amp;"'","")&amp;""&amp;IF(T86&lt;&gt;"",", range: '"&amp;T86&amp;"'","")&amp;IF(V86&lt;&gt;"",", damage: '"&amp;V86&amp;"'","")&amp;IF(X86&lt;&gt;"",", capacity: '"&amp;X86&amp;"'","")&amp;IF(Y86&lt;&gt;"",", growth: "&amp;Y86&amp;"","")&amp;IF(Z86&lt;&gt;"",", cost: '"&amp;Z86&amp;"'","")&amp;", text: '"&amp;SUBSTITUTE(SUBSTITUTE(AE86, CHAR(13), ""),CHAR(10),"\n")&amp;IF(AF86&lt;&gt;"", "', textAdditional: '"&amp;SUBSTITUTE(SUBSTITUTE(AF86, CHAR(13), ""),CHAR(10),"\n"), "")&amp;"', textZh: '"&amp;SUBSTITUTE(SUBSTITUTE(SUBSTITUTE(AG86, CHAR(13), ""),CHAR(10),"\n"),"'","\'")&amp;"', textZhG85: '"&amp;SUBSTITUTE(SUBSTITUTE(SUBSTITUTE(AI86, CHAR(13), ""),CHAR(10),"\n"),"'","\'")&amp;IF(AH86&lt;&gt;"", "', textZhAdditional: '"&amp;SUBSTITUTE(SUBSTITUTE(AH86, CHAR(13), ""),CHAR(10),"\n"), "")&amp;IF(AK86&lt;&gt;"", "', textZhG85Additional: '"&amp;SUBSTITUTE(SUBSTITUTE(AK86, CHAR(13), ""),CHAR(10),"\n"), "")&amp;"', textKo: '"&amp;SUBSTITUTE(SUBSTITUTE(SUBSTITUTE(AM86, CHAR(13), ""),CHAR(10),"\n"),"'","\'")&amp;IF(AM86&lt;&gt;"", "', textKoAdditional: '"&amp;SUBSTITUTE(SUBSTITUTE(AM86, CHAR(13), ""),CHAR(10),"\n"), "")&amp;"', textEn: '"&amp;SUBSTITUTE(SUBSTITUTE(SUBSTITUTE(AM86, CHAR(13), ""),CHAR(10),"\n"),"'","\'")&amp;IF(AN86&lt;&gt;"", "', textEnAdditional: '"&amp;SUBSTITUTE(SUBSTITUTE(AN86, CHAR(13), ""),CHAR(10),"\n"), "")&amp;"'"&amp;IF(AB86="○",", sealable: true","")&amp;IF(AC86="○",", removable: true","")&amp;IF(AA86="○",", lie: true","")&amp;IF(AD86="○",", investable: true","")&amp;"},")</x:f>
        <x:v>'05-oboro-A2-mp-3': {megami: 'oboro', anotherID: 'A2', replace: '', name: 'メインパーツZ', nameEn: '', nameZh: '基础部件Z', nameZhG85: '', nameKo: '메인 파츠 Z', ruby: '', rubyEn: '', baseType: 'mainParts', type: 'attack', range: '0-2', damage: '1/0', text: 'デジ設置\n【攻撃後】相手がライフへのダメージを選んだならば、相手を畏縮させる。', textAdditional: '（公開・使用する場合、このカードを「使用済み」領域へ移動）', textZh: '数码设置\n【攻击后】对手选择承受对命伤害的话，令对手畏缩。', textZhG85: '', textZhAdditional: '（需展示·使用的时候、将此牌移到「已使用」区域）', textZhG85Additional: '디지설치\n【공격후】상대가 라이프 데미지를 선택했다면, 상대를 위축시킨다.', textKo: '', textEn: ''},</x:v>
      </x:c>
      <x:c r="AU86" s="387" t="str">
        <x:f>IF($A86&lt;&gt;"", "    /** 《"&amp;$E86&amp;"》 */ export const "&amp;SUBSTITUTE(UPPER(IF(MID($A86, 3, 1)="-", RIGHT($A86,LEN($A86)-3), $A86)), "-", "_")&amp;": TCardId = '"&amp;$A86&amp;"';", "")</x:f>
        <x:v>    /** 《メインパーツZ》 */ export const OBORO_A2_MP_3: TCardId = '05-oboro-A2-mp-3';</x:v>
      </x:c>
      <x:c r="AV86" s="387" t="str">
        <x:f>IF($A87&lt;&gt;"", "    | '"&amp;$A87&amp;"'", "")</x:f>
        <x:v>    | '05-oboro-A2-cp-1'</x:v>
      </x:c>
      <x:c r="AW86" s="387"/>
      <x:c r="AX86" s="387"/>
      <x:c r="AY86" s="387"/>
      <x:c r="AZ86" s="387"/>
      <x:c r="BA86" s="387"/>
      <x:c r="BB86" s="387"/>
      <x:c r="BC86" s="387"/>
      <x:c r="BD86" s="387"/>
      <x:c r="BE86" s="387"/>
      <x:c r="BF86" s="387"/>
      <x:c r="BG86" s="387"/>
      <x:c r="BH86" s="387"/>
      <x:c r="BI86" s="387"/>
      <x:c r="BJ86" s="387"/>
      <x:c r="BK86" s="387"/>
      <x:c r="BL86" s="387"/>
      <x:c r="BM86" s="387"/>
      <x:c r="BN86" s="387"/>
      <x:c r="BO86" s="387"/>
      <x:c r="BP86" s="387"/>
      <x:c r="BQ86" s="387"/>
      <x:c r="BR86" s="387"/>
      <x:c r="BS86" s="387"/>
      <x:c r="BT86" s="387"/>
      <x:c r="BU86" s="387"/>
    </x:row>
    <x:row r="87" ht="113" hidden="0" customHeight="1">
      <x:c r="A87" t="str">
        <x:v>05-oboro-A2-cp-1</x:v>
      </x:c>
      <x:c r="B87" t="str">
        <x:v>oboro</x:v>
      </x:c>
      <x:c r="C87" t="str">
        <x:v>A2</x:v>
      </x:c>
      <x:c r="D87"/>
      <x:c r="E87" t="str">
        <x:v>カスタムパーツA</x:v>
      </x:c>
      <x:c r="F87"/>
      <x:c r="G87" t="str">
        <x:v>定制部件A</x:v>
      </x:c>
      <x:c r="H87"/>
      <x:c r="I87"/>
      <x:c r="J87" t="str">
        <x:v>커스텀 파츠 A</x:v>
      </x:c>
      <x:c r="K87"/>
      <x:c r="L87"/>
      <x:c r="M87" t="str">
        <x:v>カスタムパーツ</x:v>
      </x:c>
      <x:c r="N87"/>
      <x:c r="O87"/>
      <x:c r="P87"/>
      <x:c r="Q87"/>
      <x:c r="R87"/>
      <x:c r="S87"/>
      <x:c r="T87"/>
      <x:c r="U87"/>
      <x:c r="V87"/>
      <x:c r="W87"/>
      <x:c r="X87"/>
      <x:c r="Y87"/>
      <x:c r="Z87"/>
      <x:c r="AA87"/>
      <x:c r="AB87"/>
      <x:c r="AC87"/>
      <x:c r="AD87"/>
      <x:c r="AE87" s="438" t="str">
        <x:v>壱:対応不可(《付与》)
弐:対応不可(《攻撃》)
参:対応不可(《行動》)
肆:対応不可(通常札)</x:v>
      </x:c>
      <x:c r="AF87" s="441" t="str">
        <x:v>（公開・使用する場合、このカードを「使用済み」領域へ移動）</x:v>
      </x:c>
      <x:c r="AG87" s="487" t="str">
        <x:v>&lt;壹&gt; 不可被对应(《付与》)
----
&lt;贰&gt; 不可被对应(《攻击》)
----
&lt;叁&gt; 不可被对应(《行动》)
----
&lt;肆&gt; 不可被对应(通常牌)</x:v>
      </x:c>
      <x:c r="AH87" s="487" t="str">
        <x:v>（需展示·使用的时候、将此牌移到「已使用」区域）</x:v>
      </x:c>
      <x:c r="AI87" s="441"/>
      <x:c r="AJ87" s="441"/>
      <x:c r="AK87" s="487" t="str">
        <x:v>&lt;1단계&gt; 대응불가(《부여》)
----
&lt;2단계&gt; 대응불가(《공격》)
----
&lt;3단계&gt; 대응불가(《행동》)
----
&lt;4단계&gt; 대응불가(통상패)</x:v>
      </x:c>
      <x:c r="AL87" s="441"/>
      <x:c r="AM87" s="441"/>
      <x:c r="AN87" s="441"/>
      <x:c r="AO87" s="441"/>
      <x:c r="AP87" s="441"/>
      <x:c r="AQ87" s="441"/>
      <x:c r="AR87" s="441"/>
      <x:c r="AS87" s="441"/>
      <x:c r="AT87" s="387" t="str">
        <x:f>IF(A87="", "","'"&amp;A87&amp;"': {megami: '"&amp;B87&amp;"'"&amp;IF(C87&lt;&gt;"",", anotherID: '"&amp;C87&amp;"', replace: '"&amp;D87&amp;"'","")&amp;", name: '"&amp;SUBSTITUTE(E87,"'","\'")&amp;"', nameEn: '"&amp;SUBSTITUTE(K87,"'","\'")&amp;"', nameZh: '"&amp;SUBSTITUTE(G87,"'","\'")&amp;"', nameZhG86: '"&amp;SUBSTITUTE(H87,"'","\'")&amp;"', nameKo: '"&amp;SUBSTITUTE(J87,"'","\'")&amp;"', ruby: '"&amp;F87&amp;"', rubyEn: '"&amp;L87&amp;IF(I87&lt;&gt;"", "', rubyZh: '"&amp;I87, "")&amp;"', baseType: '"&amp;IF(M87="通常札","normal",IF(M87="切札","special",IF(M87="追加札","extra",IF(M87="transform","transform",IF(M87="嵐","storm",IF(M87="兵員","troop",IF(M87="構想","plan",IF(M87="メインパーツ","mainParts",IF(M87="カスタムパーツ","customParts",IF(M87="運命","fate",IF(M87="仮想樹","virtualTree","")))))))))))&amp;"'"&amp;IF(N87="○",", extra: true","")&amp;IF(O87&lt;&gt;"",", extraFrom: '"&amp;O87&amp;"'","")&amp;IF(P87&lt;&gt;"",", exchangableTo: '"&amp;P87&amp;"'","")&amp;IF(Q87="○",", poison: true","")&amp;IF(R87&lt;&gt;"", ", type: '"&amp;IF(R87="攻撃","attack",IF(R87="行動","action",IF(R87="不定","variable",IF(R87="対応","reaction",IF(R87="全力","fullpower",IF(R87="付与","enhance",IF(R87="transform","transform","")))))))&amp;"'", "")&amp;IF(S87&lt;&gt;"",", subType: '"&amp;IF(S87="攻撃","attack",IF(S87="行動","action",IF(S87="不定","variable",IF(S87="対応","reaction",IF(S87="全力","fullpower",IF(S87="付与","enhance",IF(S87="transform","transform","")))))))&amp;"'","")&amp;""&amp;IF(T87&lt;&gt;"",", range: '"&amp;T87&amp;"'","")&amp;IF(V87&lt;&gt;"",", damage: '"&amp;V87&amp;"'","")&amp;IF(X87&lt;&gt;"",", capacity: '"&amp;X87&amp;"'","")&amp;IF(Y87&lt;&gt;"",", growth: "&amp;Y87&amp;"","")&amp;IF(Z87&lt;&gt;"",", cost: '"&amp;Z87&amp;"'","")&amp;", text: '"&amp;SUBSTITUTE(SUBSTITUTE(AE87, CHAR(13), ""),CHAR(10),"\n")&amp;IF(AF87&lt;&gt;"", "', textAdditional: '"&amp;SUBSTITUTE(SUBSTITUTE(AF87, CHAR(13), ""),CHAR(10),"\n"), "")&amp;"', textZh: '"&amp;SUBSTITUTE(SUBSTITUTE(SUBSTITUTE(AG87, CHAR(13), ""),CHAR(10),"\n"),"'","\'")&amp;"', textZhG86: '"&amp;SUBSTITUTE(SUBSTITUTE(SUBSTITUTE(AI87, CHAR(13), ""),CHAR(10),"\n"),"'","\'")&amp;IF(AH87&lt;&gt;"", "', textZhAdditional: '"&amp;SUBSTITUTE(SUBSTITUTE(AH87, CHAR(13), ""),CHAR(10),"\n"), "")&amp;IF(AK87&lt;&gt;"", "', textZhG86Additional: '"&amp;SUBSTITUTE(SUBSTITUTE(AK87, CHAR(13), ""),CHAR(10),"\n"), "")&amp;"', textKo: '"&amp;SUBSTITUTE(SUBSTITUTE(SUBSTITUTE(AM87, CHAR(13), ""),CHAR(10),"\n"),"'","\'")&amp;IF(AM87&lt;&gt;"", "', textKoAdditional: '"&amp;SUBSTITUTE(SUBSTITUTE(AM87, CHAR(13), ""),CHAR(10),"\n"), "")&amp;"', textEn: '"&amp;SUBSTITUTE(SUBSTITUTE(SUBSTITUTE(AM87, CHAR(13), ""),CHAR(10),"\n"),"'","\'")&amp;IF(AN87&lt;&gt;"", "', textEnAdditional: '"&amp;SUBSTITUTE(SUBSTITUTE(AN87, CHAR(13), ""),CHAR(10),"\n"), "")&amp;"'"&amp;IF(AB87="○",", sealable: true","")&amp;IF(AC87="○",", removable: true","")&amp;IF(AA87="○",", lie: true","")&amp;IF(AD87="○",", investable: true","")&amp;"},")</x:f>
        <x:v>'05-oboro-A2-cp-1': {megami: 'oboro', anotherID: 'A2', replace: '', name: 'カスタムパーツA', nameEn: '', nameZh: '定制部件A', nameZhG86: '', nameKo: '커스텀 파츠 A', ruby: '', rubyEn: '', baseType: 'customParts', text: '壱:対応不可(《付与》)\n弐:対応不可(《攻撃》)\n参:対応不可(《行動》)\n肆:対応不可(通常札)', textAdditional: '（公開・使用する場合、このカードを「使用済み」領域へ移動）', textZh: '&lt;壹&gt; 不可被对应(《付与》)\n----\n&lt;贰&gt; 不可被对应(《攻击》)\n----\n&lt;叁&gt; 不可被对应(《行动》)\n----\n&lt;肆&gt; 不可被对应(通常牌)', textZhG86: '', textZhAdditional: '（需展示·使用的时候、将此牌移到「已使用」区域）', textZhG86Additional: '&lt;1단계&gt; 대응불가(《부여》)\n----\n&lt;2단계&gt; 대응불가(《공격》)\n----\n&lt;3단계&gt; 대응불가(《행동》)\n----\n&lt;4단계&gt; 대응불가(통상패)', textKo: '', textEn: ''},</x:v>
      </x:c>
      <x:c r="AU87" s="387" t="str">
        <x:f>IF($A87&lt;&gt;"", "    /** 《"&amp;$E87&amp;"》 */ export const "&amp;SUBSTITUTE(UPPER(IF(MID($A87, 3, 1)="-", RIGHT($A87,LEN($A87)-3), $A87)), "-", "_")&amp;": TCardId = '"&amp;$A87&amp;"';", "")</x:f>
        <x:v>    /** 《カスタムパーツA》 */ export const OBORO_A2_CP_1: TCardId = '05-oboro-A2-cp-1';</x:v>
      </x:c>
      <x:c r="AV87" s="387" t="str">
        <x:f>IF($A88&lt;&gt;"", "    | '"&amp;$A88&amp;"'", "")</x:f>
        <x:v>    | '05-oboro-A2-cp-2'</x:v>
      </x:c>
      <x:c r="AW87" s="387"/>
      <x:c r="AX87" s="387"/>
      <x:c r="AY87" s="387"/>
      <x:c r="AZ87" s="387"/>
      <x:c r="BA87" s="387"/>
      <x:c r="BB87" s="387"/>
      <x:c r="BC87" s="387"/>
      <x:c r="BD87" s="387"/>
      <x:c r="BE87" s="387"/>
      <x:c r="BF87" s="387"/>
      <x:c r="BG87" s="387"/>
      <x:c r="BH87" s="387"/>
      <x:c r="BI87" s="387"/>
      <x:c r="BJ87" s="387"/>
      <x:c r="BK87" s="387"/>
      <x:c r="BL87" s="387"/>
      <x:c r="BM87" s="387"/>
      <x:c r="BN87" s="387"/>
      <x:c r="BO87" s="387"/>
      <x:c r="BP87" s="387"/>
      <x:c r="BQ87" s="387"/>
      <x:c r="BR87" s="387"/>
      <x:c r="BS87" s="387"/>
      <x:c r="BT87" s="387"/>
      <x:c r="BU87" s="387"/>
    </x:row>
    <x:row r="88" ht="113" hidden="0" customHeight="1">
      <x:c r="A88" t="str">
        <x:v>05-oboro-A2-cp-2</x:v>
      </x:c>
      <x:c r="B88" t="str">
        <x:v>oboro</x:v>
      </x:c>
      <x:c r="C88" t="str">
        <x:v>A2</x:v>
      </x:c>
      <x:c r="D88"/>
      <x:c r="E88" t="str">
        <x:v>カスタムパーツB</x:v>
      </x:c>
      <x:c r="F88"/>
      <x:c r="G88" t="str">
        <x:v>定制部件B</x:v>
      </x:c>
      <x:c r="H88"/>
      <x:c r="I88"/>
      <x:c r="J88" t="str">
        <x:v>커스텀 파츠 B</x:v>
      </x:c>
      <x:c r="K88"/>
      <x:c r="L88"/>
      <x:c r="M88" t="str">
        <x:v>カスタムパーツ</x:v>
      </x:c>
      <x:c r="N88"/>
      <x:c r="O88"/>
      <x:c r="P88"/>
      <x:c r="Q88"/>
      <x:c r="R88"/>
      <x:c r="S88"/>
      <x:c r="T88"/>
      <x:c r="U88"/>
      <x:c r="V88"/>
      <x:c r="W88"/>
      <x:c r="X88"/>
      <x:c r="Y88"/>
      <x:c r="Z88"/>
      <x:c r="AA88"/>
      <x:c r="AB88"/>
      <x:c r="AC88"/>
      <x:c r="AD88"/>
      <x:c r="AE88" s="438" t="str">
        <x:v>壱:【常時】この《攻撃》は+0/+0となる。
弐:【常時】この《攻撃》は+0/+1となる。
参:【常時】この《攻撃》は+1/+0となる。
肆:【常時】この《攻撃》は+1/+1となる。</x:v>
      </x:c>
      <x:c r="AF88" s="441" t="str">
        <x:v>（公開・使用する場合、このカードを「使用済み」領域へ移動）</x:v>
      </x:c>
      <x:c r="AG88" s="487" t="str">
        <x:v>&lt;壹&gt; 【常时】此《攻击》得+0/+0。
----
&lt;贰&gt; 【常时】此《攻击》得+0/+1。
----
&lt;叁&gt; 【常时】此《攻击》得+1/+0。
----
&lt;肆&gt; 【常时】此《攻击》得+1/+1。</x:v>
      </x:c>
      <x:c r="AH88" s="487" t="str">
        <x:v>（需展示·使用的时候、将此牌移到「已使用」区域）</x:v>
      </x:c>
      <x:c r="AI88" s="441"/>
      <x:c r="AJ88" s="441"/>
      <x:c r="AK88" s="487" t="str">
        <x:v>&lt;1단계&gt; 【상시】 이 《공격》은 +0/+0 된다.
----
&lt;2단계&gt; 【상시】 이 《공격》은 +0/+1 된다.
----
&lt;3단계&gt; 【상시】 이 《공격》은 +1/+0 된다.
----
&lt;4단계&gt; 【상시】 이 《공격》은 +1/+1 된다.</x:v>
      </x:c>
      <x:c r="AL88" s="487" t="str">
        <x:v>（공개 및 사용하는 경우, 이 카드를 「사용됨」 영역으로 이동)</x:v>
      </x:c>
      <x:c r="AM88" s="441"/>
      <x:c r="AN88" s="441"/>
      <x:c r="AO88" s="441"/>
      <x:c r="AP88" s="441"/>
      <x:c r="AQ88" s="441"/>
      <x:c r="AR88" s="441"/>
      <x:c r="AS88" s="441"/>
      <x:c r="AT88" s="387" t="str">
        <x:f>IF(A88="", "","'"&amp;A88&amp;"': {megami: '"&amp;B88&amp;"'"&amp;IF(C88&lt;&gt;"",", anotherID: '"&amp;C88&amp;"', replace: '"&amp;D88&amp;"'","")&amp;", name: '"&amp;SUBSTITUTE(E88,"'","\'")&amp;"', nameEn: '"&amp;SUBSTITUTE(K88,"'","\'")&amp;"', nameZh: '"&amp;SUBSTITUTE(G88,"'","\'")&amp;"', nameZhG87: '"&amp;SUBSTITUTE(H88,"'","\'")&amp;"', nameKo: '"&amp;SUBSTITUTE(J88,"'","\'")&amp;"', ruby: '"&amp;F88&amp;"', rubyEn: '"&amp;L88&amp;IF(I88&lt;&gt;"", "', rubyZh: '"&amp;I88, "")&amp;"', baseType: '"&amp;IF(M88="通常札","normal",IF(M88="切札","special",IF(M88="追加札","extra",IF(M88="transform","transform",IF(M88="嵐","storm",IF(M88="兵員","troop",IF(M88="構想","plan",IF(M88="メインパーツ","mainParts",IF(M88="カスタムパーツ","customParts",IF(M88="運命","fate",IF(M88="仮想樹","virtualTree","")))))))))))&amp;"'"&amp;IF(N88="○",", extra: true","")&amp;IF(O88&lt;&gt;"",", extraFrom: '"&amp;O88&amp;"'","")&amp;IF(P88&lt;&gt;"",", exchangableTo: '"&amp;P88&amp;"'","")&amp;IF(Q88="○",", poison: true","")&amp;IF(R88&lt;&gt;"", ", type: '"&amp;IF(R88="攻撃","attack",IF(R88="行動","action",IF(R88="不定","variable",IF(R88="対応","reaction",IF(R88="全力","fullpower",IF(R88="付与","enhance",IF(R88="transform","transform","")))))))&amp;"'", "")&amp;IF(S88&lt;&gt;"",", subType: '"&amp;IF(S88="攻撃","attack",IF(S88="行動","action",IF(S88="不定","variable",IF(S88="対応","reaction",IF(S88="全力","fullpower",IF(S88="付与","enhance",IF(S88="transform","transform","")))))))&amp;"'","")&amp;""&amp;IF(T88&lt;&gt;"",", range: '"&amp;T88&amp;"'","")&amp;IF(V88&lt;&gt;"",", damage: '"&amp;V88&amp;"'","")&amp;IF(X88&lt;&gt;"",", capacity: '"&amp;X88&amp;"'","")&amp;IF(Y88&lt;&gt;"",", growth: "&amp;Y88&amp;"","")&amp;IF(Z88&lt;&gt;"",", cost: '"&amp;Z88&amp;"'","")&amp;", text: '"&amp;SUBSTITUTE(SUBSTITUTE(AE88, CHAR(13), ""),CHAR(10),"\n")&amp;IF(AF88&lt;&gt;"", "', textAdditional: '"&amp;SUBSTITUTE(SUBSTITUTE(AF88, CHAR(13), ""),CHAR(10),"\n"), "")&amp;"', textZh: '"&amp;SUBSTITUTE(SUBSTITUTE(SUBSTITUTE(AG88, CHAR(13), ""),CHAR(10),"\n"),"'","\'")&amp;"', textZhG87: '"&amp;SUBSTITUTE(SUBSTITUTE(SUBSTITUTE(AI88, CHAR(13), ""),CHAR(10),"\n"),"'","\'")&amp;IF(AH88&lt;&gt;"", "', textZhAdditional: '"&amp;SUBSTITUTE(SUBSTITUTE(AH88, CHAR(13), ""),CHAR(10),"\n"), "")&amp;IF(AK88&lt;&gt;"", "', textZhG87Additional: '"&amp;SUBSTITUTE(SUBSTITUTE(AK88, CHAR(13), ""),CHAR(10),"\n"), "")&amp;"', textKo: '"&amp;SUBSTITUTE(SUBSTITUTE(SUBSTITUTE(AM88, CHAR(13), ""),CHAR(10),"\n"),"'","\'")&amp;IF(AM88&lt;&gt;"", "', textKoAdditional: '"&amp;SUBSTITUTE(SUBSTITUTE(AM88, CHAR(13), ""),CHAR(10),"\n"), "")&amp;"', textEn: '"&amp;SUBSTITUTE(SUBSTITUTE(SUBSTITUTE(AM88, CHAR(13), ""),CHAR(10),"\n"),"'","\'")&amp;IF(AN88&lt;&gt;"", "', textEnAdditional: '"&amp;SUBSTITUTE(SUBSTITUTE(AN88, CHAR(13), ""),CHAR(10),"\n"), "")&amp;"'"&amp;IF(AB88="○",", sealable: true","")&amp;IF(AC88="○",", removable: true","")&amp;IF(AA88="○",", lie: true","")&amp;IF(AD88="○",", investable: true","")&amp;"},")</x:f>
        <x:v>'05-oboro-A2-cp-2': {megami: 'oboro', anotherID: 'A2', replace: '', name: 'カスタムパーツB', nameEn: '', nameZh: '定制部件B', nameZhG87: '', nameKo: '커스텀 파츠 B', ruby: '', rubyEn: '', baseType: 'customParts', text: '壱:【常時】この《攻撃》は+0/+0となる。\n弐:【常時】この《攻撃》は+0/+1となる。\n参:【常時】この《攻撃》は+1/+0となる。\n肆:【常時】この《攻撃》は+1/+1となる。', textAdditional: '（公開・使用する場合、このカードを「使用済み」領域へ移動）', textZh: '&lt;壹&gt; 【常时】此《攻击》得+0/+0。\n----\n&lt;贰&gt; 【常时】此《攻击》得+0/+1。\n----\n&lt;叁&gt; 【常时】此《攻击》得+1/+0。\n----\n&lt;肆&gt; 【常时】此《攻击》得+1/+1。', textZhG87: '', textZhAdditional: '（需展示·使用的时候、将此牌移到「已使用」区域）', textZhG87Additional: '&lt;1단계&gt; 【상시】 이 《공격》은 +0/+0 된다.\n----\n&lt;2단계&gt; 【상시】 이 《공격》은 +0/+1 된다.\n----\n&lt;3단계&gt; 【상시】 이 《공격》은 +1/+0 된다.\n----\n&lt;4단계&gt; 【상시】 이 《공격》은 +1/+1 된다.', textKo: '', textEn: ''},</x:v>
      </x:c>
      <x:c r="AU88" s="387" t="str">
        <x:f>IF($A88&lt;&gt;"", "    /** 《"&amp;$E88&amp;"》 */ export const "&amp;SUBSTITUTE(UPPER(IF(MID($A88, 3, 1)="-", RIGHT($A88,LEN($A88)-3), $A88)), "-", "_")&amp;": TCardId = '"&amp;$A88&amp;"';", "")</x:f>
        <x:v>    /** 《カスタムパーツB》 */ export const OBORO_A2_CP_2: TCardId = '05-oboro-A2-cp-2';</x:v>
      </x:c>
      <x:c r="AV88" s="387" t="str">
        <x:f>IF($A89&lt;&gt;"", "    | '"&amp;$A89&amp;"'", "")</x:f>
        <x:v>    | '05-oboro-A2-cp-3'</x:v>
      </x:c>
      <x:c r="AW88" s="387"/>
      <x:c r="AX88" s="387"/>
      <x:c r="AY88" s="387"/>
      <x:c r="AZ88" s="387"/>
      <x:c r="BA88" s="387"/>
      <x:c r="BB88" s="387"/>
      <x:c r="BC88" s="387"/>
      <x:c r="BD88" s="387"/>
      <x:c r="BE88" s="387"/>
      <x:c r="BF88" s="387"/>
      <x:c r="BG88" s="387"/>
      <x:c r="BH88" s="387"/>
      <x:c r="BI88" s="387"/>
      <x:c r="BJ88" s="387"/>
      <x:c r="BK88" s="387"/>
      <x:c r="BL88" s="387"/>
      <x:c r="BM88" s="387"/>
      <x:c r="BN88" s="387"/>
      <x:c r="BO88" s="387"/>
      <x:c r="BP88" s="387"/>
      <x:c r="BQ88" s="387"/>
      <x:c r="BR88" s="387"/>
      <x:c r="BS88" s="387"/>
      <x:c r="BT88" s="387"/>
      <x:c r="BU88" s="387"/>
    </x:row>
    <x:row r="89" ht="128" hidden="0" customHeight="1">
      <x:c r="A89" t="str">
        <x:v>05-oboro-A2-cp-3</x:v>
      </x:c>
      <x:c r="B89" t="str">
        <x:v>oboro</x:v>
      </x:c>
      <x:c r="C89" t="str">
        <x:v>A2</x:v>
      </x:c>
      <x:c r="D89"/>
      <x:c r="E89" t="str">
        <x:v>カスタムパーツC</x:v>
      </x:c>
      <x:c r="F89"/>
      <x:c r="G89" t="str">
        <x:v>定制部件C</x:v>
      </x:c>
      <x:c r="H89"/>
      <x:c r="I89"/>
      <x:c r="J89" t="str">
        <x:v>커스텀 파츠 C</x:v>
      </x:c>
      <x:c r="K89"/>
      <x:c r="L89"/>
      <x:c r="M89" t="str">
        <x:v>カスタムパーツ</x:v>
      </x:c>
      <x:c r="N89"/>
      <x:c r="O89"/>
      <x:c r="P89"/>
      <x:c r="Q89"/>
      <x:c r="R89"/>
      <x:c r="S89"/>
      <x:c r="T89"/>
      <x:c r="U89"/>
      <x:c r="V89"/>
      <x:c r="W89"/>
      <x:c r="X89"/>
      <x:c r="Y89"/>
      <x:c r="Z89"/>
      <x:c r="AA89"/>
      <x:c r="AB89"/>
      <x:c r="AC89"/>
      <x:c r="AD89"/>
      <x:c r="AE89" s="438" t="str">
        <x:v>壱:【攻撃後】ダスト→間合：1
弐:【攻撃後】ダスト⇔間合：1
参:【攻撃後】ダスト⇔間合：1
肆:【攻撃後】ダスト⇔間合：1
あなたは集中力を1得る。</x:v>
      </x:c>
      <x:c r="AF89" s="441" t="str">
        <x:v>（公開・使用する場合、このカードを「使用済み」領域へ移動）</x:v>
      </x:c>
      <x:c r="AG89" s="487" t="str">
        <x:v>&lt;壹&gt; 【攻击后】虚→1→距
----
&lt;贰&gt; 【攻击后】虚←1→距
----
&lt;叁&gt; 【攻击后】虚←1→距
----
&lt;肆&gt; 【攻击后】虚←1→距
你获得1点集中力。</x:v>
      </x:c>
      <x:c r="AH89" s="487" t="str">
        <x:v>（需展示·使用的时候、将此牌移到「已使用」区域）</x:v>
      </x:c>
      <x:c r="AI89" s="441"/>
      <x:c r="AJ89" s="441"/>
      <x:c r="AK89" s="487" t="str">
        <x:v>&lt;1단계&gt; 【공격후】 더스트→간격:1
----
&lt;2단계&gt; 【공격후】 더스트→간격:1
----
&lt;3단계&gt; 【공격후】 더스트→간격:1
----
&lt;4단계&gt; 【공격후】 더스트→간격:1
당신은 집중력을 1 얻는다.</x:v>
      </x:c>
      <x:c r="AL89" s="487" t="str">
        <x:v>（공개 및 사용하는 경우, 이 카드를 「사용됨」 영역으로 이동)</x:v>
      </x:c>
      <x:c r="AM89" s="441"/>
      <x:c r="AN89" s="441"/>
      <x:c r="AO89" s="441"/>
      <x:c r="AP89" s="441"/>
      <x:c r="AQ89" s="441"/>
      <x:c r="AR89" s="441"/>
      <x:c r="AS89" s="441"/>
      <x:c r="AT89" s="387" t="str">
        <x:f>IF(A89="", "","'"&amp;A89&amp;"': {megami: '"&amp;B89&amp;"'"&amp;IF(C89&lt;&gt;"",", anotherID: '"&amp;C89&amp;"', replace: '"&amp;D89&amp;"'","")&amp;", name: '"&amp;SUBSTITUTE(E89,"'","\'")&amp;"', nameEn: '"&amp;SUBSTITUTE(K89,"'","\'")&amp;"', nameZh: '"&amp;SUBSTITUTE(G89,"'","\'")&amp;"', nameZhG88: '"&amp;SUBSTITUTE(H89,"'","\'")&amp;"', nameKo: '"&amp;SUBSTITUTE(J89,"'","\'")&amp;"', ruby: '"&amp;F89&amp;"', rubyEn: '"&amp;L89&amp;IF(I89&lt;&gt;"", "', rubyZh: '"&amp;I89, "")&amp;"', baseType: '"&amp;IF(M89="通常札","normal",IF(M89="切札","special",IF(M89="追加札","extra",IF(M89="transform","transform",IF(M89="嵐","storm",IF(M89="兵員","troop",IF(M89="構想","plan",IF(M89="メインパーツ","mainParts",IF(M89="カスタムパーツ","customParts",IF(M89="運命","fate",IF(M89="仮想樹","virtualTree","")))))))))))&amp;"'"&amp;IF(N89="○",", extra: true","")&amp;IF(O89&lt;&gt;"",", extraFrom: '"&amp;O89&amp;"'","")&amp;IF(P89&lt;&gt;"",", exchangableTo: '"&amp;P89&amp;"'","")&amp;IF(Q89="○",", poison: true","")&amp;IF(R89&lt;&gt;"", ", type: '"&amp;IF(R89="攻撃","attack",IF(R89="行動","action",IF(R89="不定","variable",IF(R89="対応","reaction",IF(R89="全力","fullpower",IF(R89="付与","enhance",IF(R89="transform","transform","")))))))&amp;"'", "")&amp;IF(S89&lt;&gt;"",", subType: '"&amp;IF(S89="攻撃","attack",IF(S89="行動","action",IF(S89="不定","variable",IF(S89="対応","reaction",IF(S89="全力","fullpower",IF(S89="付与","enhance",IF(S89="transform","transform","")))))))&amp;"'","")&amp;""&amp;IF(T89&lt;&gt;"",", range: '"&amp;T89&amp;"'","")&amp;IF(V89&lt;&gt;"",", damage: '"&amp;V89&amp;"'","")&amp;IF(X89&lt;&gt;"",", capacity: '"&amp;X89&amp;"'","")&amp;IF(Y89&lt;&gt;"",", growth: "&amp;Y89&amp;"","")&amp;IF(Z89&lt;&gt;"",", cost: '"&amp;Z89&amp;"'","")&amp;", text: '"&amp;SUBSTITUTE(SUBSTITUTE(AE89, CHAR(13), ""),CHAR(10),"\n")&amp;IF(AF89&lt;&gt;"", "', textAdditional: '"&amp;SUBSTITUTE(SUBSTITUTE(AF89, CHAR(13), ""),CHAR(10),"\n"), "")&amp;"', textZh: '"&amp;SUBSTITUTE(SUBSTITUTE(SUBSTITUTE(AG89, CHAR(13), ""),CHAR(10),"\n"),"'","\'")&amp;"', textZhG88: '"&amp;SUBSTITUTE(SUBSTITUTE(SUBSTITUTE(AI89, CHAR(13), ""),CHAR(10),"\n"),"'","\'")&amp;IF(AH89&lt;&gt;"", "', textZhAdditional: '"&amp;SUBSTITUTE(SUBSTITUTE(AH89, CHAR(13), ""),CHAR(10),"\n"), "")&amp;IF(AK89&lt;&gt;"", "', textZhG88Additional: '"&amp;SUBSTITUTE(SUBSTITUTE(AK89, CHAR(13), ""),CHAR(10),"\n"), "")&amp;"', textKo: '"&amp;SUBSTITUTE(SUBSTITUTE(SUBSTITUTE(AM89, CHAR(13), ""),CHAR(10),"\n"),"'","\'")&amp;IF(AM89&lt;&gt;"", "', textKoAdditional: '"&amp;SUBSTITUTE(SUBSTITUTE(AM89, CHAR(13), ""),CHAR(10),"\n"), "")&amp;"', textEn: '"&amp;SUBSTITUTE(SUBSTITUTE(SUBSTITUTE(AM89, CHAR(13), ""),CHAR(10),"\n"),"'","\'")&amp;IF(AN89&lt;&gt;"", "', textEnAdditional: '"&amp;SUBSTITUTE(SUBSTITUTE(AN89, CHAR(13), ""),CHAR(10),"\n"), "")&amp;"'"&amp;IF(AB89="○",", sealable: true","")&amp;IF(AC89="○",", removable: true","")&amp;IF(AA89="○",", lie: true","")&amp;IF(AD89="○",", investable: true","")&amp;"},")</x:f>
        <x:v>'05-oboro-A2-cp-3': {megami: 'oboro', anotherID: 'A2', replace: '', name: 'カスタムパーツC', nameEn: '', nameZh: '定制部件C', nameZhG88: '', nameKo: '커스텀 파츠 C', ruby: '', rubyEn: '', baseType: 'customParts', text: '壱:【攻撃後】ダスト→間合：1\n弐:【攻撃後】ダスト⇔間合：1\n参:【攻撃後】ダスト⇔間合：1\n肆:【攻撃後】ダスト⇔間合：1\nあなたは集中力を1得る。', textAdditional: '（公開・使用する場合、このカードを「使用済み」領域へ移動）', textZh: '&lt;壹&gt; 【攻击后】虚→1→距\n----\n&lt;贰&gt; 【攻击后】虚←1→距\n----\n&lt;叁&gt; 【攻击后】虚←1→距\n----\n&lt;肆&gt; 【攻击后】虚←1→距\n你获得1点集中力。', textZhG88: '', textZhAdditional: '（需展示·使用的时候、将此牌移到「已使用」区域）', textZhG88Additional: '&lt;1단계&gt; 【공격후】 더스트→간격:1\n----\n&lt;2단계&gt; 【공격후】 더스트→간격:1\n----\n&lt;3단계&gt; 【공격후】 더스트→간격:1\n----\n&lt;4단계&gt; 【공격후】 더스트→간격:1\n당신은 집중력을 1 얻는다.', textKo: '', textEn: ''},</x:v>
      </x:c>
      <x:c r="AU89" s="387" t="str">
        <x:f>IF($A89&lt;&gt;"", "    /** 《"&amp;$E89&amp;"》 */ export const "&amp;SUBSTITUTE(UPPER(IF(MID($A89, 3, 1)="-", RIGHT($A89,LEN($A89)-3), $A89)), "-", "_")&amp;": TCardId = '"&amp;$A89&amp;"';", "")</x:f>
        <x:v>    /** 《カスタムパーツC》 */ export const OBORO_A2_CP_3: TCardId = '05-oboro-A2-cp-3';</x:v>
      </x:c>
      <x:c r="AV89" s="387" t="str">
        <x:f>IF($A90&lt;&gt;"", "    | '"&amp;$A90&amp;"'", "")</x:f>
        <x:v>    | '05-oboro-A2-cp-4'</x:v>
      </x:c>
      <x:c r="AW89" s="387"/>
      <x:c r="AX89" s="387"/>
      <x:c r="AY89" s="387"/>
      <x:c r="AZ89" s="387"/>
      <x:c r="BA89" s="387"/>
      <x:c r="BB89" s="387"/>
      <x:c r="BC89" s="387"/>
      <x:c r="BD89" s="387"/>
      <x:c r="BE89" s="387"/>
      <x:c r="BF89" s="387"/>
      <x:c r="BG89" s="387"/>
      <x:c r="BH89" s="387"/>
      <x:c r="BI89" s="387"/>
      <x:c r="BJ89" s="387"/>
      <x:c r="BK89" s="387"/>
      <x:c r="BL89" s="387"/>
      <x:c r="BM89" s="387"/>
      <x:c r="BN89" s="387"/>
      <x:c r="BO89" s="387"/>
      <x:c r="BP89" s="387"/>
      <x:c r="BQ89" s="387"/>
      <x:c r="BR89" s="387"/>
      <x:c r="BS89" s="387"/>
      <x:c r="BT89" s="387"/>
      <x:c r="BU89" s="387"/>
    </x:row>
    <x:row r="90" ht="128" hidden="0" customHeight="1">
      <x:c r="A90" t="str">
        <x:v>05-oboro-A2-cp-4</x:v>
      </x:c>
      <x:c r="B90" t="str">
        <x:v>oboro</x:v>
      </x:c>
      <x:c r="C90" t="str">
        <x:v>A2</x:v>
      </x:c>
      <x:c r="D90"/>
      <x:c r="E90" t="str">
        <x:v>カスタムパーツD</x:v>
      </x:c>
      <x:c r="F90"/>
      <x:c r="G90" t="str">
        <x:v>定制部件D</x:v>
      </x:c>
      <x:c r="H90"/>
      <x:c r="I90"/>
      <x:c r="J90" t="str">
        <x:v>커스텀 파츠 D</x:v>
      </x:c>
      <x:c r="K90"/>
      <x:c r="L90"/>
      <x:c r="M90" t="str">
        <x:v>カスタムパーツ</x:v>
      </x:c>
      <x:c r="N90"/>
      <x:c r="O90"/>
      <x:c r="P90"/>
      <x:c r="Q90"/>
      <x:c r="R90"/>
      <x:c r="S90"/>
      <x:c r="T90"/>
      <x:c r="U90"/>
      <x:c r="V90"/>
      <x:c r="W90"/>
      <x:c r="X90"/>
      <x:c r="Y90"/>
      <x:c r="Z90"/>
      <x:c r="AA90"/>
      <x:c r="AB90"/>
      <x:c r="AC90"/>
      <x:c r="AD90"/>
      <x:c r="AE90" s="438" t="str">
        <x:v>壱:【攻撃後】捨て札を1枚まで選び、それを伏せ札にする。
弐:【攻撃後】伏せ札からカードを1枚まで選び、それを山札の底に置く。
参:【攻撃後】伏せ札からカードを2枚まで選び、それらを好きな順で山札の底に置く。
肆:【攻撃後】捨て札か伏せ札からカードを2枚まで選び、それらを好きな順で山札の底に置く。</x:v>
      </x:c>
      <x:c r="AF90" s="441" t="str">
        <x:v>（公開・使用する場合、このカードを「使用済み」領域へ移動）</x:v>
      </x:c>
      <x:c r="AG90" s="487" t="str">
        <x:v>&lt;壹&gt; 【攻击后】选择最多1张弃牌，将其盖伏。
----
&lt;贰&gt; 【攻击后】选择最多1张盖牌，将其置入牌库底。
----
&lt;叁&gt; 【攻击后】选择最多2张盖牌，将其以任意顺序置入牌库底。
----
&lt;肆&gt; 【攻击后】从盖牌和弃牌中选择最多2张牌，将其以任意顺序置入牌库底。</x:v>
      </x:c>
      <x:c r="AH90" s="487" t="str">
        <x:v>（需展示·使用的时候、将此牌移到「已使用」区域）</x:v>
      </x:c>
      <x:c r="AI90" s="441"/>
      <x:c r="AJ90" s="441"/>
      <x:c r="AK90" s="487" t="str">
        <x:v>&lt;1단계&gt; 【공격후】버림패를 1장까지 고른 뒤, 그것을 덮은패로 보낸다.
----
&lt;2단계&gt; 덮은패에서 카드를 1장까지 고른 뒤, 그것을 패산의 아래에 넣는다.
----
&lt;3단계&gt; 덮은패에서 카드를 2장까지 고른 뒤, 그것을 원하는 순서대로 패산의 아래에 넣는다.
----
&lt;4단계&gt; 버림패와 덮은패에서 카드를 2장까지 고른 뒤, 그것을 원하는 순서대로 패산의 아래에 넣는다.</x:v>
      </x:c>
      <x:c r="AL90" s="487" t="str">
        <x:v>（공개 및 사용하는 경우, 이 카드를 「사용됨」 영역으로 이동)</x:v>
      </x:c>
      <x:c r="AM90" s="441"/>
      <x:c r="AN90" s="441"/>
      <x:c r="AO90" s="441"/>
      <x:c r="AP90" s="441"/>
      <x:c r="AQ90" s="441"/>
      <x:c r="AR90" s="441"/>
      <x:c r="AS90" s="441"/>
      <x:c r="AT90" s="387" t="str">
        <x:f>IF(A90="", "","'"&amp;A90&amp;"': {megami: '"&amp;B90&amp;"'"&amp;IF(C90&lt;&gt;"",", anotherID: '"&amp;C90&amp;"', replace: '"&amp;D90&amp;"'","")&amp;", name: '"&amp;SUBSTITUTE(E90,"'","\'")&amp;"', nameEn: '"&amp;SUBSTITUTE(K90,"'","\'")&amp;"', nameZh: '"&amp;SUBSTITUTE(G90,"'","\'")&amp;"', nameZhG89: '"&amp;SUBSTITUTE(H90,"'","\'")&amp;"', nameKo: '"&amp;SUBSTITUTE(J90,"'","\'")&amp;"', ruby: '"&amp;F90&amp;"', rubyEn: '"&amp;L90&amp;IF(I90&lt;&gt;"", "', rubyZh: '"&amp;I90, "")&amp;"', baseType: '"&amp;IF(M90="通常札","normal",IF(M90="切札","special",IF(M90="追加札","extra",IF(M90="transform","transform",IF(M90="嵐","storm",IF(M90="兵員","troop",IF(M90="構想","plan",IF(M90="メインパーツ","mainParts",IF(M90="カスタムパーツ","customParts",IF(M90="運命","fate",IF(M90="仮想樹","virtualTree","")))))))))))&amp;"'"&amp;IF(N90="○",", extra: true","")&amp;IF(O90&lt;&gt;"",", extraFrom: '"&amp;O90&amp;"'","")&amp;IF(P90&lt;&gt;"",", exchangableTo: '"&amp;P90&amp;"'","")&amp;IF(Q90="○",", poison: true","")&amp;IF(R90&lt;&gt;"", ", type: '"&amp;IF(R90="攻撃","attack",IF(R90="行動","action",IF(R90="不定","variable",IF(R90="対応","reaction",IF(R90="全力","fullpower",IF(R90="付与","enhance",IF(R90="transform","transform","")))))))&amp;"'", "")&amp;IF(S90&lt;&gt;"",", subType: '"&amp;IF(S90="攻撃","attack",IF(S90="行動","action",IF(S90="不定","variable",IF(S90="対応","reaction",IF(S90="全力","fullpower",IF(S90="付与","enhance",IF(S90="transform","transform","")))))))&amp;"'","")&amp;""&amp;IF(T90&lt;&gt;"",", range: '"&amp;T90&amp;"'","")&amp;IF(V90&lt;&gt;"",", damage: '"&amp;V90&amp;"'","")&amp;IF(X90&lt;&gt;"",", capacity: '"&amp;X90&amp;"'","")&amp;IF(Y90&lt;&gt;"",", growth: "&amp;Y90&amp;"","")&amp;IF(Z90&lt;&gt;"",", cost: '"&amp;Z90&amp;"'","")&amp;", text: '"&amp;SUBSTITUTE(SUBSTITUTE(AE90, CHAR(13), ""),CHAR(10),"\n")&amp;IF(AF90&lt;&gt;"", "', textAdditional: '"&amp;SUBSTITUTE(SUBSTITUTE(AF90, CHAR(13), ""),CHAR(10),"\n"), "")&amp;"', textZh: '"&amp;SUBSTITUTE(SUBSTITUTE(SUBSTITUTE(AG90, CHAR(13), ""),CHAR(10),"\n"),"'","\'")&amp;"', textZhG89: '"&amp;SUBSTITUTE(SUBSTITUTE(SUBSTITUTE(AI90, CHAR(13), ""),CHAR(10),"\n"),"'","\'")&amp;IF(AH90&lt;&gt;"", "', textZhAdditional: '"&amp;SUBSTITUTE(SUBSTITUTE(AH90, CHAR(13), ""),CHAR(10),"\n"), "")&amp;IF(AK90&lt;&gt;"", "', textZhG89Additional: '"&amp;SUBSTITUTE(SUBSTITUTE(AK90, CHAR(13), ""),CHAR(10),"\n"), "")&amp;"', textKo: '"&amp;SUBSTITUTE(SUBSTITUTE(SUBSTITUTE(AM90, CHAR(13), ""),CHAR(10),"\n"),"'","\'")&amp;IF(AM90&lt;&gt;"", "', textKoAdditional: '"&amp;SUBSTITUTE(SUBSTITUTE(AM90, CHAR(13), ""),CHAR(10),"\n"), "")&amp;"', textEn: '"&amp;SUBSTITUTE(SUBSTITUTE(SUBSTITUTE(AM90, CHAR(13), ""),CHAR(10),"\n"),"'","\'")&amp;IF(AN90&lt;&gt;"", "', textEnAdditional: '"&amp;SUBSTITUTE(SUBSTITUTE(AN90, CHAR(13), ""),CHAR(10),"\n"), "")&amp;"'"&amp;IF(AB90="○",", sealable: true","")&amp;IF(AC90="○",", removable: true","")&amp;IF(AA90="○",", lie: true","")&amp;IF(AD90="○",", investable: true","")&amp;"},")</x:f>
        <x:v>'05-oboro-A2-cp-4': {megami: 'oboro', anotherID: 'A2', replace: '', name: 'カスタムパーツD', nameEn: '', nameZh: '定制部件D', nameZhG89: '', nameKo: '커스텀 파츠 D', ruby: '', rubyEn: '', baseType: 'customParts', text: '壱:【攻撃後】捨て札を1枚まで選び、それを伏せ札にする。\n弐:【攻撃後】伏せ札からカードを1枚まで選び、それを山札の底に置く。\n参:【攻撃後】伏せ札からカードを2枚まで選び、それらを好きな順で山札の底に置く。\n肆:【攻撃後】捨て札か伏せ札からカードを2枚まで選び、それらを好きな順で山札の底に置く。', textAdditional: '（公開・使用する場合、このカードを「使用済み」領域へ移動）', textZh: '&lt;壹&gt; 【攻击后】选择最多1张弃牌，将其盖伏。\n----\n&lt;贰&gt; 【攻击后】选择最多1张盖牌，将其置入牌库底。\n----\n&lt;叁&gt; 【攻击后】选择最多2张盖牌，将其以任意顺序置入牌库底。\n----\n&lt;肆&gt; 【攻击后】从盖牌和弃牌中选择最多2张牌，将其以任意顺序置入牌库底。', textZhG89: '', textZhAdditional: '（需展示·使用的时候、将此牌移到「已使用」区域）', textZhG89Additional: '&lt;1단계&gt; 【공격후】버림패를 1장까지 고른 뒤, 그것을 덮은패로 보낸다.\n----\n&lt;2단계&gt; 덮은패에서 카드를 1장까지 고른 뒤, 그것을 패산의 아래에 넣는다.\n----\n&lt;3단계&gt; 덮은패에서 카드를 2장까지 고른 뒤, 그것을 원하는 순서대로 패산의 아래에 넣는다.\n----\n&lt;4단계&gt; 버림패와 덮은패에서 카드를 2장까지 고른 뒤, 그것을 원하는 순서대로 패산의 아래에 넣는다.', textKo: '', textEn: ''},</x:v>
      </x:c>
      <x:c r="AU90" s="387" t="str">
        <x:f>IF($A90&lt;&gt;"", "    /** 《"&amp;$E90&amp;"》 */ export const "&amp;SUBSTITUTE(UPPER(IF(MID($A90, 3, 1)="-", RIGHT($A90,LEN($A90)-3), $A90)), "-", "_")&amp;": TCardId = '"&amp;$A90&amp;"';", "")</x:f>
        <x:v>    /** 《カスタムパーツD》 */ export const OBORO_A2_CP_4: TCardId = '05-oboro-A2-cp-4';</x:v>
      </x:c>
      <x:c r="AV90" t="str">
        <x:f>IF($A91&lt;&gt;"", "    | '"&amp;$A91&amp;"'", "")</x:f>
        <x:v>    | '06-yukihi-o-n-1'</x:v>
      </x:c>
    </x:row>
    <x:row r="91" ht="30" customHeight="1">
      <x:c r="A91" t="str">
        <x:v>06-yukihi-o-n-1</x:v>
      </x:c>
      <x:c r="B91" t="str">
        <x:v>yukihi</x:v>
      </x:c>
      <x:c r="C91"/>
      <x:c r="D91"/>
      <x:c r="E91" t="str">
        <x:v>しこみばり/ふくみばり</x:v>
      </x:c>
      <x:c r="F91"/>
      <x:c r="G91" t="str">
        <x:v>藏针 / 含针</x:v>
      </x:c>
      <x:c r="H91" t="str">
        <x:v>藏针/含针</x:v>
      </x:c>
      <x:c r="I91"/>
      <x:c r="J91" t="str">
        <x:v>숨긴 바늘 / 머금은 바늘</x:v>
      </x:c>
      <x:c r="K91" t="str">
        <x:v>Hidden Needles / Kept Needles</x:v>
      </x:c>
      <x:c r="L91"/>
      <x:c r="M91" t="str">
        <x:v>通常札</x:v>
      </x:c>
      <x:c r="N91"/>
      <x:c r="O91"/>
      <x:c r="P91"/>
      <x:c r="Q91"/>
      <x:c r="R91" t="str">
        <x:v>攻撃</x:v>
      </x:c>
      <x:c r="S91"/>
      <x:c r="T91" t="str">
        <x:v>4-6</x:v>
      </x:c>
      <x:c r="U91" t="str">
        <x:v>0-2</x:v>
      </x:c>
      <x:c r="V91" t="str">
        <x:v>3/1</x:v>
      </x:c>
      <x:c r="W91" t="str">
        <x:v>1/2</x:v>
      </x:c>
      <x:c r="X91"/>
      <x:c r="Y91"/>
      <x:c r="Z91"/>
      <x:c r="AA91"/>
      <x:c r="AB91"/>
      <x:c r="AC91"/>
      <x:c r="AD91"/>
      <x:c r="AE91" s="438"/>
      <x:c r="AF91" s="438"/>
      <x:c r="AG91" s="438"/>
      <x:c r="AH91" s="438"/>
      <x:c r="AI91" s="438"/>
      <x:c r="AJ91" s="438"/>
      <x:c r="AK91" s="438"/>
      <x:c r="AL91" s="438"/>
      <x:c r="AM91" s="438"/>
      <x:c r="AN91" s="438"/>
      <x:c r="AO91" s="438"/>
      <x:c r="AP91" s="438"/>
      <x:c r="AQ91" s="438"/>
      <x:c r="AR91" s="438"/>
      <x:c r="AS91" s="438"/>
      <x:c r="AT91" t="str">
        <x:f>IF(A91="", "","'"&amp;A91&amp;"': {megami: '"&amp;B91&amp;"'"&amp;IF(C91&lt;&gt;"",", anotherID: '"&amp;C91&amp;"', replace: '"&amp;D91&amp;"'","")&amp;", name: '"&amp;SUBSTITUTE(E91,"'","\'")&amp;"', nameEn: '"&amp;SUBSTITUTE(K91,"'","\'")&amp;"', nameZh: '"&amp;SUBSTITUTE(G91,"'","\'")&amp;"', nameZhG90: '"&amp;SUBSTITUTE(H91,"'","\'")&amp;"', nameKo: '"&amp;SUBSTITUTE(J91,"'","\'")&amp;"', ruby: '"&amp;F91&amp;"', rubyEn: '"&amp;L91&amp;IF(I91&lt;&gt;"", "', rubyZh: '"&amp;I91, "")&amp;"', baseType: '"&amp;IF(M91="通常札","normal",IF(M91="切札","special",IF(M91="追加札","extra",IF(M91="transform","transform",IF(M91="嵐","storm",IF(M91="兵員","troop",IF(M91="構想","plan",IF(M91="メインパーツ","mainParts",IF(M91="カスタムパーツ","customParts",IF(M91="運命","fate",IF(M91="仮想樹","virtualTree","")))))))))))&amp;"'"&amp;IF(N91="○",", extra: true","")&amp;IF(O91&lt;&gt;"",", extraFrom: '"&amp;O91&amp;"'","")&amp;IF(P91&lt;&gt;"",", exchangableTo: '"&amp;P91&amp;"'","")&amp;IF(Q91="○",", poison: true","")&amp;IF(R91&lt;&gt;"", ", type: '"&amp;IF(R91="攻撃","attack",IF(R91="行動","action",IF(R91="不定","variable",IF(R91="対応","reaction",IF(R91="全力","fullpower",IF(R91="付与","enhance",IF(R91="transform","transform","")))))))&amp;"'", "")&amp;IF(S91&lt;&gt;"",", subType: '"&amp;IF(S91="攻撃","attack",IF(S91="行動","action",IF(S91="不定","variable",IF(S91="対応","reaction",IF(S91="全力","fullpower",IF(S91="付与","enhance",IF(S91="transform","transform","")))))))&amp;"'","")&amp;""&amp;IF(T91&lt;&gt;"",", range: '"&amp;T91&amp;"'","")&amp;IF(V91&lt;&gt;"",", damage: '"&amp;V91&amp;"'","")&amp;IF(X91&lt;&gt;"",", capacity: '"&amp;X91&amp;"'","")&amp;IF(Y91&lt;&gt;"",", growth: "&amp;Y91&amp;"","")&amp;IF(Z91&lt;&gt;"",", cost: '"&amp;Z91&amp;"'","")&amp;", text: '"&amp;SUBSTITUTE(SUBSTITUTE(AE91, CHAR(13), ""),CHAR(10),"\n")&amp;IF(AF91&lt;&gt;"", "', textAdditional: '"&amp;SUBSTITUTE(SUBSTITUTE(AF91, CHAR(13), ""),CHAR(10),"\n"), "")&amp;"', textZh: '"&amp;SUBSTITUTE(SUBSTITUTE(SUBSTITUTE(AG91, CHAR(13), ""),CHAR(10),"\n"),"'","\'")&amp;"', textZhG90: '"&amp;SUBSTITUTE(SUBSTITUTE(SUBSTITUTE(AI91, CHAR(13), ""),CHAR(10),"\n"),"'","\'")&amp;IF(AH91&lt;&gt;"", "', textZhAdditional: '"&amp;SUBSTITUTE(SUBSTITUTE(AH91, CHAR(13), ""),CHAR(10),"\n"), "")&amp;IF(AK91&lt;&gt;"", "', textZhG90Additional: '"&amp;SUBSTITUTE(SUBSTITUTE(AK91, CHAR(13), ""),CHAR(10),"\n"), "")&amp;"', textKo: '"&amp;SUBSTITUTE(SUBSTITUTE(SUBSTITUTE(AM91, CHAR(13), ""),CHAR(10),"\n"),"'","\'")&amp;IF(AM91&lt;&gt;"", "', textKoAdditional: '"&amp;SUBSTITUTE(SUBSTITUTE(AM91, CHAR(13), ""),CHAR(10),"\n"), "")&amp;"', textEn: '"&amp;SUBSTITUTE(SUBSTITUTE(SUBSTITUTE(AM91, CHAR(13), ""),CHAR(10),"\n"),"'","\'")&amp;IF(AN91&lt;&gt;"", "', textEnAdditional: '"&amp;SUBSTITUTE(SUBSTITUTE(AN91, CHAR(13), ""),CHAR(10),"\n"), "")&amp;"'"&amp;IF(AB91="○",", sealable: true","")&amp;IF(AC91="○",", removable: true","")&amp;IF(AA91="○",", lie: true","")&amp;IF(AD91="○",", investable: true","")&amp;"},")</x:f>
        <x:v>'06-yukihi-o-n-1': {megami: 'yukihi', name: 'しこみばり/ふくみばり', nameEn: 'Hidden Needles / Kept Needles', nameZh: '藏针 / 含针', nameZhG90: '藏针/含针', nameKo: '숨긴 바늘 / 머금은 바늘', ruby: '', rubyEn: '', baseType: 'normal', type: 'attack', range: '4-6', damage: '3/1', text: '', textZh: '', textZhG90: '', textKo: '', textEn: ''},</x:v>
      </x:c>
      <x:c r="AU91" t="str">
        <x:f>IF($A91&lt;&gt;"", "    /** 《"&amp;$E91&amp;"》 */ export const "&amp;SUBSTITUTE(UPPER(IF(MID($A91, 3, 1)="-", RIGHT($A91,LEN($A91)-3), $A91)), "-", "_")&amp;": TCardId = '"&amp;$A91&amp;"';", "")</x:f>
        <x:v>    /** 《しこみばり/ふくみばり》 */ export const YUKIHI_O_N_1: TCardId = '06-yukihi-o-n-1';</x:v>
      </x:c>
      <x:c r="AV91" t="str">
        <x:f>IF($A92&lt;&gt;"", "    | '"&amp;$A92&amp;"'", "")</x:f>
        <x:v>    | '06-yukihi-o-n-2'</x:v>
      </x:c>
    </x:row>
    <x:row r="92" ht="38" customHeight="1">
      <x:c r="A92" t="str">
        <x:v>06-yukihi-o-n-2</x:v>
      </x:c>
      <x:c r="B92" t="str">
        <x:v>yukihi</x:v>
      </x:c>
      <x:c r="C92"/>
      <x:c r="D92"/>
      <x:c r="E92" t="str">
        <x:v>しこみび/ねこだまし</x:v>
      </x:c>
      <x:c r="F92"/>
      <x:c r="G92" t="str">
        <x:v>预演 / 猫骗</x:v>
      </x:c>
      <x:c r="H92" t="str">
        <x:v>匍匐/猫跳</x:v>
      </x:c>
      <x:c r="I92"/>
      <x:c r="J92" t="str">
        <x:v>숨긴 불꽃 / 손뼉치기</x:v>
      </x:c>
      <x:c r="K92" t="str">
        <x:v>Preparation / Fake Out</x:v>
      </x:c>
      <x:c r="L92"/>
      <x:c r="M92" t="str">
        <x:v>通常札</x:v>
      </x:c>
      <x:c r="N92"/>
      <x:c r="O92"/>
      <x:c r="P92"/>
      <x:c r="Q92"/>
      <x:c r="R92" t="str">
        <x:v>攻撃</x:v>
      </x:c>
      <x:c r="S92"/>
      <x:c r="T92" t="str">
        <x:v>5-6</x:v>
      </x:c>
      <x:c r="U92" t="str">
        <x:v>0-2</x:v>
      </x:c>
      <x:c r="V92" t="str">
        <x:v>1/1</x:v>
      </x:c>
      <x:c r="W92" t="str">
        <x:v>1/1</x:v>
      </x:c>
      <x:c r="X92"/>
      <x:c r="Y92"/>
      <x:c r="Z92"/>
      <x:c r="AA92"/>
      <x:c r="AB92"/>
      <x:c r="AC92"/>
      <x:c r="AD92"/>
      <x:c r="AE92" s="438" t="str">
        <x:v>【攻撃後】このカードを手札に戻し、傘の開閉を行う。</x:v>
      </x:c>
      <x:c r="AF92" s="438"/>
      <x:c r="AG92" s="499" t="str">
        <x:v>【攻击后】将此牌置入你的手牌，进行一次伞的开合操作。</x:v>
      </x:c>
      <x:c r="AH92" s="438"/>
      <x:c r="AI92" s="438"/>
      <x:c r="AJ92" s="438"/>
      <x:c r="AK92" s="499" t="str">
        <x:v>【공격후】이 카드를 손패로 되돌리고, 우산의 개폐를 행한다.</x:v>
      </x:c>
      <x:c r="AL92" s="438"/>
      <x:c r="AM92" s="499" t="str">
        <x:v>After Attack: Put this card into your hand. Open your umbrella. If it was already open, close it instead.</x:v>
      </x:c>
      <x:c r="AN92" s="438"/>
      <x:c r="AO92" s="438"/>
      <x:c r="AP92" s="499" t="str">
        <x:v>（无）</x:v>
      </x:c>
      <x:c r="AQ92" s="438"/>
      <x:c r="AR92" s="438"/>
      <x:c r="AS92" s="438"/>
      <x:c r="AT92" t="str">
        <x:f>IF(A92="", "","'"&amp;A92&amp;"': {megami: '"&amp;B92&amp;"'"&amp;IF(C92&lt;&gt;"",", anotherID: '"&amp;C92&amp;"', replace: '"&amp;D92&amp;"'","")&amp;", name: '"&amp;SUBSTITUTE(E92,"'","\'")&amp;"', nameEn: '"&amp;SUBSTITUTE(K92,"'","\'")&amp;"', nameZh: '"&amp;SUBSTITUTE(G92,"'","\'")&amp;"', nameZhG91: '"&amp;SUBSTITUTE(H92,"'","\'")&amp;"', nameKo: '"&amp;SUBSTITUTE(J92,"'","\'")&amp;"', ruby: '"&amp;F92&amp;"', rubyEn: '"&amp;L92&amp;IF(I92&lt;&gt;"", "', rubyZh: '"&amp;I92, "")&amp;"', baseType: '"&amp;IF(M92="通常札","normal",IF(M92="切札","special",IF(M92="追加札","extra",IF(M92="transform","transform",IF(M92="嵐","storm",IF(M92="兵員","troop",IF(M92="構想","plan",IF(M92="メインパーツ","mainParts",IF(M92="カスタムパーツ","customParts",IF(M92="運命","fate",IF(M92="仮想樹","virtualTree","")))))))))))&amp;"'"&amp;IF(N92="○",", extra: true","")&amp;IF(O92&lt;&gt;"",", extraFrom: '"&amp;O92&amp;"'","")&amp;IF(P92&lt;&gt;"",", exchangableTo: '"&amp;P92&amp;"'","")&amp;IF(Q92="○",", poison: true","")&amp;IF(R92&lt;&gt;"", ", type: '"&amp;IF(R92="攻撃","attack",IF(R92="行動","action",IF(R92="不定","variable",IF(R92="対応","reaction",IF(R92="全力","fullpower",IF(R92="付与","enhance",IF(R92="transform","transform","")))))))&amp;"'", "")&amp;IF(S92&lt;&gt;"",", subType: '"&amp;IF(S92="攻撃","attack",IF(S92="行動","action",IF(S92="不定","variable",IF(S92="対応","reaction",IF(S92="全力","fullpower",IF(S92="付与","enhance",IF(S92="transform","transform","")))))))&amp;"'","")&amp;""&amp;IF(T92&lt;&gt;"",", range: '"&amp;T92&amp;"'","")&amp;IF(V92&lt;&gt;"",", damage: '"&amp;V92&amp;"'","")&amp;IF(X92&lt;&gt;"",", capacity: '"&amp;X92&amp;"'","")&amp;IF(Y92&lt;&gt;"",", growth: "&amp;Y92&amp;"","")&amp;IF(Z92&lt;&gt;"",", cost: '"&amp;Z92&amp;"'","")&amp;", text: '"&amp;SUBSTITUTE(SUBSTITUTE(AE92, CHAR(13), ""),CHAR(10),"\n")&amp;IF(AF92&lt;&gt;"", "', textAdditional: '"&amp;SUBSTITUTE(SUBSTITUTE(AF92, CHAR(13), ""),CHAR(10),"\n"), "")&amp;"', textZh: '"&amp;SUBSTITUTE(SUBSTITUTE(SUBSTITUTE(AG92, CHAR(13), ""),CHAR(10),"\n"),"'","\'")&amp;"', textZhG91: '"&amp;SUBSTITUTE(SUBSTITUTE(SUBSTITUTE(AI92, CHAR(13), ""),CHAR(10),"\n"),"'","\'")&amp;IF(AH92&lt;&gt;"", "', textZhAdditional: '"&amp;SUBSTITUTE(SUBSTITUTE(AH92, CHAR(13), ""),CHAR(10),"\n"), "")&amp;IF(AK92&lt;&gt;"", "', textZhG91Additional: '"&amp;SUBSTITUTE(SUBSTITUTE(AK92, CHAR(13), ""),CHAR(10),"\n"), "")&amp;"', textKo: '"&amp;SUBSTITUTE(SUBSTITUTE(SUBSTITUTE(AM92, CHAR(13), ""),CHAR(10),"\n"),"'","\'")&amp;IF(AM92&lt;&gt;"", "', textKoAdditional: '"&amp;SUBSTITUTE(SUBSTITUTE(AM92, CHAR(13), ""),CHAR(10),"\n"), "")&amp;"', textEn: '"&amp;SUBSTITUTE(SUBSTITUTE(SUBSTITUTE(AM92, CHAR(13), ""),CHAR(10),"\n"),"'","\'")&amp;IF(AN92&lt;&gt;"", "', textEnAdditional: '"&amp;SUBSTITUTE(SUBSTITUTE(AN92, CHAR(13), ""),CHAR(10),"\n"), "")&amp;"'"&amp;IF(AB92="○",", sealable: true","")&amp;IF(AC92="○",", removable: true","")&amp;IF(AA92="○",", lie: true","")&amp;IF(AD92="○",", investable: true","")&amp;"},")</x:f>
        <x:v>'06-yukihi-o-n-2': {megami: 'yukihi', name: 'しこみび/ねこだまし', nameEn: 'Preparation / Fake Out', nameZh: '预演 / 猫骗', nameZhG91: '匍匐/猫跳', nameKo: '숨긴 불꽃 / 손뼉치기', ruby: '', rubyEn: '', baseType: 'normal', type: 'attack', range: '5-6', damage: '1/1', text: '【攻撃後】このカードを手札に戻し、傘の開閉を行う。', textZh: '【攻击后】将此牌置入你的手牌，进行一次伞的开合操作。', textZhG91: '', textZhG91Additional: '【공격후】이 카드를 손패로 되돌리고, 우산의 개폐를 행한다.', textKo: 'After Attack: Put this card into your hand. Open your umbrella. If it was already open, close it instead.', textKoAdditional: 'After Attack: Put this card into your hand. Open your umbrella. If it was already open, close it instead.', textEn: 'After Attack: Put this card into your hand. Open your umbrella. If it was already open, close it instead.'},</x:v>
      </x:c>
      <x:c r="AU92" t="str">
        <x:f>IF($A92&lt;&gt;"", "    /** 《"&amp;$E92&amp;"》 */ export const "&amp;SUBSTITUTE(UPPER(IF(MID($A92, 3, 1)="-", RIGHT($A92,LEN($A92)-3), $A92)), "-", "_")&amp;": TCardId = '"&amp;$A92&amp;"';", "")</x:f>
        <x:v>    /** 《しこみび/ねこだまし》 */ export const YUKIHI_O_N_2: TCardId = '06-yukihi-o-n-2';</x:v>
      </x:c>
      <x:c r="AV92" t="str">
        <x:f>IF($A93&lt;&gt;"", "    | '"&amp;$A93&amp;"'", "")</x:f>
        <x:v>    | '06-yukihi-o-n-3'</x:v>
      </x:c>
    </x:row>
    <x:row r="93" ht="38" customHeight="1">
      <x:c r="A93" t="str">
        <x:v>06-yukihi-o-n-3</x:v>
      </x:c>
      <x:c r="B93" t="str">
        <x:v>yukihi</x:v>
      </x:c>
      <x:c r="C93"/>
      <x:c r="D93"/>
      <x:c r="E93" t="str">
        <x:v>ふりはらい/たぐりよせ</x:v>
      </x:c>
      <x:c r="F93"/>
      <x:c r="G93" t="str">
        <x:v>掸去 / 拖拽</x:v>
      </x:c>
      <x:c r="H93" t="str">
        <x:v>拒/引</x:v>
      </x:c>
      <x:c r="I93"/>
      <x:c r="J93" t="str">
        <x:v>떨쳐내기 / 끌어당기기</x:v>
      </x:c>
      <x:c r="K93" t="str">
        <x:v>Hidden Power / Chain Reel</x:v>
      </x:c>
      <x:c r="L93"/>
      <x:c r="M93" t="str">
        <x:v>通常札</x:v>
      </x:c>
      <x:c r="N93"/>
      <x:c r="O93"/>
      <x:c r="P93"/>
      <x:c r="Q93"/>
      <x:c r="R93" t="str">
        <x:v>攻撃</x:v>
      </x:c>
      <x:c r="S93"/>
      <x:c r="T93" t="str">
        <x:v>2-5</x:v>
      </x:c>
      <x:c r="U93" t="str">
        <x:v>0-2</x:v>
      </x:c>
      <x:c r="V93" t="str">
        <x:v>1/1</x:v>
      </x:c>
      <x:c r="W93" t="str">
        <x:v>1/1</x:v>
      </x:c>
      <x:c r="X93"/>
      <x:c r="Y93"/>
      <x:c r="Z93"/>
      <x:c r="AA93"/>
      <x:c r="AB93"/>
      <x:c r="AC93"/>
      <x:c r="AD93"/>
      <x:c r="AE93" s="438" t="str">
        <x:v>【攻撃後】間合⇔ダスト：1</x:v>
      </x:c>
      <x:c r="AF93" s="438"/>
      <x:c r="AG93" s="499" t="str">
        <x:v>【攻击后】距↔1↔虚</x:v>
      </x:c>
      <x:c r="AH93" s="438"/>
      <x:c r="AI93" s="499" t="str">
        <x:v>【攻击后】距（1）⇔ 虚 _x005F
</x:v>
      </x:c>
      <x:c r="AJ93" s="438"/>
      <x:c r="AK93" s="499" t="str">
        <x:v>【공격후】더스트⇔간격：1</x:v>
      </x:c>
      <x:c r="AL93" s="438"/>
      <x:c r="AM93" s="499" t="str">
        <x:v>After Attack: 
Distance (1)⇔ Shadow</x:v>
      </x:c>
      <x:c r="AN93" s="438"/>
      <x:c r="AO93" s="438" t="str">
        <x:v>【攻撃後】間合→ダスト：2</x:v>
      </x:c>
      <x:c r="AP93" s="499" t="str">
        <x:v>【攻击后】距→2→虚</x:v>
      </x:c>
      <x:c r="AQ93" s="499" t="str">
        <x:v>【攻击后】距（2）→虚</x:v>
      </x:c>
      <x:c r="AR93" s="499" t="str">
        <x:v>【공격후】간격→더스트：2</x:v>
      </x:c>
      <x:c r="AS93" s="499" t="str">
        <x:v>After Attack:
Distance (2)→ Shadow</x:v>
      </x:c>
      <x:c r="AT93" t="str">
        <x:f>IF(A93="", "","'"&amp;A93&amp;"': {megami: '"&amp;B93&amp;"'"&amp;IF(C93&lt;&gt;"",", anotherID: '"&amp;C93&amp;"', replace: '"&amp;D93&amp;"'","")&amp;", name: '"&amp;SUBSTITUTE(E93,"'","\'")&amp;"', nameEn: '"&amp;SUBSTITUTE(K93,"'","\'")&amp;"', nameZh: '"&amp;SUBSTITUTE(G93,"'","\'")&amp;"', nameZhG92: '"&amp;SUBSTITUTE(H93,"'","\'")&amp;"', nameKo: '"&amp;SUBSTITUTE(J93,"'","\'")&amp;"', ruby: '"&amp;F93&amp;"', rubyEn: '"&amp;L93&amp;IF(I93&lt;&gt;"", "', rubyZh: '"&amp;I93, "")&amp;"', baseType: '"&amp;IF(M93="通常札","normal",IF(M93="切札","special",IF(M93="追加札","extra",IF(M93="transform","transform",IF(M93="嵐","storm",IF(M93="兵員","troop",IF(M93="構想","plan",IF(M93="メインパーツ","mainParts",IF(M93="カスタムパーツ","customParts",IF(M93="運命","fate",IF(M93="仮想樹","virtualTree","")))))))))))&amp;"'"&amp;IF(N93="○",", extra: true","")&amp;IF(O93&lt;&gt;"",", extraFrom: '"&amp;O93&amp;"'","")&amp;IF(P93&lt;&gt;"",", exchangableTo: '"&amp;P93&amp;"'","")&amp;IF(Q93="○",", poison: true","")&amp;IF(R93&lt;&gt;"", ", type: '"&amp;IF(R93="攻撃","attack",IF(R93="行動","action",IF(R93="不定","variable",IF(R93="対応","reaction",IF(R93="全力","fullpower",IF(R93="付与","enhance",IF(R93="transform","transform","")))))))&amp;"'", "")&amp;IF(S93&lt;&gt;"",", subType: '"&amp;IF(S93="攻撃","attack",IF(S93="行動","action",IF(S93="不定","variable",IF(S93="対応","reaction",IF(S93="全力","fullpower",IF(S93="付与","enhance",IF(S93="transform","transform","")))))))&amp;"'","")&amp;""&amp;IF(T93&lt;&gt;"",", range: '"&amp;T93&amp;"'","")&amp;IF(V93&lt;&gt;"",", damage: '"&amp;V93&amp;"'","")&amp;IF(X93&lt;&gt;"",", capacity: '"&amp;X93&amp;"'","")&amp;IF(Y93&lt;&gt;"",", growth: "&amp;Y93&amp;"","")&amp;IF(Z93&lt;&gt;"",", cost: '"&amp;Z93&amp;"'","")&amp;", text: '"&amp;SUBSTITUTE(SUBSTITUTE(AE93, CHAR(13), ""),CHAR(10),"\n")&amp;IF(AF93&lt;&gt;"", "', textAdditional: '"&amp;SUBSTITUTE(SUBSTITUTE(AF93, CHAR(13), ""),CHAR(10),"\n"), "")&amp;"', textZh: '"&amp;SUBSTITUTE(SUBSTITUTE(SUBSTITUTE(AG93, CHAR(13), ""),CHAR(10),"\n"),"'","\'")&amp;"', textZhG92: '"&amp;SUBSTITUTE(SUBSTITUTE(SUBSTITUTE(AI93, CHAR(13), ""),CHAR(10),"\n"),"'","\'")&amp;IF(AH93&lt;&gt;"", "', textZhAdditional: '"&amp;SUBSTITUTE(SUBSTITUTE(AH93, CHAR(13), ""),CHAR(10),"\n"), "")&amp;IF(AK93&lt;&gt;"", "', textZhG92Additional: '"&amp;SUBSTITUTE(SUBSTITUTE(AK93, CHAR(13), ""),CHAR(10),"\n"), "")&amp;"', textKo: '"&amp;SUBSTITUTE(SUBSTITUTE(SUBSTITUTE(AM93, CHAR(13), ""),CHAR(10),"\n"),"'","\'")&amp;IF(AM93&lt;&gt;"", "', textKoAdditional: '"&amp;SUBSTITUTE(SUBSTITUTE(AM93, CHAR(13), ""),CHAR(10),"\n"), "")&amp;"', textEn: '"&amp;SUBSTITUTE(SUBSTITUTE(SUBSTITUTE(AM93, CHAR(13), ""),CHAR(10),"\n"),"'","\'")&amp;IF(AN93&lt;&gt;"", "', textEnAdditional: '"&amp;SUBSTITUTE(SUBSTITUTE(AN93, CHAR(13), ""),CHAR(10),"\n"), "")&amp;"'"&amp;IF(AB93="○",", sealable: true","")&amp;IF(AC93="○",", removable: true","")&amp;IF(AA93="○",", lie: true","")&amp;IF(AD93="○",", investable: true","")&amp;"},")</x:f>
        <x:v>'06-yukihi-o-n-3': {megami: 'yukihi', name: 'ふりはらい/たぐりよせ', nameEn: 'Hidden Power / Chain Reel', nameZh: '掸去 / 拖拽', nameZhG92: '拒/引', nameKo: '떨쳐내기 / 끌어당기기', ruby: '', rubyEn: '', baseType: 'normal', type: 'attack', range: '2-5', damage: '1/1', text: '【攻撃後】間合⇔ダスト：1', textZh: '【攻击后】距↔1↔虚', textZhG92: '【攻击后】距（1）⇔ 虚 _x005F\n', textZhG92Additional: '【공격후】더스트⇔간격：1', textKo: 'After Attack: \nDistance (1)⇔ Shadow', textKoAdditional: 'After Attack: \nDistance (1)⇔ Shadow', textEn: 'After Attack: \nDistance (1)⇔ Shadow'},</x:v>
      </x:c>
      <x:c r="AU93" t="str">
        <x:f>IF($A93&lt;&gt;"", "    /** 《"&amp;$E93&amp;"》 */ export const "&amp;SUBSTITUTE(UPPER(IF(MID($A93, 3, 1)="-", RIGHT($A93,LEN($A93)-3), $A93)), "-", "_")&amp;": TCardId = '"&amp;$A93&amp;"';", "")</x:f>
        <x:v>    /** 《ふりはらい/たぐりよせ》 */ export const YUKIHI_O_N_3: TCardId = '06-yukihi-o-n-3';</x:v>
      </x:c>
      <x:c r="AV93" t="str">
        <x:f>IF($A94&lt;&gt;"", "    | '"&amp;$A94&amp;"'", "")</x:f>
        <x:v>    | '06-yukihi-o-n-4'</x:v>
      </x:c>
    </x:row>
    <x:row r="94" ht="30" customHeight="1">
      <x:c r="A94" t="str">
        <x:v>06-yukihi-o-n-4</x:v>
      </x:c>
      <x:c r="B94" t="str">
        <x:v>yukihi</x:v>
      </x:c>
      <x:c r="C94"/>
      <x:c r="D94"/>
      <x:c r="E94" t="str">
        <x:v>ふりまわし/つきさし</x:v>
      </x:c>
      <x:c r="F94"/>
      <x:c r="G94" t="str">
        <x:v>挥舞 / 突刺</x:v>
      </x:c>
      <x:c r="H94" t="str">
        <x:v>挥舞/突刺</x:v>
      </x:c>
      <x:c r="I94"/>
      <x:c r="J94" t="str">
        <x:v>휘두르기 / 푹 찌르기</x:v>
      </x:c>
      <x:c r="K94" t="str">
        <x:v>Swing / Pierce</x:v>
      </x:c>
      <x:c r="L94"/>
      <x:c r="M94" t="str">
        <x:v>通常札</x:v>
      </x:c>
      <x:c r="N94"/>
      <x:c r="O94"/>
      <x:c r="P94"/>
      <x:c r="Q94"/>
      <x:c r="R94" t="str">
        <x:v>攻撃</x:v>
      </x:c>
      <x:c r="S94" t="str">
        <x:v>全力</x:v>
      </x:c>
      <x:c r="T94" t="str">
        <x:v>4-6</x:v>
      </x:c>
      <x:c r="U94" t="str">
        <x:v>0-2</x:v>
      </x:c>
      <x:c r="V94" t="str">
        <x:v>5/-</x:v>
      </x:c>
      <x:c r="W94" t="str">
        <x:v>-/2</x:v>
      </x:c>
      <x:c r="X94"/>
      <x:c r="Y94"/>
      <x:c r="Z94"/>
      <x:c r="AA94"/>
      <x:c r="AB94"/>
      <x:c r="AC94"/>
      <x:c r="AD94"/>
      <x:c r="AE94" s="438"/>
      <x:c r="AF94" s="438"/>
      <x:c r="AG94" s="438"/>
      <x:c r="AH94" s="438"/>
      <x:c r="AI94" s="438"/>
      <x:c r="AJ94" s="438"/>
      <x:c r="AK94" s="438"/>
      <x:c r="AL94" s="438"/>
      <x:c r="AM94" s="438"/>
      <x:c r="AN94" s="438"/>
      <x:c r="AO94" s="438"/>
      <x:c r="AP94" s="438"/>
      <x:c r="AQ94" s="438"/>
      <x:c r="AR94" s="438"/>
      <x:c r="AS94" s="438"/>
      <x:c r="AT94" t="str">
        <x:f>IF(A94="", "","'"&amp;A94&amp;"': {megami: '"&amp;B94&amp;"'"&amp;IF(C94&lt;&gt;"",", anotherID: '"&amp;C94&amp;"', replace: '"&amp;D94&amp;"'","")&amp;", name: '"&amp;SUBSTITUTE(E94,"'","\'")&amp;"', nameEn: '"&amp;SUBSTITUTE(K94,"'","\'")&amp;"', nameZh: '"&amp;SUBSTITUTE(G94,"'","\'")&amp;"', nameZhG93: '"&amp;SUBSTITUTE(H94,"'","\'")&amp;"', nameKo: '"&amp;SUBSTITUTE(J94,"'","\'")&amp;"', ruby: '"&amp;F94&amp;"', rubyEn: '"&amp;L94&amp;IF(I94&lt;&gt;"", "', rubyZh: '"&amp;I94, "")&amp;"', baseType: '"&amp;IF(M94="通常札","normal",IF(M94="切札","special",IF(M94="追加札","extra",IF(M94="transform","transform",IF(M94="嵐","storm",IF(M94="兵員","troop",IF(M94="構想","plan",IF(M94="メインパーツ","mainParts",IF(M94="カスタムパーツ","customParts",IF(M94="運命","fate",IF(M94="仮想樹","virtualTree","")))))))))))&amp;"'"&amp;IF(N94="○",", extra: true","")&amp;IF(O94&lt;&gt;"",", extraFrom: '"&amp;O94&amp;"'","")&amp;IF(P94&lt;&gt;"",", exchangableTo: '"&amp;P94&amp;"'","")&amp;IF(Q94="○",", poison: true","")&amp;IF(R94&lt;&gt;"", ", type: '"&amp;IF(R94="攻撃","attack",IF(R94="行動","action",IF(R94="不定","variable",IF(R94="対応","reaction",IF(R94="全力","fullpower",IF(R94="付与","enhance",IF(R94="transform","transform","")))))))&amp;"'", "")&amp;IF(S94&lt;&gt;"",", subType: '"&amp;IF(S94="攻撃","attack",IF(S94="行動","action",IF(S94="不定","variable",IF(S94="対応","reaction",IF(S94="全力","fullpower",IF(S94="付与","enhance",IF(S94="transform","transform","")))))))&amp;"'","")&amp;""&amp;IF(T94&lt;&gt;"",", range: '"&amp;T94&amp;"'","")&amp;IF(V94&lt;&gt;"",", damage: '"&amp;V94&amp;"'","")&amp;IF(X94&lt;&gt;"",", capacity: '"&amp;X94&amp;"'","")&amp;IF(Y94&lt;&gt;"",", growth: "&amp;Y94&amp;"","")&amp;IF(Z94&lt;&gt;"",", cost: '"&amp;Z94&amp;"'","")&amp;", text: '"&amp;SUBSTITUTE(SUBSTITUTE(AE94, CHAR(13), ""),CHAR(10),"\n")&amp;IF(AF94&lt;&gt;"", "', textAdditional: '"&amp;SUBSTITUTE(SUBSTITUTE(AF94, CHAR(13), ""),CHAR(10),"\n"), "")&amp;"', textZh: '"&amp;SUBSTITUTE(SUBSTITUTE(SUBSTITUTE(AG94, CHAR(13), ""),CHAR(10),"\n"),"'","\'")&amp;"', textZhG93: '"&amp;SUBSTITUTE(SUBSTITUTE(SUBSTITUTE(AI94, CHAR(13), ""),CHAR(10),"\n"),"'","\'")&amp;IF(AH94&lt;&gt;"", "', textZhAdditional: '"&amp;SUBSTITUTE(SUBSTITUTE(AH94, CHAR(13), ""),CHAR(10),"\n"), "")&amp;IF(AK94&lt;&gt;"", "', textZhG93Additional: '"&amp;SUBSTITUTE(SUBSTITUTE(AK94, CHAR(13), ""),CHAR(10),"\n"), "")&amp;"', textKo: '"&amp;SUBSTITUTE(SUBSTITUTE(SUBSTITUTE(AM94, CHAR(13), ""),CHAR(10),"\n"),"'","\'")&amp;IF(AM94&lt;&gt;"", "', textKoAdditional: '"&amp;SUBSTITUTE(SUBSTITUTE(AM94, CHAR(13), ""),CHAR(10),"\n"), "")&amp;"', textEn: '"&amp;SUBSTITUTE(SUBSTITUTE(SUBSTITUTE(AM94, CHAR(13), ""),CHAR(10),"\n"),"'","\'")&amp;IF(AN94&lt;&gt;"", "', textEnAdditional: '"&amp;SUBSTITUTE(SUBSTITUTE(AN94, CHAR(13), ""),CHAR(10),"\n"), "")&amp;"'"&amp;IF(AB94="○",", sealable: true","")&amp;IF(AC94="○",", removable: true","")&amp;IF(AA94="○",", lie: true","")&amp;IF(AD94="○",", investable: true","")&amp;"},")</x:f>
        <x:v>'06-yukihi-o-n-4': {megami: 'yukihi', name: 'ふりまわし/つきさし', nameEn: 'Swing / Pierce', nameZh: '挥舞 / 突刺', nameZhG93: '挥舞/突刺', nameKo: '휘두르기 / 푹 찌르기', ruby: '', rubyEn: '', baseType: 'normal', type: 'attack', subType: 'fullpower', range: '4-6', damage: '5/-', text: '', textZh: '', textZhG93: '', textKo: '', textEn: ''},</x:v>
      </x:c>
      <x:c r="AU94" t="str">
        <x:f>IF($A94&lt;&gt;"", "    /** 《"&amp;$E94&amp;"》 */ export const "&amp;SUBSTITUTE(UPPER(IF(MID($A94, 3, 1)="-", RIGHT($A94,LEN($A94)-3), $A94)), "-", "_")&amp;": TCardId = '"&amp;$A94&amp;"';", "")</x:f>
        <x:v>    /** 《ふりまわし/つきさし》 */ export const YUKIHI_O_N_4: TCardId = '06-yukihi-o-n-4';</x:v>
      </x:c>
      <x:c r="AV94" t="str">
        <x:f>IF($A95&lt;&gt;"", "    | '"&amp;$A95&amp;"'", "")</x:f>
        <x:v>    | '06-yukihi-o-n-5'</x:v>
      </x:c>
    </x:row>
    <x:row r="95" ht="83" customHeight="1">
      <x:c r="A95" t="str">
        <x:v>06-yukihi-o-n-5</x:v>
      </x:c>
      <x:c r="B95" t="str">
        <x:v>yukihi</x:v>
      </x:c>
      <x:c r="C95"/>
      <x:c r="D95"/>
      <x:c r="E95" t="str">
        <x:v>かさまわし</x:v>
      </x:c>
      <x:c r="F95"/>
      <x:c r="G95" t="str">
        <x:v>舞伞</x:v>
      </x:c>
      <x:c r="H95" t="str">
        <x:v>伞飞转</x:v>
      </x:c>
      <x:c r="I95"/>
      <x:c r="J95" t="str">
        <x:v>우산 돌리기</x:v>
      </x:c>
      <x:c r="K95" t="str">
        <x:v>Wield</x:v>
      </x:c>
      <x:c r="L95"/>
      <x:c r="M95" t="str">
        <x:v>通常札</x:v>
      </x:c>
      <x:c r="N95"/>
      <x:c r="O95"/>
      <x:c r="P95"/>
      <x:c r="Q95"/>
      <x:c r="R95" t="str">
        <x:v>行動</x:v>
      </x:c>
      <x:c r="S95"/>
      <x:c r="T95"/>
      <x:c r="U95"/>
      <x:c r="V95"/>
      <x:c r="W95"/>
      <x:c r="X95"/>
      <x:c r="Y95"/>
      <x:c r="Z95"/>
      <x:c r="AA95"/>
      <x:c r="AB95"/>
      <x:c r="AC95"/>
      <x:c r="AD95"/>
      <x:c r="AE95" s="438" t="str">
        <x:v>傘の開閉を行う。その後、ダスト→自オーラ：1
【常時】あなたが傘の開閉を行った時、このカードを手札から公開してもよい。そうした場合、
ダスト→自オーラ：1</x:v>
      </x:c>
      <x:c r="AF95" s="438"/>
      <x:c r="AG95" s="499" t="str">
        <x:v>进行伞的开合操作。之后：虚→1→自装
【常时】当你进行伞的开合操作时，你可以从手牌中展示此牌。若如此做，则：虚→1→自装</x:v>
      </x:c>
      <x:c r="AH95" s="438"/>
      <x:c r="AI95" s="438"/>
      <x:c r="AJ95" s="438"/>
      <x:c r="AK95" s="499" t="str">
        <x:v>우산의 개폐를 수행한다. 그 후,
더스트→오라(자신):1
 【상시】당신이 우산의 개폐를 행했을 때, 이 카드를 손패에서 공개해도 좋다. 그럴 경우, 더스트→자신 오라：1</x:v>
      </x:c>
      <x:c r="AL95" s="438"/>
      <x:c r="AM95" s="499" t="str">
        <x:v>○○○
Forced: Whenever you open or close your umbrella, you may reveal this card from your hand and:
Shadow (1)→ Your Aura</x:v>
      </x:c>
      <x:c r="AN95" s="438"/>
      <x:c r="AO95" s="438"/>
      <x:c r="AP95" s="438"/>
      <x:c r="AQ95" s="438"/>
      <x:c r="AR95" s="438"/>
      <x:c r="AS95" s="438"/>
      <x:c r="AT95" t="str">
        <x:f>IF(A95="", "","'"&amp;A95&amp;"': {megami: '"&amp;B95&amp;"'"&amp;IF(C95&lt;&gt;"",", anotherID: '"&amp;C95&amp;"', replace: '"&amp;D95&amp;"'","")&amp;", name: '"&amp;SUBSTITUTE(E95,"'","\'")&amp;"', nameEn: '"&amp;SUBSTITUTE(K95,"'","\'")&amp;"', nameZh: '"&amp;SUBSTITUTE(G95,"'","\'")&amp;"', nameZhG94: '"&amp;SUBSTITUTE(H95,"'","\'")&amp;"', nameKo: '"&amp;SUBSTITUTE(J95,"'","\'")&amp;"', ruby: '"&amp;F95&amp;"', rubyEn: '"&amp;L95&amp;IF(I95&lt;&gt;"", "', rubyZh: '"&amp;I95, "")&amp;"', baseType: '"&amp;IF(M95="通常札","normal",IF(M95="切札","special",IF(M95="追加札","extra",IF(M95="transform","transform",IF(M95="嵐","storm",IF(M95="兵員","troop",IF(M95="構想","plan",IF(M95="メインパーツ","mainParts",IF(M95="カスタムパーツ","customParts",IF(M95="運命","fate",IF(M95="仮想樹","virtualTree","")))))))))))&amp;"'"&amp;IF(N95="○",", extra: true","")&amp;IF(O95&lt;&gt;"",", extraFrom: '"&amp;O95&amp;"'","")&amp;IF(P95&lt;&gt;"",", exchangableTo: '"&amp;P95&amp;"'","")&amp;IF(Q95="○",", poison: true","")&amp;IF(R95&lt;&gt;"", ", type: '"&amp;IF(R95="攻撃","attack",IF(R95="行動","action",IF(R95="不定","variable",IF(R95="対応","reaction",IF(R95="全力","fullpower",IF(R95="付与","enhance",IF(R95="transform","transform","")))))))&amp;"'", "")&amp;IF(S95&lt;&gt;"",", subType: '"&amp;IF(S95="攻撃","attack",IF(S95="行動","action",IF(S95="不定","variable",IF(S95="対応","reaction",IF(S95="全力","fullpower",IF(S95="付与","enhance",IF(S95="transform","transform","")))))))&amp;"'","")&amp;""&amp;IF(T95&lt;&gt;"",", range: '"&amp;T95&amp;"'","")&amp;IF(V95&lt;&gt;"",", damage: '"&amp;V95&amp;"'","")&amp;IF(X95&lt;&gt;"",", capacity: '"&amp;X95&amp;"'","")&amp;IF(Y95&lt;&gt;"",", growth: "&amp;Y95&amp;"","")&amp;IF(Z95&lt;&gt;"",", cost: '"&amp;Z95&amp;"'","")&amp;", text: '"&amp;SUBSTITUTE(SUBSTITUTE(AE95, CHAR(13), ""),CHAR(10),"\n")&amp;IF(AF95&lt;&gt;"", "', textAdditional: '"&amp;SUBSTITUTE(SUBSTITUTE(AF95, CHAR(13), ""),CHAR(10),"\n"), "")&amp;"', textZh: '"&amp;SUBSTITUTE(SUBSTITUTE(SUBSTITUTE(AG95, CHAR(13), ""),CHAR(10),"\n"),"'","\'")&amp;"', textZhG94: '"&amp;SUBSTITUTE(SUBSTITUTE(SUBSTITUTE(AI95, CHAR(13), ""),CHAR(10),"\n"),"'","\'")&amp;IF(AH95&lt;&gt;"", "', textZhAdditional: '"&amp;SUBSTITUTE(SUBSTITUTE(AH95, CHAR(13), ""),CHAR(10),"\n"), "")&amp;IF(AK95&lt;&gt;"", "', textZhG94Additional: '"&amp;SUBSTITUTE(SUBSTITUTE(AK95, CHAR(13), ""),CHAR(10),"\n"), "")&amp;"', textKo: '"&amp;SUBSTITUTE(SUBSTITUTE(SUBSTITUTE(AM95, CHAR(13), ""),CHAR(10),"\n"),"'","\'")&amp;IF(AM95&lt;&gt;"", "', textKoAdditional: '"&amp;SUBSTITUTE(SUBSTITUTE(AM95, CHAR(13), ""),CHAR(10),"\n"), "")&amp;"', textEn: '"&amp;SUBSTITUTE(SUBSTITUTE(SUBSTITUTE(AM95, CHAR(13), ""),CHAR(10),"\n"),"'","\'")&amp;IF(AN95&lt;&gt;"", "', textEnAdditional: '"&amp;SUBSTITUTE(SUBSTITUTE(AN95, CHAR(13), ""),CHAR(10),"\n"), "")&amp;"'"&amp;IF(AB95="○",", sealable: true","")&amp;IF(AC95="○",", removable: true","")&amp;IF(AA95="○",", lie: true","")&amp;IF(AD95="○",", investable: true","")&amp;"},")</x:f>
        <x:v>'06-yukihi-o-n-5': {megami: 'yukihi', name: 'かさまわし', nameEn: 'Wield', nameZh: '舞伞', nameZhG94: '伞飞转', nameKo: '우산 돌리기', ruby: '', rubyEn: '', baseType: 'normal', type: 'action', text: '傘の開閉を行う。その後、ダスト→自オーラ：1\n【常時】あなたが傘の開閉を行った時、このカードを手札から公開してもよい。そうした場合、\nダスト→自オーラ：1', textZh: '进行伞的开合操作。之后：虚→1→自装\n\n【常时】当你进行伞的开合操作时，你可以从手牌中展示此牌。若如此做，则：虚→1→自装', textZhG94: '', textZhG94Additional: '우산의 개폐를 수행한다. 그 후,\n더스트→오라(자신):1\n\n 【상시】당신이 우산의 개폐를 행했을 때, 이 카드를 손패에서 공개해도 좋다. 그럴 경우, 더스트→자신 오라：1', textKo: '○○○\n\nForced: Whenever you open or close your umbrella, you may reveal this card from your hand and:\nShadow (1)→ Your Aura', textKoAdditional: '○○○\n\nForced: Whenever you open or close your umbrella, you may reveal this card from your hand and:\nShadow (1)→ Your Aura', textEn: '○○○\n\nForced: Whenever you open or close your umbrella, you may reveal this card from your hand and:\nShadow (1)→ Your Aura'},</x:v>
      </x:c>
      <x:c r="AU95" t="str">
        <x:f>IF($A95&lt;&gt;"", "    /** 《"&amp;$E95&amp;"》 */ export const "&amp;SUBSTITUTE(UPPER(IF(MID($A95, 3, 1)="-", RIGHT($A95,LEN($A95)-3), $A95)), "-", "_")&amp;": TCardId = '"&amp;$A95&amp;"';", "")</x:f>
        <x:v>    /** 《かさまわし》 */ export const YUKIHI_O_N_5: TCardId = '06-yukihi-o-n-5';</x:v>
      </x:c>
      <x:c r="AV95" t="str">
        <x:f>IF($A96&lt;&gt;"", "    | '"&amp;$A96&amp;"'", "")</x:f>
        <x:v>    | '06-yukihi-o-n-6'</x:v>
      </x:c>
    </x:row>
    <x:row r="96" ht="38" customHeight="1">
      <x:c r="A96" t="str">
        <x:v>06-yukihi-o-n-6</x:v>
      </x:c>
      <x:c r="B96" t="str">
        <x:v>yukihi</x:v>
      </x:c>
      <x:c r="C96"/>
      <x:c r="D96"/>
      <x:c r="E96" t="str">
        <x:v>ひきあし/もぐりこみ</x:v>
      </x:c>
      <x:c r="F96"/>
      <x:c r="G96" t="str">
        <x:v>撤步 / 潜进</x:v>
      </x:c>
      <x:c r="H96" t="str">
        <x:v>闪回/潜进</x:v>
      </x:c>
      <x:c r="I96"/>
      <x:c r="J96" t="str">
        <x:v>뒷걸음질 / 파고들기</x:v>
      </x:c>
      <x:c r="K96" t="str">
        <x:v>Pull Back / Advance</x:v>
      </x:c>
      <x:c r="L96"/>
      <x:c r="M96" t="str">
        <x:v>通常札</x:v>
      </x:c>
      <x:c r="N96"/>
      <x:c r="O96"/>
      <x:c r="P96"/>
      <x:c r="Q96"/>
      <x:c r="R96" t="str">
        <x:v>行動</x:v>
      </x:c>
      <x:c r="S96" t="str">
        <x:v>対応</x:v>
      </x:c>
      <x:c r="T96"/>
      <x:c r="U96"/>
      <x:c r="V96"/>
      <x:c r="W96" t="str">
        <x:v>-/-</x:v>
      </x:c>
      <x:c r="X96"/>
      <x:c r="Y96"/>
      <x:c r="Z96"/>
      <x:c r="AA96"/>
      <x:c r="AB96"/>
      <x:c r="AC96"/>
      <x:c r="AD96"/>
      <x:c r="AE96" s="438" t="str">
        <x:v>ダスト→間合：1</x:v>
      </x:c>
      <x:c r="AF96" s="438"/>
      <x:c r="AG96" s="499" t="str">
        <x:v>虚→1→距</x:v>
      </x:c>
      <x:c r="AH96" s="438"/>
      <x:c r="AI96" s="499" t="str">
        <x:v>虚（1）→距 
</x:v>
      </x:c>
      <x:c r="AJ96" s="438"/>
      <x:c r="AK96" s="499" t="str">
        <x:v>더스트→간격：1</x:v>
      </x:c>
      <x:c r="AL96" s="438"/>
      <x:c r="AM96" s="499" t="str">
        <x:v>Shadow (1)→ Distance</x:v>
      </x:c>
      <x:c r="AN96" s="438"/>
      <x:c r="AO96" s="438" t="str">
        <x:v>間合→ダスト：1</x:v>
      </x:c>
      <x:c r="AP96" s="499" t="str">
        <x:v>距→1→虚</x:v>
      </x:c>
      <x:c r="AQ96" s="499" t="str">
        <x:v>距（1）→虚</x:v>
      </x:c>
      <x:c r="AR96" s="499" t="str">
        <x:v>간격→더스트：1</x:v>
      </x:c>
      <x:c r="AS96" s="499" t="str">
        <x:v>Distance (1)→ Shadow</x:v>
      </x:c>
      <x:c r="AT96" t="str">
        <x:f>IF(A96="", "","'"&amp;A96&amp;"': {megami: '"&amp;B96&amp;"'"&amp;IF(C96&lt;&gt;"",", anotherID: '"&amp;C96&amp;"', replace: '"&amp;D96&amp;"'","")&amp;", name: '"&amp;SUBSTITUTE(E96,"'","\'")&amp;"', nameEn: '"&amp;SUBSTITUTE(K96,"'","\'")&amp;"', nameZh: '"&amp;SUBSTITUTE(G96,"'","\'")&amp;"', nameZhG95: '"&amp;SUBSTITUTE(H96,"'","\'")&amp;"', nameKo: '"&amp;SUBSTITUTE(J96,"'","\'")&amp;"', ruby: '"&amp;F96&amp;"', rubyEn: '"&amp;L96&amp;IF(I96&lt;&gt;"", "', rubyZh: '"&amp;I96, "")&amp;"', baseType: '"&amp;IF(M96="通常札","normal",IF(M96="切札","special",IF(M96="追加札","extra",IF(M96="transform","transform",IF(M96="嵐","storm",IF(M96="兵員","troop",IF(M96="構想","plan",IF(M96="メインパーツ","mainParts",IF(M96="カスタムパーツ","customParts",IF(M96="運命","fate",IF(M96="仮想樹","virtualTree","")))))))))))&amp;"'"&amp;IF(N96="○",", extra: true","")&amp;IF(O96&lt;&gt;"",", extraFrom: '"&amp;O96&amp;"'","")&amp;IF(P96&lt;&gt;"",", exchangableTo: '"&amp;P96&amp;"'","")&amp;IF(Q96="○",", poison: true","")&amp;IF(R96&lt;&gt;"", ", type: '"&amp;IF(R96="攻撃","attack",IF(R96="行動","action",IF(R96="不定","variable",IF(R96="対応","reaction",IF(R96="全力","fullpower",IF(R96="付与","enhance",IF(R96="transform","transform","")))))))&amp;"'", "")&amp;IF(S96&lt;&gt;"",", subType: '"&amp;IF(S96="攻撃","attack",IF(S96="行動","action",IF(S96="不定","variable",IF(S96="対応","reaction",IF(S96="全力","fullpower",IF(S96="付与","enhance",IF(S96="transform","transform","")))))))&amp;"'","")&amp;""&amp;IF(T96&lt;&gt;"",", range: '"&amp;T96&amp;"'","")&amp;IF(V96&lt;&gt;"",", damage: '"&amp;V96&amp;"'","")&amp;IF(X96&lt;&gt;"",", capacity: '"&amp;X96&amp;"'","")&amp;IF(Y96&lt;&gt;"",", growth: "&amp;Y96&amp;"","")&amp;IF(Z96&lt;&gt;"",", cost: '"&amp;Z96&amp;"'","")&amp;", text: '"&amp;SUBSTITUTE(SUBSTITUTE(AE96, CHAR(13), ""),CHAR(10),"\n")&amp;IF(AF96&lt;&gt;"", "', textAdditional: '"&amp;SUBSTITUTE(SUBSTITUTE(AF96, CHAR(13), ""),CHAR(10),"\n"), "")&amp;"', textZh: '"&amp;SUBSTITUTE(SUBSTITUTE(SUBSTITUTE(AG96, CHAR(13), ""),CHAR(10),"\n"),"'","\'")&amp;"', textZhG95: '"&amp;SUBSTITUTE(SUBSTITUTE(SUBSTITUTE(AI96, CHAR(13), ""),CHAR(10),"\n"),"'","\'")&amp;IF(AH96&lt;&gt;"", "', textZhAdditional: '"&amp;SUBSTITUTE(SUBSTITUTE(AH96, CHAR(13), ""),CHAR(10),"\n"), "")&amp;IF(AK96&lt;&gt;"", "', textZhG95Additional: '"&amp;SUBSTITUTE(SUBSTITUTE(AK96, CHAR(13), ""),CHAR(10),"\n"), "")&amp;"', textKo: '"&amp;SUBSTITUTE(SUBSTITUTE(SUBSTITUTE(AM96, CHAR(13), ""),CHAR(10),"\n"),"'","\'")&amp;IF(AM96&lt;&gt;"", "', textKoAdditional: '"&amp;SUBSTITUTE(SUBSTITUTE(AM96, CHAR(13), ""),CHAR(10),"\n"), "")&amp;"', textEn: '"&amp;SUBSTITUTE(SUBSTITUTE(SUBSTITUTE(AM96, CHAR(13), ""),CHAR(10),"\n"),"'","\'")&amp;IF(AN96&lt;&gt;"", "', textEnAdditional: '"&amp;SUBSTITUTE(SUBSTITUTE(AN96, CHAR(13), ""),CHAR(10),"\n"), "")&amp;"'"&amp;IF(AB96="○",", sealable: true","")&amp;IF(AC96="○",", removable: true","")&amp;IF(AA96="○",", lie: true","")&amp;IF(AD96="○",", investable: true","")&amp;"},")</x:f>
        <x:v>'06-yukihi-o-n-6': {megami: 'yukihi', name: 'ひきあし/もぐりこみ', nameEn: 'Pull Back / Advance', nameZh: '撤步 / 潜进', nameZhG95: '闪回/潜进', nameKo: '뒷걸음질 / 파고들기', ruby: '', rubyEn: '', baseType: 'normal', type: 'action', subType: 'reaction', text: 'ダスト→間合：1', textZh: '虚→1→距', textZhG95: '虚（1）→距 \n', textZhG95Additional: '더스트→간격：1', textKo: 'Shadow (1)→ Distance', textKoAdditional: 'Shadow (1)→ Distance', textEn: 'Shadow (1)→ Distance'},</x:v>
      </x:c>
      <x:c r="AU96" t="str">
        <x:f>IF($A96&lt;&gt;"", "    /** 《"&amp;$E96&amp;"》 */ export const "&amp;SUBSTITUTE(UPPER(IF(MID($A96, 3, 1)="-", RIGHT($A96,LEN($A96)-3), $A96)), "-", "_")&amp;": TCardId = '"&amp;$A96&amp;"';", "")</x:f>
        <x:v>    /** 《ひきあし/もぐりこみ》 */ export const YUKIHI_O_N_6: TCardId = '06-yukihi-o-n-6';</x:v>
      </x:c>
      <x:c r="AV96" t="str">
        <x:f>IF($A97&lt;&gt;"", "    | '"&amp;$A97&amp;"'", "")</x:f>
        <x:v>    | '06-yukihi-o-n-7'</x:v>
      </x:c>
    </x:row>
    <x:row r="97" ht="128" customHeight="1">
      <x:c r="A97" t="str">
        <x:v>06-yukihi-o-n-7</x:v>
      </x:c>
      <x:c r="B97" t="str">
        <x:v>yukihi</x:v>
      </x:c>
      <x:c r="C97"/>
      <x:c r="D97"/>
      <x:c r="E97" t="str">
        <x:v>えんむすび</x:v>
      </x:c>
      <x:c r="F97"/>
      <x:c r="G97" t="str">
        <x:v>结缘</x:v>
      </x:c>
      <x:c r="H97" t="str">
        <x:v>结缘</x:v>
      </x:c>
      <x:c r="I97"/>
      <x:c r="J97" t="str">
        <x:v>인연 맺기</x:v>
      </x:c>
      <x:c r="K97" t="str">
        <x:v>Bind</x:v>
      </x:c>
      <x:c r="L97"/>
      <x:c r="M97" t="str">
        <x:v>通常札</x:v>
      </x:c>
      <x:c r="N97"/>
      <x:c r="O97"/>
      <x:c r="P97"/>
      <x:c r="Q97"/>
      <x:c r="R97" t="str">
        <x:v>付与</x:v>
      </x:c>
      <x:c r="S97"/>
      <x:c r="T97"/>
      <x:c r="U97"/>
      <x:c r="V97"/>
      <x:c r="W97"/>
      <x:c r="X97" t="n">
        <x:v>2</x:v>
      </x:c>
      <x:c r="Y97"/>
      <x:c r="Z97"/>
      <x:c r="AA97"/>
      <x:c r="AB97"/>
      <x:c r="AC97"/>
      <x:c r="AD97"/>
      <x:c r="AE97" s="438" t="str">
        <x:v>【展開時】間合→ダスト：1
【破棄時】ダスト→間合：1
【常時】あなたの傘が開いているならば、このカードの矢印は逆になる。</x:v>
      </x:c>
      <x:c r="AF97" s="438"/>
      <x:c r="AG97" s="499" t="str">
        <x:v>【展开时】距→1→虚 
【破弃时】虚→1→距 
【常时】若伞面处于开伞状态，则此牌效果中所有的箭头反向。</x:v>
      </x:c>
      <x:c r="AH97" s="438"/>
      <x:c r="AI97" s="499" t="str">
        <x:v>【展开时】距（1）→虚 
【破弃时】虚（1）→距 
【常时】当伞面处于开伞状态时，此牌效果中所有的箭头反向。</x:v>
      </x:c>
      <x:c r="AJ97" s="438"/>
      <x:c r="AK97" s="499" t="str">
        <x:v>【전개시】간격→더스트：1 
 【파기시】더스트→간격：1 
 【상시】당신의 우산이 펴져있다면、이 카드의 화살표(→)는 반대가 된다.</x:v>
      </x:c>
      <x:c r="AL97" s="438"/>
      <x:c r="AM97" s="499" t="str">
        <x:v>Initialize:
Distance (1)→ Shadow
Disenchant:
Shadow (1)→ Distance
Forced: If your umbrella is open, the arrows on this card are reversed.</x:v>
      </x:c>
      <x:c r="AN97" s="438"/>
      <x:c r="AO97" s="438"/>
      <x:c r="AP97" s="438"/>
      <x:c r="AQ97" s="438"/>
      <x:c r="AR97" s="438"/>
      <x:c r="AS97" s="438"/>
      <x:c r="AT97" t="str">
        <x:f>IF(A97="", "","'"&amp;A97&amp;"': {megami: '"&amp;B97&amp;"'"&amp;IF(C97&lt;&gt;"",", anotherID: '"&amp;C97&amp;"', replace: '"&amp;D97&amp;"'","")&amp;", name: '"&amp;SUBSTITUTE(E97,"'","\'")&amp;"', nameEn: '"&amp;SUBSTITUTE(K97,"'","\'")&amp;"', nameZh: '"&amp;SUBSTITUTE(G97,"'","\'")&amp;"', nameZhG96: '"&amp;SUBSTITUTE(H97,"'","\'")&amp;"', nameKo: '"&amp;SUBSTITUTE(J97,"'","\'")&amp;"', ruby: '"&amp;F97&amp;"', rubyEn: '"&amp;L97&amp;IF(I97&lt;&gt;"", "', rubyZh: '"&amp;I97, "")&amp;"', baseType: '"&amp;IF(M97="通常札","normal",IF(M97="切札","special",IF(M97="追加札","extra",IF(M97="transform","transform",IF(M97="嵐","storm",IF(M97="兵員","troop",IF(M97="構想","plan",IF(M97="メインパーツ","mainParts",IF(M97="カスタムパーツ","customParts",IF(M97="運命","fate",IF(M97="仮想樹","virtualTree","")))))))))))&amp;"'"&amp;IF(N97="○",", extra: true","")&amp;IF(O97&lt;&gt;"",", extraFrom: '"&amp;O97&amp;"'","")&amp;IF(P97&lt;&gt;"",", exchangableTo: '"&amp;P97&amp;"'","")&amp;IF(Q97="○",", poison: true","")&amp;IF(R97&lt;&gt;"", ", type: '"&amp;IF(R97="攻撃","attack",IF(R97="行動","action",IF(R97="不定","variable",IF(R97="対応","reaction",IF(R97="全力","fullpower",IF(R97="付与","enhance",IF(R97="transform","transform","")))))))&amp;"'", "")&amp;IF(S97&lt;&gt;"",", subType: '"&amp;IF(S97="攻撃","attack",IF(S97="行動","action",IF(S97="不定","variable",IF(S97="対応","reaction",IF(S97="全力","fullpower",IF(S97="付与","enhance",IF(S97="transform","transform","")))))))&amp;"'","")&amp;""&amp;IF(T97&lt;&gt;"",", range: '"&amp;T97&amp;"'","")&amp;IF(V97&lt;&gt;"",", damage: '"&amp;V97&amp;"'","")&amp;IF(X97&lt;&gt;"",", capacity: '"&amp;X97&amp;"'","")&amp;IF(Y97&lt;&gt;"",", growth: "&amp;Y97&amp;"","")&amp;IF(Z97&lt;&gt;"",", cost: '"&amp;Z97&amp;"'","")&amp;", text: '"&amp;SUBSTITUTE(SUBSTITUTE(AE97, CHAR(13), ""),CHAR(10),"\n")&amp;IF(AF97&lt;&gt;"", "', textAdditional: '"&amp;SUBSTITUTE(SUBSTITUTE(AF97, CHAR(13), ""),CHAR(10),"\n"), "")&amp;"', textZh: '"&amp;SUBSTITUTE(SUBSTITUTE(SUBSTITUTE(AG97, CHAR(13), ""),CHAR(10),"\n"),"'","\'")&amp;"', textZhG96: '"&amp;SUBSTITUTE(SUBSTITUTE(SUBSTITUTE(AI97, CHAR(13), ""),CHAR(10),"\n"),"'","\'")&amp;IF(AH97&lt;&gt;"", "', textZhAdditional: '"&amp;SUBSTITUTE(SUBSTITUTE(AH97, CHAR(13), ""),CHAR(10),"\n"), "")&amp;IF(AK97&lt;&gt;"", "', textZhG96Additional: '"&amp;SUBSTITUTE(SUBSTITUTE(AK97, CHAR(13), ""),CHAR(10),"\n"), "")&amp;"', textKo: '"&amp;SUBSTITUTE(SUBSTITUTE(SUBSTITUTE(AM97, CHAR(13), ""),CHAR(10),"\n"),"'","\'")&amp;IF(AM97&lt;&gt;"", "', textKoAdditional: '"&amp;SUBSTITUTE(SUBSTITUTE(AM97, CHAR(13), ""),CHAR(10),"\n"), "")&amp;"', textEn: '"&amp;SUBSTITUTE(SUBSTITUTE(SUBSTITUTE(AM97, CHAR(13), ""),CHAR(10),"\n"),"'","\'")&amp;IF(AN97&lt;&gt;"", "', textEnAdditional: '"&amp;SUBSTITUTE(SUBSTITUTE(AN97, CHAR(13), ""),CHAR(10),"\n"), "")&amp;"'"&amp;IF(AB97="○",", sealable: true","")&amp;IF(AC97="○",", removable: true","")&amp;IF(AA97="○",", lie: true","")&amp;IF(AD97="○",", investable: true","")&amp;"},")</x:f>
        <x:v>'06-yukihi-o-n-7': {megami: 'yukihi', name: 'えんむすび', nameEn: 'Bind', nameZh: '结缘', nameZhG96: '结缘', nameKo: '인연 맺기', ruby: '', rubyEn: '', baseType: 'normal', type: 'enhance', capacity: '2', text: '【展開時】間合→ダスト：1\n【破棄時】ダスト→間合：1\n【常時】あなたの傘が開いているならば、このカードの矢印は逆になる。', textZh: '【展开时】距→1→虚 \n【破弃时】虚→1→距 \n【常时】若伞面处于开伞状态，则此牌效果中所有的箭头反向。', textZhG96: '【展开时】距（1）→虚 \n【破弃时】虚（1）→距 \n【常时】当伞面处于开伞状态时，此牌效果中所有的箭头反向。', textZhG96Additional: '【전개시】간격→더스트：1 \n 【파기시】더스트→간격：1 \n 【상시】당신의 우산이 펴져있다면、이 카드의 화살표(→)는 반대가 된다.', textKo: 'Initialize:\nDistance (1)→ Shadow\n\nDisenchant:\nShadow (1)→ Distance\n\nForced: If your umbrella is open, the arrows on this card are reversed.', textKoAdditional: 'Initialize:\nDistance (1)→ Shadow\n\nDisenchant:\nShadow (1)→ Distance\n\nForced: If your umbrella is open, the arrows on this card are reversed.', textEn: 'Initialize:\nDistance (1)→ Shadow\n\nDisenchant:\nShadow (1)→ Distance\n\nForced: If your umbrella is open, the arrows on this card are reversed.'},</x:v>
      </x:c>
      <x:c r="AU97" t="str">
        <x:f>IF($A97&lt;&gt;"", "    /** 《"&amp;$E97&amp;"》 */ export const "&amp;SUBSTITUTE(UPPER(IF(MID($A97, 3, 1)="-", RIGHT($A97,LEN($A97)-3), $A97)), "-", "_")&amp;": TCardId = '"&amp;$A97&amp;"';", "")</x:f>
        <x:v>    /** 《えんむすび》 */ export const YUKIHI_O_N_7: TCardId = '06-yukihi-o-n-7';</x:v>
      </x:c>
      <x:c r="AV97" t="str">
        <x:f>IF($A98&lt;&gt;"", "    | '"&amp;$A98&amp;"'", "")</x:f>
        <x:v>    | '06-yukihi-o-s-1'</x:v>
      </x:c>
    </x:row>
    <x:row r="98" ht="53" customHeight="1">
      <x:c r="A98" t="str">
        <x:v>06-yukihi-o-s-1</x:v>
      </x:c>
      <x:c r="B98" t="str">
        <x:v>yukihi</x:v>
      </x:c>
      <x:c r="C98"/>
      <x:c r="D98"/>
      <x:c r="E98" t="str">
        <x:v>はらりゆき</x:v>
      </x:c>
      <x:c r="F98"/>
      <x:c r="G98" t="str">
        <x:v>纷扬如雪</x:v>
      </x:c>
      <x:c r="H98" t="str">
        <x:v>纷扬如雪</x:v>
      </x:c>
      <x:c r="I98"/>
      <x:c r="J98" t="str">
        <x:v>흩날리는 눈꽃</x:v>
      </x:c>
      <x:c r="K98" t="str">
        <x:v>Gentle Snow</x:v>
      </x:c>
      <x:c r="L98"/>
      <x:c r="M98" t="str">
        <x:v>切札</x:v>
      </x:c>
      <x:c r="N98"/>
      <x:c r="O98"/>
      <x:c r="P98"/>
      <x:c r="Q98"/>
      <x:c r="R98" t="str">
        <x:v>攻撃</x:v>
      </x:c>
      <x:c r="S98"/>
      <x:c r="T98" t="str">
        <x:v>4-5</x:v>
      </x:c>
      <x:c r="U98" t="str">
        <x:v>0-2</x:v>
      </x:c>
      <x:c r="V98" t="str">
        <x:v>3/1</x:v>
      </x:c>
      <x:c r="W98" t="str">
        <x:v>0/0</x:v>
      </x:c>
      <x:c r="X98"/>
      <x:c r="Y98"/>
      <x:c r="Z98" t="n">
        <x:v>2</x:v>
      </x:c>
      <x:c r="AA98"/>
      <x:c r="AB98"/>
      <x:c r="AC98"/>
      <x:c r="AD98"/>
      <x:c r="AE98" s="438" t="str">
        <x:v>【攻撃後】あなたは集中力を1得る。
即再起:あなたが傘の開閉を行う。</x:v>
      </x:c>
      <x:c r="AF98" s="438"/>
      <x:c r="AG98" s="499" t="str">
        <x:v>【攻击后】你获得1点集中力。</x:v>
      </x:c>
      <x:c r="AH98" s="438"/>
      <x:c r="AI98" s="499" t="str">
        <x:v>【攻击后】你获得1点集中力。</x:v>
      </x:c>
      <x:c r="AJ98" s="438"/>
      <x:c r="AK98" s="499" t="str">
        <x:v>【공격후】당신은 집중력을 1 얻는다.</x:v>
      </x:c>
      <x:c r="AL98" s="438"/>
      <x:c r="AM98" s="499" t="str">
        <x:v>After Attack: Gain 1 Vigor.</x:v>
      </x:c>
      <x:c r="AN98" s="438"/>
      <x:c r="AO98" s="438" t="str">
        <x:v>即再起:あなたが傘の開閉を行う。</x:v>
      </x:c>
      <x:c r="AP98" s="499" t="str">
        <x:v>----
【即再起】进行了伞的开合操作。</x:v>
      </x:c>
      <x:c r="AQ98" s="499" t="str">
        <x:v>无 
----
【即再起】进行伞的开合操作</x:v>
      </x:c>
      <x:c r="AR98" s="499" t="str">
        <x:v>----
【즉재기】당신이 우산의 개폐를 행한다.</x:v>
      </x:c>
      <x:c r="AS98" s="499" t="str">
        <x:v>----
Immediate Resurgence: You open or close your umbrella.</x:v>
      </x:c>
      <x:c r="AT98" t="str">
        <x:f>IF(A98="", "","'"&amp;A98&amp;"': {megami: '"&amp;B98&amp;"'"&amp;IF(C98&lt;&gt;"",", anotherID: '"&amp;C98&amp;"', replace: '"&amp;D98&amp;"'","")&amp;", name: '"&amp;SUBSTITUTE(E98,"'","\'")&amp;"', nameEn: '"&amp;SUBSTITUTE(K98,"'","\'")&amp;"', nameZh: '"&amp;SUBSTITUTE(G98,"'","\'")&amp;"', nameZhG97: '"&amp;SUBSTITUTE(H98,"'","\'")&amp;"', nameKo: '"&amp;SUBSTITUTE(J98,"'","\'")&amp;"', ruby: '"&amp;F98&amp;"', rubyEn: '"&amp;L98&amp;IF(I98&lt;&gt;"", "', rubyZh: '"&amp;I98, "")&amp;"', baseType: '"&amp;IF(M98="通常札","normal",IF(M98="切札","special",IF(M98="追加札","extra",IF(M98="transform","transform",IF(M98="嵐","storm",IF(M98="兵員","troop",IF(M98="構想","plan",IF(M98="メインパーツ","mainParts",IF(M98="カスタムパーツ","customParts",IF(M98="運命","fate",IF(M98="仮想樹","virtualTree","")))))))))))&amp;"'"&amp;IF(N98="○",", extra: true","")&amp;IF(O98&lt;&gt;"",", extraFrom: '"&amp;O98&amp;"'","")&amp;IF(P98&lt;&gt;"",", exchangableTo: '"&amp;P98&amp;"'","")&amp;IF(Q98="○",", poison: true","")&amp;IF(R98&lt;&gt;"", ", type: '"&amp;IF(R98="攻撃","attack",IF(R98="行動","action",IF(R98="不定","variable",IF(R98="対応","reaction",IF(R98="全力","fullpower",IF(R98="付与","enhance",IF(R98="transform","transform","")))))))&amp;"'", "")&amp;IF(S98&lt;&gt;"",", subType: '"&amp;IF(S98="攻撃","attack",IF(S98="行動","action",IF(S98="不定","variable",IF(S98="対応","reaction",IF(S98="全力","fullpower",IF(S98="付与","enhance",IF(S98="transform","transform","")))))))&amp;"'","")&amp;""&amp;IF(T98&lt;&gt;"",", range: '"&amp;T98&amp;"'","")&amp;IF(V98&lt;&gt;"",", damage: '"&amp;V98&amp;"'","")&amp;IF(X98&lt;&gt;"",", capacity: '"&amp;X98&amp;"'","")&amp;IF(Y98&lt;&gt;"",", growth: "&amp;Y98&amp;"","")&amp;IF(Z98&lt;&gt;"",", cost: '"&amp;Z98&amp;"'","")&amp;", text: '"&amp;SUBSTITUTE(SUBSTITUTE(AE98, CHAR(13), ""),CHAR(10),"\n")&amp;IF(AF98&lt;&gt;"", "', textAdditional: '"&amp;SUBSTITUTE(SUBSTITUTE(AF98, CHAR(13), ""),CHAR(10),"\n"), "")&amp;"', textZh: '"&amp;SUBSTITUTE(SUBSTITUTE(SUBSTITUTE(AG98, CHAR(13), ""),CHAR(10),"\n"),"'","\'")&amp;"', textZhG97: '"&amp;SUBSTITUTE(SUBSTITUTE(SUBSTITUTE(AI98, CHAR(13), ""),CHAR(10),"\n"),"'","\'")&amp;IF(AH98&lt;&gt;"", "', textZhAdditional: '"&amp;SUBSTITUTE(SUBSTITUTE(AH98, CHAR(13), ""),CHAR(10),"\n"), "")&amp;IF(AK98&lt;&gt;"", "', textZhG97Additional: '"&amp;SUBSTITUTE(SUBSTITUTE(AK98, CHAR(13), ""),CHAR(10),"\n"), "")&amp;"', textKo: '"&amp;SUBSTITUTE(SUBSTITUTE(SUBSTITUTE(AM98, CHAR(13), ""),CHAR(10),"\n"),"'","\'")&amp;IF(AM98&lt;&gt;"", "', textKoAdditional: '"&amp;SUBSTITUTE(SUBSTITUTE(AM98, CHAR(13), ""),CHAR(10),"\n"), "")&amp;"', textEn: '"&amp;SUBSTITUTE(SUBSTITUTE(SUBSTITUTE(AM98, CHAR(13), ""),CHAR(10),"\n"),"'","\'")&amp;IF(AN98&lt;&gt;"", "', textEnAdditional: '"&amp;SUBSTITUTE(SUBSTITUTE(AN98, CHAR(13), ""),CHAR(10),"\n"), "")&amp;"'"&amp;IF(AB98="○",", sealable: true","")&amp;IF(AC98="○",", removable: true","")&amp;IF(AA98="○",", lie: true","")&amp;IF(AD98="○",", investable: true","")&amp;"},")</x:f>
        <x:v>'06-yukihi-o-s-1': {megami: 'yukihi', name: 'はらりゆき', nameEn: 'Gentle Snow', nameZh: '纷扬如雪', nameZhG97: '纷扬如雪', nameKo: '흩날리는 눈꽃', ruby: '', rubyEn: '', baseType: 'special', type: 'attack', range: '4-5', damage: '3/1', cost: '2', text: '【攻撃後】あなたは集中力を1得る。\n即再起:あなたが傘の開閉を行う。', textZh: '【攻击后】你获得1点集中力。', textZhG97: '【攻击后】你获得1点集中力。', textZhG97Additional: '【공격후】당신은 집중력을 1 얻는다.', textKo: 'After Attack: Gain 1 Vigor.', textKoAdditional: 'After Attack: Gain 1 Vigor.', textEn: 'After Attack: Gain 1 Vigor.'},</x:v>
      </x:c>
      <x:c r="AU98" t="str">
        <x:f>IF($A98&lt;&gt;"", "    /** 《"&amp;$E98&amp;"》 */ export const "&amp;SUBSTITUTE(UPPER(IF(MID($A98, 3, 1)="-", RIGHT($A98,LEN($A98)-3), $A98)), "-", "_")&amp;": TCardId = '"&amp;$A98&amp;"';", "")</x:f>
        <x:v>    /** 《はらりゆき》 */ export const YUKIHI_O_S_1: TCardId = '06-yukihi-o-s-1';</x:v>
      </x:c>
      <x:c r="AV98" t="str">
        <x:f>IF($A99&lt;&gt;"", "    | '"&amp;$A99&amp;"'", "")</x:f>
        <x:v>    | '06-yukihi-o-s-2'</x:v>
      </x:c>
    </x:row>
    <x:row r="99" ht="38" customHeight="1">
      <x:c r="A99" t="str">
        <x:v>06-yukihi-o-s-2</x:v>
      </x:c>
      <x:c r="B99" t="str">
        <x:v>yukihi</x:v>
      </x:c>
      <x:c r="C99"/>
      <x:c r="D99"/>
      <x:c r="E99" t="str">
        <x:v>ゆらりび</x:v>
      </x:c>
      <x:c r="F99"/>
      <x:c r="G99" t="str">
        <x:v>明灭如灯</x:v>
      </x:c>
      <x:c r="H99" t="str">
        <x:v>明灭如灯</x:v>
      </x:c>
      <x:c r="I99"/>
      <x:c r="J99" t="str">
        <x:v>일렁이는 등불</x:v>
      </x:c>
      <x:c r="K99" t="str">
        <x:v>Swaying Flame</x:v>
      </x:c>
      <x:c r="L99"/>
      <x:c r="M99" t="str">
        <x:v>切札</x:v>
      </x:c>
      <x:c r="N99"/>
      <x:c r="O99"/>
      <x:c r="P99"/>
      <x:c r="Q99"/>
      <x:c r="R99" t="str">
        <x:v>攻撃</x:v>
      </x:c>
      <x:c r="S99"/>
      <x:c r="T99" t="str">
        <x:v>4-6</x:v>
      </x:c>
      <x:c r="U99" t="str">
        <x:v>0</x:v>
      </x:c>
      <x:c r="V99" t="str">
        <x:v>0/0</x:v>
      </x:c>
      <x:c r="W99" t="str">
        <x:v>4/5</x:v>
      </x:c>
      <x:c r="X99"/>
      <x:c r="Y99"/>
      <x:c r="Z99" t="n">
        <x:v>5</x:v>
      </x:c>
      <x:c r="AA99"/>
      <x:c r="AB99"/>
      <x:c r="AC99"/>
      <x:c r="AD99"/>
      <x:c r="AE99" s="438"/>
      <x:c r="AF99" s="438"/>
      <x:c r="AG99" s="438"/>
      <x:c r="AH99" s="438"/>
      <x:c r="AI99" s="438" t="str">
        <x:v>无
</x:v>
      </x:c>
      <x:c r="AJ99" s="438"/>
      <x:c r="AK99" s="438"/>
      <x:c r="AL99" s="438"/>
      <x:c r="AM99" s="438"/>
      <x:c r="AN99" s="438"/>
      <x:c r="AO99" s="438"/>
      <x:c r="AP99" s="438"/>
      <x:c r="AQ99" s="438" t="str">
        <x:v>无</x:v>
      </x:c>
      <x:c r="AR99" s="438"/>
      <x:c r="AS99" s="438"/>
      <x:c r="AT99" t="str">
        <x:f>IF(A99="", "","'"&amp;A99&amp;"': {megami: '"&amp;B99&amp;"'"&amp;IF(C99&lt;&gt;"",", anotherID: '"&amp;C99&amp;"', replace: '"&amp;D99&amp;"'","")&amp;", name: '"&amp;SUBSTITUTE(E99,"'","\'")&amp;"', nameEn: '"&amp;SUBSTITUTE(K99,"'","\'")&amp;"', nameZh: '"&amp;SUBSTITUTE(G99,"'","\'")&amp;"', nameZhG98: '"&amp;SUBSTITUTE(H99,"'","\'")&amp;"', nameKo: '"&amp;SUBSTITUTE(J99,"'","\'")&amp;"', ruby: '"&amp;F99&amp;"', rubyEn: '"&amp;L99&amp;IF(I99&lt;&gt;"", "', rubyZh: '"&amp;I99, "")&amp;"', baseType: '"&amp;IF(M99="通常札","normal",IF(M99="切札","special",IF(M99="追加札","extra",IF(M99="transform","transform",IF(M99="嵐","storm",IF(M99="兵員","troop",IF(M99="構想","plan",IF(M99="メインパーツ","mainParts",IF(M99="カスタムパーツ","customParts",IF(M99="運命","fate",IF(M99="仮想樹","virtualTree","")))))))))))&amp;"'"&amp;IF(N99="○",", extra: true","")&amp;IF(O99&lt;&gt;"",", extraFrom: '"&amp;O99&amp;"'","")&amp;IF(P99&lt;&gt;"",", exchangableTo: '"&amp;P99&amp;"'","")&amp;IF(Q99="○",", poison: true","")&amp;IF(R99&lt;&gt;"", ", type: '"&amp;IF(R99="攻撃","attack",IF(R99="行動","action",IF(R99="不定","variable",IF(R99="対応","reaction",IF(R99="全力","fullpower",IF(R99="付与","enhance",IF(R99="transform","transform","")))))))&amp;"'", "")&amp;IF(S99&lt;&gt;"",", subType: '"&amp;IF(S99="攻撃","attack",IF(S99="行動","action",IF(S99="不定","variable",IF(S99="対応","reaction",IF(S99="全力","fullpower",IF(S99="付与","enhance",IF(S99="transform","transform","")))))))&amp;"'","")&amp;""&amp;IF(T99&lt;&gt;"",", range: '"&amp;T99&amp;"'","")&amp;IF(V99&lt;&gt;"",", damage: '"&amp;V99&amp;"'","")&amp;IF(X99&lt;&gt;"",", capacity: '"&amp;X99&amp;"'","")&amp;IF(Y99&lt;&gt;"",", growth: "&amp;Y99&amp;"","")&amp;IF(Z99&lt;&gt;"",", cost: '"&amp;Z99&amp;"'","")&amp;", text: '"&amp;SUBSTITUTE(SUBSTITUTE(AE99, CHAR(13), ""),CHAR(10),"\n")&amp;IF(AF99&lt;&gt;"", "', textAdditional: '"&amp;SUBSTITUTE(SUBSTITUTE(AF99, CHAR(13), ""),CHAR(10),"\n"), "")&amp;"', textZh: '"&amp;SUBSTITUTE(SUBSTITUTE(SUBSTITUTE(AG99, CHAR(13), ""),CHAR(10),"\n"),"'","\'")&amp;"', textZhG98: '"&amp;SUBSTITUTE(SUBSTITUTE(SUBSTITUTE(AI99, CHAR(13), ""),CHAR(10),"\n"),"'","\'")&amp;IF(AH99&lt;&gt;"", "', textZhAdditional: '"&amp;SUBSTITUTE(SUBSTITUTE(AH99, CHAR(13), ""),CHAR(10),"\n"), "")&amp;IF(AK99&lt;&gt;"", "', textZhG98Additional: '"&amp;SUBSTITUTE(SUBSTITUTE(AK99, CHAR(13), ""),CHAR(10),"\n"), "")&amp;"', textKo: '"&amp;SUBSTITUTE(SUBSTITUTE(SUBSTITUTE(AM99, CHAR(13), ""),CHAR(10),"\n"),"'","\'")&amp;IF(AM99&lt;&gt;"", "', textKoAdditional: '"&amp;SUBSTITUTE(SUBSTITUTE(AM99, CHAR(13), ""),CHAR(10),"\n"), "")&amp;"', textEn: '"&amp;SUBSTITUTE(SUBSTITUTE(SUBSTITUTE(AM99, CHAR(13), ""),CHAR(10),"\n"),"'","\'")&amp;IF(AN99&lt;&gt;"", "', textEnAdditional: '"&amp;SUBSTITUTE(SUBSTITUTE(AN99, CHAR(13), ""),CHAR(10),"\n"), "")&amp;"'"&amp;IF(AB99="○",", sealable: true","")&amp;IF(AC99="○",", removable: true","")&amp;IF(AA99="○",", lie: true","")&amp;IF(AD99="○",", investable: true","")&amp;"},")</x:f>
        <x:v>'06-yukihi-o-s-2': {megami: 'yukihi', name: 'ゆらりび', nameEn: 'Swaying Flame', nameZh: '明灭如灯', nameZhG98: '明灭如灯', nameKo: '일렁이는 등불', ruby: '', rubyEn: '', baseType: 'special', type: 'attack', range: '4-6', damage: '0/0', cost: '5', text: '', textZh: '', textZhG98: '无\n', textKo: '', textEn: ''},</x:v>
      </x:c>
      <x:c r="AU99" t="str">
        <x:f>IF($A99&lt;&gt;"", "    /** 《"&amp;$E99&amp;"》 */ export const "&amp;SUBSTITUTE(UPPER(IF(MID($A99, 3, 1)="-", RIGHT($A99,LEN($A99)-3), $A99)), "-", "_")&amp;": TCardId = '"&amp;$A99&amp;"';", "")</x:f>
        <x:v>    /** 《ゆらりび》 */ export const YUKIHI_O_S_2: TCardId = '06-yukihi-o-s-2';</x:v>
      </x:c>
      <x:c r="AV99" t="str">
        <x:f>IF($A100&lt;&gt;"", "    | '"&amp;$A100&amp;"'", "")</x:f>
        <x:v>    | '06-yukihi-o-s-3'</x:v>
      </x:c>
    </x:row>
    <x:row r="100" ht="53" customHeight="1">
      <x:c r="A100" t="str">
        <x:v>06-yukihi-o-s-3</x:v>
      </x:c>
      <x:c r="B100" t="str">
        <x:v>yukihi</x:v>
      </x:c>
      <x:c r="C100"/>
      <x:c r="D100"/>
      <x:c r="E100" t="str">
        <x:v>どろりうら</x:v>
      </x:c>
      <x:c r="F100"/>
      <x:c r="G100" t="str">
        <x:v>交融其心</x:v>
      </x:c>
      <x:c r="H100" t="str">
        <x:v>无常其心</x:v>
      </x:c>
      <x:c r="I100"/>
      <x:c r="J100" t="str">
        <x:v>질척이는 속내</x:v>
      </x:c>
      <x:c r="K100" t="str">
        <x:v>Soft Heart</x:v>
      </x:c>
      <x:c r="L100"/>
      <x:c r="M100" t="str">
        <x:v>切札</x:v>
      </x:c>
      <x:c r="N100"/>
      <x:c r="O100"/>
      <x:c r="P100"/>
      <x:c r="Q100"/>
      <x:c r="R100" t="str">
        <x:v>付与</x:v>
      </x:c>
      <x:c r="S100"/>
      <x:c r="T100"/>
      <x:c r="U100"/>
      <x:c r="V100"/>
      <x:c r="W100"/>
      <x:c r="X100" t="n">
        <x:v>5</x:v>
      </x:c>
      <x:c r="Y100"/>
      <x:c r="Z100" t="n">
        <x:v>2</x:v>
      </x:c>
      <x:c r="AA100"/>
      <x:c r="AB100"/>
      <x:c r="AC100"/>
      <x:c r="AD100"/>
      <x:c r="AE100" s="438" t="str">
        <x:v>終端
【展開中】あなたのターンにあなたが初めて行う《攻撃》は距離拡大（近1）を得て、+0/+1となる。
</x:v>
      </x:c>
      <x:c r="AF100" s="438"/>
      <x:c r="AG100" s="499" t="str">
        <x:v>【展开中】你的雪灯的《攻击》牌攻击距离改为开伞时与闭伞时攻击距离的叠加。</x:v>
      </x:c>
      <x:c r="AH100" s="438"/>
      <x:c r="AI100" s="499" t="str">
        <x:v>【展开中】你的雪灯的《攻击》牌攻击距离改为开伞时与闭伞时攻击距离的叠加。</x:v>
      </x:c>
      <x:c r="AJ100" s="438"/>
      <x:c r="AK100" s="499" t="str">
        <x:v>【전개중】당신의 유키히의《공격》은 우산을 연 상태와 우산을 닫은 상태 양방의 적정거리를 가진다.</x:v>
      </x:c>
      <x:c r="AL100" s="438"/>
      <x:c r="AM100" s="499" t="str">
        <x:v>Ongoing: The Range of your attacks from Yukihi's cards are their Open and Closed Ranges combined.</x:v>
      </x:c>
      <x:c r="AN100" s="438"/>
      <x:c r="AO100" s="438" t="str">
        <x:v>終端
【展開中】あなたのターンにあなたが初めて行う《攻撃》は距離拡大（遠1）を得て、+1/+0となる。</x:v>
      </x:c>
      <x:c r="AP100" s="438"/>
      <x:c r="AQ100" s="438"/>
      <x:c r="AR100" s="438"/>
      <x:c r="AS100" s="438"/>
      <x:c r="AT100" t="str">
        <x:f>IF(A100="", "","'"&amp;A100&amp;"': {megami: '"&amp;B100&amp;"'"&amp;IF(C100&lt;&gt;"",", anotherID: '"&amp;C100&amp;"', replace: '"&amp;D100&amp;"'","")&amp;", name: '"&amp;SUBSTITUTE(E100,"'","\'")&amp;"', nameEn: '"&amp;SUBSTITUTE(K100,"'","\'")&amp;"', nameZh: '"&amp;SUBSTITUTE(G100,"'","\'")&amp;"', nameZhG99: '"&amp;SUBSTITUTE(H100,"'","\'")&amp;"', nameKo: '"&amp;SUBSTITUTE(J100,"'","\'")&amp;"', ruby: '"&amp;F100&amp;"', rubyEn: '"&amp;L100&amp;IF(I100&lt;&gt;"", "', rubyZh: '"&amp;I100, "")&amp;"', baseType: '"&amp;IF(M100="通常札","normal",IF(M100="切札","special",IF(M100="追加札","extra",IF(M100="transform","transform",IF(M100="嵐","storm",IF(M100="兵員","troop",IF(M100="構想","plan",IF(M100="メインパーツ","mainParts",IF(M100="カスタムパーツ","customParts",IF(M100="運命","fate",IF(M100="仮想樹","virtualTree","")))))))))))&amp;"'"&amp;IF(N100="○",", extra: true","")&amp;IF(O100&lt;&gt;"",", extraFrom: '"&amp;O100&amp;"'","")&amp;IF(P100&lt;&gt;"",", exchangableTo: '"&amp;P100&amp;"'","")&amp;IF(Q100="○",", poison: true","")&amp;IF(R100&lt;&gt;"", ", type: '"&amp;IF(R100="攻撃","attack",IF(R100="行動","action",IF(R100="不定","variable",IF(R100="対応","reaction",IF(R100="全力","fullpower",IF(R100="付与","enhance",IF(R100="transform","transform","")))))))&amp;"'", "")&amp;IF(S100&lt;&gt;"",", subType: '"&amp;IF(S100="攻撃","attack",IF(S100="行動","action",IF(S100="不定","variable",IF(S100="対応","reaction",IF(S100="全力","fullpower",IF(S100="付与","enhance",IF(S100="transform","transform","")))))))&amp;"'","")&amp;""&amp;IF(T100&lt;&gt;"",", range: '"&amp;T100&amp;"'","")&amp;IF(V100&lt;&gt;"",", damage: '"&amp;V100&amp;"'","")&amp;IF(X100&lt;&gt;"",", capacity: '"&amp;X100&amp;"'","")&amp;IF(Y100&lt;&gt;"",", growth: "&amp;Y100&amp;"","")&amp;IF(Z100&lt;&gt;"",", cost: '"&amp;Z100&amp;"'","")&amp;", text: '"&amp;SUBSTITUTE(SUBSTITUTE(AE100, CHAR(13), ""),CHAR(10),"\n")&amp;IF(AF100&lt;&gt;"", "', textAdditional: '"&amp;SUBSTITUTE(SUBSTITUTE(AF100, CHAR(13), ""),CHAR(10),"\n"), "")&amp;"', textZh: '"&amp;SUBSTITUTE(SUBSTITUTE(SUBSTITUTE(AG100, CHAR(13), ""),CHAR(10),"\n"),"'","\'")&amp;"', textZhG99: '"&amp;SUBSTITUTE(SUBSTITUTE(SUBSTITUTE(AI100, CHAR(13), ""),CHAR(10),"\n"),"'","\'")&amp;IF(AH100&lt;&gt;"", "', textZhAdditional: '"&amp;SUBSTITUTE(SUBSTITUTE(AH100, CHAR(13), ""),CHAR(10),"\n"), "")&amp;IF(AK100&lt;&gt;"", "', textZhG99Additional: '"&amp;SUBSTITUTE(SUBSTITUTE(AK100, CHAR(13), ""),CHAR(10),"\n"), "")&amp;"', textKo: '"&amp;SUBSTITUTE(SUBSTITUTE(SUBSTITUTE(AM100, CHAR(13), ""),CHAR(10),"\n"),"'","\'")&amp;IF(AM100&lt;&gt;"", "', textKoAdditional: '"&amp;SUBSTITUTE(SUBSTITUTE(AM100, CHAR(13), ""),CHAR(10),"\n"), "")&amp;"', textEn: '"&amp;SUBSTITUTE(SUBSTITUTE(SUBSTITUTE(AM100, CHAR(13), ""),CHAR(10),"\n"),"'","\'")&amp;IF(AN100&lt;&gt;"", "', textEnAdditional: '"&amp;SUBSTITUTE(SUBSTITUTE(AN100, CHAR(13), ""),CHAR(10),"\n"), "")&amp;"'"&amp;IF(AB100="○",", sealable: true","")&amp;IF(AC100="○",", removable: true","")&amp;IF(AA100="○",", lie: true","")&amp;IF(AD100="○",", investable: true","")&amp;"},")</x:f>
        <x:v>'06-yukihi-o-s-3': {megami: 'yukihi', name: 'どろりうら', nameEn: 'Soft Heart', nameZh: '交融其心', nameZhG99: '无常其心', nameKo: '질척이는 속내', ruby: '', rubyEn: '', baseType: 'special', type: 'enhance', capacity: '5', cost: '2', text: '終端\n【展開中】あなたのターンにあなたが初めて行う《攻撃》は距離拡大（近1）を得て、+0/+1となる。\n', textZh: '【展开中】你的雪灯的《攻击》牌攻击距离改为开伞时与闭伞时攻击距离的叠加。', textZhG99: '【展开中】你的雪灯的《攻击》牌攻击距离改为开伞时与闭伞时攻击距离的叠加。', textZhG99Additional: '【전개중】당신의 유키히의《공격》은 우산을 연 상태와 우산을 닫은 상태 양방의 적정거리를 가진다.', textKo: 'Ongoing: The Range of your attacks from Yukihi\'s cards are their Open and Closed Ranges combined.', textKoAdditional: 'Ongoing: The Range of your attacks from Yukihi's cards are their Open and Closed Ranges combined.', textEn: 'Ongoing: The Range of your attacks from Yukihi\'s cards are their Open and Closed Ranges combined.'},</x:v>
      </x:c>
      <x:c r="AU100" t="str">
        <x:f>IF($A100&lt;&gt;"", "    /** 《"&amp;$E100&amp;"》 */ export const "&amp;SUBSTITUTE(UPPER(IF(MID($A100, 3, 1)="-", RIGHT($A100,LEN($A100)-3), $A100)), "-", "_")&amp;": TCardId = '"&amp;$A100&amp;"';", "")</x:f>
        <x:v>    /** 《どろりうら》 */ export const YUKIHI_O_S_3: TCardId = '06-yukihi-o-s-3';</x:v>
      </x:c>
      <x:c r="AV100" t="str">
        <x:f>IF($A101&lt;&gt;"", "    | '"&amp;$A101&amp;"'", "")</x:f>
        <x:v>    | '06-yukihi-o-s-4'</x:v>
      </x:c>
    </x:row>
    <x:row r="101" ht="53" customHeight="1">
      <x:c r="A101" t="str">
        <x:v>06-yukihi-o-s-4</x:v>
      </x:c>
      <x:c r="B101" t="str">
        <x:v>yukihi</x:v>
      </x:c>
      <x:c r="C101"/>
      <x:c r="D101"/>
      <x:c r="E101" t="str">
        <x:v>くるりみ</x:v>
      </x:c>
      <x:c r="F101"/>
      <x:c r="G101" t="str">
        <x:v>复返其身</x:v>
      </x:c>
      <x:c r="H101" t="str">
        <x:v>复返其身</x:v>
      </x:c>
      <x:c r="I101"/>
      <x:c r="J101" t="str">
        <x:v>빙글도는 몸짓</x:v>
      </x:c>
      <x:c r="K101" t="str">
        <x:v>Abrupt Transformation</x:v>
      </x:c>
      <x:c r="L101"/>
      <x:c r="M101" t="str">
        <x:v>切札</x:v>
      </x:c>
      <x:c r="N101"/>
      <x:c r="O101"/>
      <x:c r="P101"/>
      <x:c r="Q101"/>
      <x:c r="R101" t="str">
        <x:v>行動</x:v>
      </x:c>
      <x:c r="S101" t="str">
        <x:v>対応</x:v>
      </x:c>
      <x:c r="T101"/>
      <x:c r="U101"/>
      <x:c r="V101"/>
      <x:c r="W101"/>
      <x:c r="X101"/>
      <x:c r="Y101"/>
      <x:c r="Z101" t="n">
        <x:v>1</x:v>
      </x:c>
      <x:c r="AA101"/>
      <x:c r="AB101"/>
      <x:c r="AC101"/>
      <x:c r="AD101"/>
      <x:c r="AE101" s="438" t="str">
        <x:v>傘の開閉を行う。
ダスト→自オーラ：1</x:v>
      </x:c>
      <x:c r="AF101" s="438"/>
      <x:c r="AG101" s="499" t="str">
        <x:v>进行一次伞的开合操作。
虚→1→自装</x:v>
      </x:c>
      <x:c r="AH101" s="438"/>
      <x:c r="AI101" s="499" t="str">
        <x:v>进行一次伞的开合操作。
虚（1）→自装</x:v>
      </x:c>
      <x:c r="AJ101" s="438"/>
      <x:c r="AK101" s="499" t="str">
        <x:v>우산의 개폐를 행한다. 
 더스트→자신 오라：1</x:v>
      </x:c>
      <x:c r="AL101" s="438"/>
      <x:c r="AM101" s="499" t="str">
        <x:v>Open or close your umbrella.
Shadow (1)→ Your Aura</x:v>
      </x:c>
      <x:c r="AN101" s="438"/>
      <x:c r="AO101" s="438"/>
      <x:c r="AP101" s="438"/>
      <x:c r="AQ101" s="438"/>
      <x:c r="AR101" s="438"/>
      <x:c r="AS101" s="438"/>
      <x:c r="AT101" t="str">
        <x:f>IF(A101="", "","'"&amp;A101&amp;"': {megami: '"&amp;B101&amp;"'"&amp;IF(C101&lt;&gt;"",", anotherID: '"&amp;C101&amp;"', replace: '"&amp;D101&amp;"'","")&amp;", name: '"&amp;SUBSTITUTE(E101,"'","\'")&amp;"', nameEn: '"&amp;SUBSTITUTE(K101,"'","\'")&amp;"', nameZh: '"&amp;SUBSTITUTE(G101,"'","\'")&amp;"', nameZhG100: '"&amp;SUBSTITUTE(H101,"'","\'")&amp;"', nameKo: '"&amp;SUBSTITUTE(J101,"'","\'")&amp;"', ruby: '"&amp;F101&amp;"', rubyEn: '"&amp;L101&amp;IF(I101&lt;&gt;"", "', rubyZh: '"&amp;I101, "")&amp;"', baseType: '"&amp;IF(M101="通常札","normal",IF(M101="切札","special",IF(M101="追加札","extra",IF(M101="transform","transform",IF(M101="嵐","storm",IF(M101="兵員","troop",IF(M101="構想","plan",IF(M101="メインパーツ","mainParts",IF(M101="カスタムパーツ","customParts",IF(M101="運命","fate",IF(M101="仮想樹","virtualTree","")))))))))))&amp;"'"&amp;IF(N101="○",", extra: true","")&amp;IF(O101&lt;&gt;"",", extraFrom: '"&amp;O101&amp;"'","")&amp;IF(P101&lt;&gt;"",", exchangableTo: '"&amp;P101&amp;"'","")&amp;IF(Q101="○",", poison: true","")&amp;IF(R101&lt;&gt;"", ", type: '"&amp;IF(R101="攻撃","attack",IF(R101="行動","action",IF(R101="不定","variable",IF(R101="対応","reaction",IF(R101="全力","fullpower",IF(R101="付与","enhance",IF(R101="transform","transform","")))))))&amp;"'", "")&amp;IF(S101&lt;&gt;"",", subType: '"&amp;IF(S101="攻撃","attack",IF(S101="行動","action",IF(S101="不定","variable",IF(S101="対応","reaction",IF(S101="全力","fullpower",IF(S101="付与","enhance",IF(S101="transform","transform","")))))))&amp;"'","")&amp;""&amp;IF(T101&lt;&gt;"",", range: '"&amp;T101&amp;"'","")&amp;IF(V101&lt;&gt;"",", damage: '"&amp;V101&amp;"'","")&amp;IF(X101&lt;&gt;"",", capacity: '"&amp;X101&amp;"'","")&amp;IF(Y101&lt;&gt;"",", growth: "&amp;Y101&amp;"","")&amp;IF(Z101&lt;&gt;"",", cost: '"&amp;Z101&amp;"'","")&amp;", text: '"&amp;SUBSTITUTE(SUBSTITUTE(AE101, CHAR(13), ""),CHAR(10),"\n")&amp;IF(AF101&lt;&gt;"", "', textAdditional: '"&amp;SUBSTITUTE(SUBSTITUTE(AF101, CHAR(13), ""),CHAR(10),"\n"), "")&amp;"', textZh: '"&amp;SUBSTITUTE(SUBSTITUTE(SUBSTITUTE(AG101, CHAR(13), ""),CHAR(10),"\n"),"'","\'")&amp;"', textZhG100: '"&amp;SUBSTITUTE(SUBSTITUTE(SUBSTITUTE(AI101, CHAR(13), ""),CHAR(10),"\n"),"'","\'")&amp;IF(AH101&lt;&gt;"", "', textZhAdditional: '"&amp;SUBSTITUTE(SUBSTITUTE(AH101, CHAR(13), ""),CHAR(10),"\n"), "")&amp;IF(AK101&lt;&gt;"", "', textZhG100Additional: '"&amp;SUBSTITUTE(SUBSTITUTE(AK101, CHAR(13), ""),CHAR(10),"\n"), "")&amp;"', textKo: '"&amp;SUBSTITUTE(SUBSTITUTE(SUBSTITUTE(AM101, CHAR(13), ""),CHAR(10),"\n"),"'","\'")&amp;IF(AM101&lt;&gt;"", "', textKoAdditional: '"&amp;SUBSTITUTE(SUBSTITUTE(AM101, CHAR(13), ""),CHAR(10),"\n"), "")&amp;"', textEn: '"&amp;SUBSTITUTE(SUBSTITUTE(SUBSTITUTE(AM101, CHAR(13), ""),CHAR(10),"\n"),"'","\'")&amp;IF(AN101&lt;&gt;"", "', textEnAdditional: '"&amp;SUBSTITUTE(SUBSTITUTE(AN101, CHAR(13), ""),CHAR(10),"\n"), "")&amp;"'"&amp;IF(AB101="○",", sealable: true","")&amp;IF(AC101="○",", removable: true","")&amp;IF(AA101="○",", lie: true","")&amp;IF(AD101="○",", investable: true","")&amp;"},")</x:f>
        <x:v>'06-yukihi-o-s-4': {megami: 'yukihi', name: 'くるりみ', nameEn: 'Abrupt Transformation', nameZh: '复返其身', nameZhG100: '复返其身', nameKo: '빙글도는 몸짓', ruby: '', rubyEn: '', baseType: 'special', type: 'action', subType: 'reaction', cost: '1', text: '傘の開閉を行う。\nダスト→自オーラ：1', textZh: '进行一次伞的开合操作。\n虚→1→自装', textZhG100: '进行一次伞的开合操作。\n虚（1）→自装', textZhG100Additional: '우산의 개폐를 행한다. \n 더스트→자신 오라：1', textKo: 'Open or close your umbrella.\n\nShadow (1)→ Your Aura', textKoAdditional: 'Open or close your umbrella.\n\nShadow (1)→ Your Aura', textEn: 'Open or close your umbrella.\n\nShadow (1)→ Your Aura'},</x:v>
      </x:c>
      <x:c r="AU101" t="str">
        <x:f>IF($A101&lt;&gt;"", "    /** 《"&amp;$E101&amp;"》 */ export const "&amp;SUBSTITUTE(UPPER(IF(MID($A101, 3, 1)="-", RIGHT($A101,LEN($A101)-3), $A101)), "-", "_")&amp;": TCardId = '"&amp;$A101&amp;"';", "")</x:f>
        <x:v>    /** 《くるりみ》 */ export const YUKIHI_O_S_4: TCardId = '06-yukihi-o-s-4';</x:v>
      </x:c>
      <x:c r="AV101" t="str">
        <x:f>IF($A102&lt;&gt;"", "    | '"&amp;$A102&amp;"'", "")</x:f>
        <x:v>    | '06-yukihi-A1-n-2'</x:v>
      </x:c>
    </x:row>
    <x:row r="102" ht="38" customHeight="1">
      <x:c r="A102" t="str">
        <x:v>06-yukihi-A1-n-2</x:v>
      </x:c>
      <x:c r="B102" t="str">
        <x:v>yukihi</x:v>
      </x:c>
      <x:c r="C102" t="str">
        <x:v>A1</x:v>
      </x:c>
      <x:c r="D102" t="str">
        <x:v>06-yukihi-o-n-2</x:v>
      </x:c>
      <x:c r="E102" t="str">
        <x:v>ちからぞえ/おどしつけ</x:v>
      </x:c>
      <x:c r="F102"/>
      <x:c r="G102" t="str">
        <x:v>援助 / 威胁</x:v>
      </x:c>
      <x:c r="H102" t="str">
        <x:v>援助/舞踏</x:v>
      </x:c>
      <x:c r="I102"/>
      <x:c r="J102" t="str">
        <x:v>조력하기 / 위협하기</x:v>
      </x:c>
      <x:c r="K102" t="str">
        <x:v>Cooperate / Coerce</x:v>
      </x:c>
      <x:c r="L102"/>
      <x:c r="M102" t="str">
        <x:v>通常札</x:v>
      </x:c>
      <x:c r="N102"/>
      <x:c r="O102"/>
      <x:c r="P102"/>
      <x:c r="Q102"/>
      <x:c r="R102" t="str">
        <x:v>攻撃</x:v>
      </x:c>
      <x:c r="S102"/>
      <x:c r="T102" t="str">
        <x:v>3-5</x:v>
      </x:c>
      <x:c r="U102" t="str">
        <x:v>1-2</x:v>
      </x:c>
      <x:c r="V102" t="str">
        <x:v>2/1</x:v>
      </x:c>
      <x:c r="W102" t="str">
        <x:v>1/2</x:v>
      </x:c>
      <x:c r="X102"/>
      <x:c r="Y102"/>
      <x:c r="Z102"/>
      <x:c r="AA102"/>
      <x:c r="AB102"/>
      <x:c r="AC102"/>
      <x:c r="AD102"/>
      <x:c r="AE102" s="438" t="str">
        <x:v>【常時】あなたの付与札に合計4つ以上の桜花結晶があるならば、この《攻撃》は+0/+1となる。</x:v>
      </x:c>
      <x:c r="AF102" s="438"/>
      <x:c r="AG102" s="499" t="str">
        <x:v>【常时】你的付与区总共有4个或者更多樱花结晶的话，此《攻击》得+0/+1。</x:v>
      </x:c>
      <x:c r="AH102" s="438"/>
      <x:c r="AI102" s="499" t="str">
        <x:v>【常时】若你展开中的付与牌上樱花结晶的数目之和大于等于4，则此攻击获得+0/+1。</x:v>
      </x:c>
      <x:c r="AJ102" s="438"/>
      <x:c r="AK102" s="499" t="str">
        <x:v>【상시】당신의 부여패에 합계 4개 이상의 벚꽃 결정이 있다면, 이 《공격》은 +0/+1된다.</x:v>
      </x:c>
      <x:c r="AL102" s="438"/>
      <x:c r="AM102" s="499" t="str">
        <x:v> Forced: If there are 4 or more Sakura tokens on your Enhancements in play, this attack gains +0/+1.</x:v>
      </x:c>
      <x:c r="AN102" s="438"/>
      <x:c r="AO102" s="438" t="str">
        <x:v>【常時】あなたの付与札に合計4つ以上の桜花結晶があるならば、この《攻撃》は+1/+0となる。</x:v>
      </x:c>
      <x:c r="AP102" s="499" t="str">
        <x:v>【常时】你的付与区总共有4个或者更多樱花结晶的话，此《攻击》得+1/+0。</x:v>
      </x:c>
      <x:c r="AQ102" s="499" t="str">
        <x:v>【常时】若你展开中的付与牌上樱花结晶的数目之和大于等于4，则此攻击获得+1/+0。</x:v>
      </x:c>
      <x:c r="AR102" s="499" t="str">
        <x:v>【상시】당신의 부여패에 합계 4개 이상의 벚꽃 결정이 있다면, 이 《공격》은 +1/+0된다.</x:v>
      </x:c>
      <x:c r="AS102" s="499" t="str">
        <x:v>Forced: If there are 4 or more Sakura tokens on your Enhancements in play, this attack gains +1/+0.</x:v>
      </x:c>
      <x:c r="AT102" t="str">
        <x:f>IF(A102="", "","'"&amp;A102&amp;"': {megami: '"&amp;B102&amp;"'"&amp;IF(C102&lt;&gt;"",", anotherID: '"&amp;C102&amp;"', replace: '"&amp;D102&amp;"'","")&amp;", name: '"&amp;SUBSTITUTE(E102,"'","\'")&amp;"', nameEn: '"&amp;SUBSTITUTE(K102,"'","\'")&amp;"', nameZh: '"&amp;SUBSTITUTE(G102,"'","\'")&amp;"', nameZhG101: '"&amp;SUBSTITUTE(H102,"'","\'")&amp;"', nameKo: '"&amp;SUBSTITUTE(J102,"'","\'")&amp;"', ruby: '"&amp;F102&amp;"', rubyEn: '"&amp;L102&amp;IF(I102&lt;&gt;"", "', rubyZh: '"&amp;I102, "")&amp;"', baseType: '"&amp;IF(M102="通常札","normal",IF(M102="切札","special",IF(M102="追加札","extra",IF(M102="transform","transform",IF(M102="嵐","storm",IF(M102="兵員","troop",IF(M102="構想","plan",IF(M102="メインパーツ","mainParts",IF(M102="カスタムパーツ","customParts",IF(M102="運命","fate",IF(M102="仮想樹","virtualTree","")))))))))))&amp;"'"&amp;IF(N102="○",", extra: true","")&amp;IF(O102&lt;&gt;"",", extraFrom: '"&amp;O102&amp;"'","")&amp;IF(P102&lt;&gt;"",", exchangableTo: '"&amp;P102&amp;"'","")&amp;IF(Q102="○",", poison: true","")&amp;IF(R102&lt;&gt;"", ", type: '"&amp;IF(R102="攻撃","attack",IF(R102="行動","action",IF(R102="不定","variable",IF(R102="対応","reaction",IF(R102="全力","fullpower",IF(R102="付与","enhance",IF(R102="transform","transform","")))))))&amp;"'", "")&amp;IF(S102&lt;&gt;"",", subType: '"&amp;IF(S102="攻撃","attack",IF(S102="行動","action",IF(S102="不定","variable",IF(S102="対応","reaction",IF(S102="全力","fullpower",IF(S102="付与","enhance",IF(S102="transform","transform","")))))))&amp;"'","")&amp;""&amp;IF(T102&lt;&gt;"",", range: '"&amp;T102&amp;"'","")&amp;IF(V102&lt;&gt;"",", damage: '"&amp;V102&amp;"'","")&amp;IF(X102&lt;&gt;"",", capacity: '"&amp;X102&amp;"'","")&amp;IF(Y102&lt;&gt;"",", growth: "&amp;Y102&amp;"","")&amp;IF(Z102&lt;&gt;"",", cost: '"&amp;Z102&amp;"'","")&amp;", text: '"&amp;SUBSTITUTE(SUBSTITUTE(AE102, CHAR(13), ""),CHAR(10),"\n")&amp;IF(AF102&lt;&gt;"", "', textAdditional: '"&amp;SUBSTITUTE(SUBSTITUTE(AF102, CHAR(13), ""),CHAR(10),"\n"), "")&amp;"', textZh: '"&amp;SUBSTITUTE(SUBSTITUTE(SUBSTITUTE(AG102, CHAR(13), ""),CHAR(10),"\n"),"'","\'")&amp;"', textZhG101: '"&amp;SUBSTITUTE(SUBSTITUTE(SUBSTITUTE(AI102, CHAR(13), ""),CHAR(10),"\n"),"'","\'")&amp;IF(AH102&lt;&gt;"", "', textZhAdditional: '"&amp;SUBSTITUTE(SUBSTITUTE(AH102, CHAR(13), ""),CHAR(10),"\n"), "")&amp;IF(AK102&lt;&gt;"", "', textZhG101Additional: '"&amp;SUBSTITUTE(SUBSTITUTE(AK102, CHAR(13), ""),CHAR(10),"\n"), "")&amp;"', textKo: '"&amp;SUBSTITUTE(SUBSTITUTE(SUBSTITUTE(AM102, CHAR(13), ""),CHAR(10),"\n"),"'","\'")&amp;IF(AM102&lt;&gt;"", "', textKoAdditional: '"&amp;SUBSTITUTE(SUBSTITUTE(AM102, CHAR(13), ""),CHAR(10),"\n"), "")&amp;"', textEn: '"&amp;SUBSTITUTE(SUBSTITUTE(SUBSTITUTE(AM102, CHAR(13), ""),CHAR(10),"\n"),"'","\'")&amp;IF(AN102&lt;&gt;"", "', textEnAdditional: '"&amp;SUBSTITUTE(SUBSTITUTE(AN102, CHAR(13), ""),CHAR(10),"\n"), "")&amp;"'"&amp;IF(AB102="○",", sealable: true","")&amp;IF(AC102="○",", removable: true","")&amp;IF(AA102="○",", lie: true","")&amp;IF(AD102="○",", investable: true","")&amp;"},")</x:f>
        <x:v>'06-yukihi-A1-n-2': {megami: 'yukihi', anotherID: 'A1', replace: '06-yukihi-o-n-2', name: 'ちからぞえ/おどしつけ', nameEn: 'Cooperate / Coerce', nameZh: '援助 / 威胁', nameZhG101: '援助/舞踏', nameKo: '조력하기 / 위협하기', ruby: '', rubyEn: '', baseType: 'normal', type: 'attack', range: '3-5', damage: '2/1', text: '【常時】あなたの付与札に合計4つ以上の桜花結晶があるならば、この《攻撃》は+0/+1となる。', textZh: '【常时】你的付与区总共有4个或者更多樱花结晶的话，此《攻击》得+0/+1。', textZhG101: '【常时】若你展开中的付与牌上樱花结晶的数目之和大于等于4，则此攻击获得+0/+1。', textZhG101Additional: '【상시】당신의 부여패에 합계 4개 이상의 벚꽃 결정이 있다면, 이 《공격》은 +0/+1된다.', textKo: ' Forced: If there are 4 or more Sakura tokens on your Enhancements in play, this attack gains +0/+1.', textKoAdditional: ' Forced: If there are 4 or more Sakura tokens on your Enhancements in play, this attack gains +0/+1.', textEn: ' Forced: If there are 4 or more Sakura tokens on your Enhancements in play, this attack gains +0/+1.'},</x:v>
      </x:c>
      <x:c r="AU102" t="str">
        <x:f>IF($A102&lt;&gt;"", "    /** 《"&amp;$E102&amp;"》 */ export const "&amp;SUBSTITUTE(UPPER(IF(MID($A102, 3, 1)="-", RIGHT($A102,LEN($A102)-3), $A102)), "-", "_")&amp;": TCardId = '"&amp;$A102&amp;"';", "")</x:f>
        <x:v>    /** 《ちからぞえ/おどしつけ》 */ export const YUKIHI_A1_N_2: TCardId = '06-yukihi-A1-n-2';</x:v>
      </x:c>
      <x:c r="AV102" t="str">
        <x:f>IF($A103&lt;&gt;"", "    | '"&amp;$A103&amp;"'", "")</x:f>
        <x:v>    | '06-yukihi-A1-n-4'</x:v>
      </x:c>
    </x:row>
    <x:row r="103" ht="68" customHeight="1">
      <x:c r="A103" t="str">
        <x:v>06-yukihi-A1-n-4</x:v>
      </x:c>
      <x:c r="B103" t="str">
        <x:v>yukihi</x:v>
      </x:c>
      <x:c r="C103" t="str">
        <x:v>A1</x:v>
      </x:c>
      <x:c r="D103" t="str">
        <x:v>06-yukihi-o-n-4</x:v>
      </x:c>
      <x:c r="E103" t="str">
        <x:v>よこいと/たていと</x:v>
      </x:c>
      <x:c r="F103"/>
      <x:c r="G103" t="str">
        <x:v>纬线 / 经线</x:v>
      </x:c>
      <x:c r="H103" t="str">
        <x:v>纬丝/经纱</x:v>
      </x:c>
      <x:c r="I103"/>
      <x:c r="J103" t="str">
        <x:v>씨실 / 날실</x:v>
      </x:c>
      <x:c r="K103" t="str">
        <x:v>Weft / Warp</x:v>
      </x:c>
      <x:c r="L103"/>
      <x:c r="M103" t="str">
        <x:v>通常札</x:v>
      </x:c>
      <x:c r="N103"/>
      <x:c r="O103"/>
      <x:c r="P103"/>
      <x:c r="Q103"/>
      <x:c r="R103" t="str">
        <x:v>攻撃</x:v>
      </x:c>
      <x:c r="S103"/>
      <x:c r="T103" t="str">
        <x:v>2-8</x:v>
      </x:c>
      <x:c r="U103" t="str">
        <x:v>0-4</x:v>
      </x:c>
      <x:c r="V103" t="str">
        <x:v>1/1</x:v>
      </x:c>
      <x:c r="W103" t="str">
        <x:v>0/0</x:v>
      </x:c>
      <x:c r="X103"/>
      <x:c r="Y103"/>
      <x:c r="Z103"/>
      <x:c r="AA103"/>
      <x:c r="AB103"/>
      <x:c r="AC103"/>
      <x:c r="AD103"/>
      <x:c r="AE103" s="438" t="str">
        <x:v>【攻撃後】このターンにあなたが次に行う他のメガミによる《攻撃》は距離拡大（遠1）と距離拡大（近1）を得る。このカードを山札の底に置く。</x:v>
      </x:c>
      <x:c r="AF103" s="438"/>
      <x:c r="AG103" s="499" t="str">
        <x:v>【攻击后】本回合你的下一次其他女神的《攻击》获得距离扩大（远1）和距离扩大（近1）。将此牌置于牌库底。</x:v>
      </x:c>
      <x:c r="AH103" s="438"/>
      <x:c r="AI103" s="499" t="str">
        <x:v>【攻击后】本回合内你的下一次其他女武神的攻击获得距离扩大（近1、远1）。将此牌置于你的牌库底。</x:v>
      </x:c>
      <x:c r="AJ103" s="438"/>
      <x:c r="AK103" s="499" t="str">
        <x:v>【공격후】이 턴에 당신이 다음에 하는 다른 여신의 《공격》은 거리 확대（원1）와 거리 확대（근1）을 얻는다. 이 카드를 패산 아래에 둔다.</x:v>
      </x:c>
      <x:c r="AL103" s="438"/>
      <x:c r="AM103" s="499" t="str">
        <x:v>After Attack: Increase the Range of the next attack from a non-Yukihi Megami that you make this turn by 1 in both the close and distant directions. Put this card on the bottom of your deck.</x:v>
      </x:c>
      <x:c r="AN103" s="438"/>
      <x:c r="AO103" s="438" t="str">
        <x:v>【攻撃後】このターン中にあなたが他のカードを使用していないならば、あなたの捨て札にある他のメガミの《全力》でないカード1枚を使用する。</x:v>
      </x:c>
      <x:c r="AP103" s="499" t="str">
        <x:v>【攻击后】本回合中若你没有用过其他牌，则从你的弃牌中使用一张其他女神的非《全力》的牌。</x:v>
      </x:c>
      <x:c r="AQ103" s="499" t="str">
        <x:v>【攻击后】若本回合内你没有使用过其他女神的牌，则你可以从弃牌区中使用1张其他女神的不具《全力》副类别的牌。</x:v>
      </x:c>
      <x:c r="AR103" s="499" t="str">
        <x:v>【공격후】이 턴 동안 당신이 다른 카드를 사용하지 않았다면, 당신의 버림패에 있는 다른 여신의 《전력》이 아닌 카드를 1장 사용한다.</x:v>
      </x:c>
      <x:c r="AS103" s="499" t="str">
        <x:v>After Attack: If this is the first card you've played this turn, choose a non-Throughout card from a non-Yukihi Megami in your played pile and play it.</x:v>
      </x:c>
      <x:c r="AT103" t="str">
        <x:f>IF(A103="", "","'"&amp;A103&amp;"': {megami: '"&amp;B103&amp;"'"&amp;IF(C103&lt;&gt;"",", anotherID: '"&amp;C103&amp;"', replace: '"&amp;D103&amp;"'","")&amp;", name: '"&amp;SUBSTITUTE(E103,"'","\'")&amp;"', nameEn: '"&amp;SUBSTITUTE(K103,"'","\'")&amp;"', nameZh: '"&amp;SUBSTITUTE(G103,"'","\'")&amp;"', nameZhG102: '"&amp;SUBSTITUTE(H103,"'","\'")&amp;"', nameKo: '"&amp;SUBSTITUTE(J103,"'","\'")&amp;"', ruby: '"&amp;F103&amp;"', rubyEn: '"&amp;L103&amp;IF(I103&lt;&gt;"", "', rubyZh: '"&amp;I103, "")&amp;"', baseType: '"&amp;IF(M103="通常札","normal",IF(M103="切札","special",IF(M103="追加札","extra",IF(M103="transform","transform",IF(M103="嵐","storm",IF(M103="兵員","troop",IF(M103="構想","plan",IF(M103="メインパーツ","mainParts",IF(M103="カスタムパーツ","customParts",IF(M103="運命","fate",IF(M103="仮想樹","virtualTree","")))))))))))&amp;"'"&amp;IF(N103="○",", extra: true","")&amp;IF(O103&lt;&gt;"",", extraFrom: '"&amp;O103&amp;"'","")&amp;IF(P103&lt;&gt;"",", exchangableTo: '"&amp;P103&amp;"'","")&amp;IF(Q103="○",", poison: true","")&amp;IF(R103&lt;&gt;"", ", type: '"&amp;IF(R103="攻撃","attack",IF(R103="行動","action",IF(R103="不定","variable",IF(R103="対応","reaction",IF(R103="全力","fullpower",IF(R103="付与","enhance",IF(R103="transform","transform","")))))))&amp;"'", "")&amp;IF(S103&lt;&gt;"",", subType: '"&amp;IF(S103="攻撃","attack",IF(S103="行動","action",IF(S103="不定","variable",IF(S103="対応","reaction",IF(S103="全力","fullpower",IF(S103="付与","enhance",IF(S103="transform","transform","")))))))&amp;"'","")&amp;""&amp;IF(T103&lt;&gt;"",", range: '"&amp;T103&amp;"'","")&amp;IF(V103&lt;&gt;"",", damage: '"&amp;V103&amp;"'","")&amp;IF(X103&lt;&gt;"",", capacity: '"&amp;X103&amp;"'","")&amp;IF(Y103&lt;&gt;"",", growth: "&amp;Y103&amp;"","")&amp;IF(Z103&lt;&gt;"",", cost: '"&amp;Z103&amp;"'","")&amp;", text: '"&amp;SUBSTITUTE(SUBSTITUTE(AE103, CHAR(13), ""),CHAR(10),"\n")&amp;IF(AF103&lt;&gt;"", "', textAdditional: '"&amp;SUBSTITUTE(SUBSTITUTE(AF103, CHAR(13), ""),CHAR(10),"\n"), "")&amp;"', textZh: '"&amp;SUBSTITUTE(SUBSTITUTE(SUBSTITUTE(AG103, CHAR(13), ""),CHAR(10),"\n"),"'","\'")&amp;"', textZhG102: '"&amp;SUBSTITUTE(SUBSTITUTE(SUBSTITUTE(AI103, CHAR(13), ""),CHAR(10),"\n"),"'","\'")&amp;IF(AH103&lt;&gt;"", "', textZhAdditional: '"&amp;SUBSTITUTE(SUBSTITUTE(AH103, CHAR(13), ""),CHAR(10),"\n"), "")&amp;IF(AK103&lt;&gt;"", "', textZhG102Additional: '"&amp;SUBSTITUTE(SUBSTITUTE(AK103, CHAR(13), ""),CHAR(10),"\n"), "")&amp;"', textKo: '"&amp;SUBSTITUTE(SUBSTITUTE(SUBSTITUTE(AM103, CHAR(13), ""),CHAR(10),"\n"),"'","\'")&amp;IF(AM103&lt;&gt;"", "', textKoAdditional: '"&amp;SUBSTITUTE(SUBSTITUTE(AM103, CHAR(13), ""),CHAR(10),"\n"), "")&amp;"', textEn: '"&amp;SUBSTITUTE(SUBSTITUTE(SUBSTITUTE(AM103, CHAR(13), ""),CHAR(10),"\n"),"'","\'")&amp;IF(AN103&lt;&gt;"", "', textEnAdditional: '"&amp;SUBSTITUTE(SUBSTITUTE(AN103, CHAR(13), ""),CHAR(10),"\n"), "")&amp;"'"&amp;IF(AB103="○",", sealable: true","")&amp;IF(AC103="○",", removable: true","")&amp;IF(AA103="○",", lie: true","")&amp;IF(AD103="○",", investable: true","")&amp;"},")</x:f>
        <x:v>'06-yukihi-A1-n-4': {megami: 'yukihi', anotherID: 'A1', replace: '06-yukihi-o-n-4', name: 'よこいと/たていと', nameEn: 'Weft / Warp', nameZh: '纬线 / 经线', nameZhG102: '纬丝/经纱', nameKo: '씨실 / 날실', ruby: '', rubyEn: '', baseType: 'normal', type: 'attack', range: '2-8', damage: '1/1', text: '【攻撃後】このターンにあなたが次に行う他のメガミによる《攻撃》は距離拡大（遠1）と距離拡大（近1）を得る。このカードを山札の底に置く。', textZh: '【攻击后】本回合你的下一次其他女神的《攻击》获得距离扩大（远1）和距离扩大（近1）。将此牌置于牌库底。', textZhG102: '【攻击后】本回合内你的下一次其他女武神的攻击获得距离扩大（近1、远1）。将此牌置于你的牌库底。', textZhG102Additional: '【공격후】이 턴에 당신이 다음에 하는 다른 여신의 《공격》은 거리 확대（원1）와 거리 확대（근1）을 얻는다. 이 카드를 패산 아래에 둔다.', textKo: 'After Attack: Increase the Range of the next attack from a non-Yukihi Megami that you make this turn by 1 in both the close and distant directions. Put this card on the bottom of your deck.', textKoAdditional: 'After Attack: Increase the Range of the next attack from a non-Yukihi Megami that you make this turn by 1 in both the close and distant directions. Put this card on the bottom of your deck.', textEn: 'After Attack: Increase the Range of the next attack from a non-Yukihi Megami that you make this turn by 1 in both the close and distant directions. Put this card on the bottom of your deck.'},</x:v>
      </x:c>
      <x:c r="AU103" t="str">
        <x:f>IF($A103&lt;&gt;"", "    /** 《"&amp;$E103&amp;"》 */ export const "&amp;SUBSTITUTE(UPPER(IF(MID($A103, 3, 1)="-", RIGHT($A103,LEN($A103)-3), $A103)), "-", "_")&amp;": TCardId = '"&amp;$A103&amp;"';", "")</x:f>
        <x:v>    /** 《よこいと/たていと》 */ export const YUKIHI_A1_N_4: TCardId = '06-yukihi-A1-n-4';</x:v>
      </x:c>
      <x:c r="AV103" t="str">
        <x:f>IF($A104&lt;&gt;"", "    | '"&amp;$A104&amp;"'", "")</x:f>
        <x:v>    | '06-yukihi-A1-s-2'</x:v>
      </x:c>
    </x:row>
    <x:row r="104" ht="68" customHeight="1">
      <x:c r="A104" t="str">
        <x:v>06-yukihi-A1-s-2</x:v>
      </x:c>
      <x:c r="B104" t="str">
        <x:v>yukihi</x:v>
      </x:c>
      <x:c r="C104" t="str">
        <x:v>A1</x:v>
      </x:c>
      <x:c r="D104" t="str">
        <x:v>06-yukihi-o-s-2</x:v>
      </x:c>
      <x:c r="E104" t="str">
        <x:v>ひらりおり</x:v>
      </x:c>
      <x:c r="F104"/>
      <x:c r="G104" t="str">
        <x:v>轻灵如织</x:v>
      </x:c>
      <x:c r="H104" t="str">
        <x:v>翩然如织</x:v>
      </x:c>
      <x:c r="I104"/>
      <x:c r="J104" t="str">
        <x:v>살랑이는 옷깃</x:v>
      </x:c>
      <x:c r="K104" t="str">
        <x:v>Graceful Weave</x:v>
      </x:c>
      <x:c r="L104"/>
      <x:c r="M104" t="str">
        <x:v>切札</x:v>
      </x:c>
      <x:c r="N104"/>
      <x:c r="O104"/>
      <x:c r="P104"/>
      <x:c r="Q104"/>
      <x:c r="R104" t="str">
        <x:v>付与</x:v>
      </x:c>
      <x:c r="S104"/>
      <x:c r="T104"/>
      <x:c r="U104"/>
      <x:c r="V104"/>
      <x:c r="W104" t="str">
        <x:v>1/-</x:v>
      </x:c>
      <x:c r="X104" t="n">
        <x:v>1</x:v>
      </x:c>
      <x:c r="Y104"/>
      <x:c r="Z104" t="n">
        <x:v>4</x:v>
      </x:c>
      <x:c r="AA104"/>
      <x:c r="AB104"/>
      <x:c r="AC104"/>
      <x:c r="AD104"/>
      <x:c r="AE104" s="438" t="str">
        <x:v>【展開中】あなたが他のメガミの通常札をあなたの各ターンに初めて使用した時、その解決後にあなたは集中力を1得て、ダストからこのカードの上に桜花結晶を3つ置いてもよい。</x:v>
      </x:c>
      <x:c r="AF104" s="438"/>
      <x:c r="AG104" s="499" t="str">
        <x:v>【展开中】你的每个回合中第一次使用你的其他女神的通常牌的时候，在结算后你获得1点集中力，从虚中把3个樱花结晶移至此牌上。</x:v>
      </x:c>
      <x:c r="AH104" s="438"/>
      <x:c r="AI104" s="499" t="str">
        <x:v>【展开中】你的回合内，每当你第一次使用的其他女神的通常牌时，该牌结算完毕后你可以获得1点集中力，并将虚中的3个樱花结晶移至此牌上。</x:v>
      </x:c>
      <x:c r="AJ104" s="438"/>
      <x:c r="AK104" s="499" t="str">
        <x:v>【전개중】당신이 다른 여신의 통상패를 당신의 각 턴에 처음 사용할 때, 그것을 해결하고 당신은 집중력을 1얻고 더스트에서 이 카드 위에 벚꽃 결정을 3개 올려도 좋다.</x:v>
      </x:c>
      <x:c r="AL104" s="438"/>
      <x:c r="AM104" s="499" t="str">
        <x:v>Ongoing: The first time you play a card from a non-Yukihi Megami on each of your turns, after it resolves, you may gain 1 Vigor and move 3 Sakura tokens from Shadow to this card.</x:v>
      </x:c>
      <x:c r="AN104" s="438"/>
      <x:c r="AO104" s="438" t="str">
        <x:v>【展開中】あなたの開始フェイズの開始時に攻撃「適正距離0-5、2/2」を行う。</x:v>
      </x:c>
      <x:c r="AP104" s="499" t="str">
        <x:v>【展开中】每当你的准备阶段开始时，进行一次“攻击距离0-5 伤害2/2”的攻击。</x:v>
      </x:c>
      <x:c r="AQ104" s="499" t="str">
        <x:v>【展开中】每当你的准备阶段开始时，进行一次“攻击距离0-5 伤害2/2”的攻击。</x:v>
      </x:c>
      <x:c r="AR104" s="499" t="str">
        <x:v>【전개중】당신의 개시 페이즈의 개시 시에 공격 「적정 거리0-5, 2/2」를 한다.</x:v>
      </x:c>
      <x:c r="AS104" s="499" t="str">
        <x:v>Ongoing: At the beginning of your turn, you attack with "Range: 0-5, Damage: 2/2".</x:v>
      </x:c>
      <x:c r="AT104" t="str">
        <x:f>IF(A104="", "","'"&amp;A104&amp;"': {megami: '"&amp;B104&amp;"'"&amp;IF(C104&lt;&gt;"",", anotherID: '"&amp;C104&amp;"', replace: '"&amp;D104&amp;"'","")&amp;", name: '"&amp;SUBSTITUTE(E104,"'","\'")&amp;"', nameEn: '"&amp;SUBSTITUTE(K104,"'","\'")&amp;"', nameZh: '"&amp;SUBSTITUTE(G104,"'","\'")&amp;"', nameZhG103: '"&amp;SUBSTITUTE(H104,"'","\'")&amp;"', nameKo: '"&amp;SUBSTITUTE(J104,"'","\'")&amp;"', ruby: '"&amp;F104&amp;"', rubyEn: '"&amp;L104&amp;IF(I104&lt;&gt;"", "', rubyZh: '"&amp;I104, "")&amp;"', baseType: '"&amp;IF(M104="通常札","normal",IF(M104="切札","special",IF(M104="追加札","extra",IF(M104="transform","transform",IF(M104="嵐","storm",IF(M104="兵員","troop",IF(M104="構想","plan",IF(M104="メインパーツ","mainParts",IF(M104="カスタムパーツ","customParts",IF(M104="運命","fate",IF(M104="仮想樹","virtualTree","")))))))))))&amp;"'"&amp;IF(N104="○",", extra: true","")&amp;IF(O104&lt;&gt;"",", extraFrom: '"&amp;O104&amp;"'","")&amp;IF(P104&lt;&gt;"",", exchangableTo: '"&amp;P104&amp;"'","")&amp;IF(Q104="○",", poison: true","")&amp;IF(R104&lt;&gt;"", ", type: '"&amp;IF(R104="攻撃","attack",IF(R104="行動","action",IF(R104="不定","variable",IF(R104="対応","reaction",IF(R104="全力","fullpower",IF(R104="付与","enhance",IF(R104="transform","transform","")))))))&amp;"'", "")&amp;IF(S104&lt;&gt;"",", subType: '"&amp;IF(S104="攻撃","attack",IF(S104="行動","action",IF(S104="不定","variable",IF(S104="対応","reaction",IF(S104="全力","fullpower",IF(S104="付与","enhance",IF(S104="transform","transform","")))))))&amp;"'","")&amp;""&amp;IF(T104&lt;&gt;"",", range: '"&amp;T104&amp;"'","")&amp;IF(V104&lt;&gt;"",", damage: '"&amp;V104&amp;"'","")&amp;IF(X104&lt;&gt;"",", capacity: '"&amp;X104&amp;"'","")&amp;IF(Y104&lt;&gt;"",", growth: "&amp;Y104&amp;"","")&amp;IF(Z104&lt;&gt;"",", cost: '"&amp;Z104&amp;"'","")&amp;", text: '"&amp;SUBSTITUTE(SUBSTITUTE(AE104, CHAR(13), ""),CHAR(10),"\n")&amp;IF(AF104&lt;&gt;"", "', textAdditional: '"&amp;SUBSTITUTE(SUBSTITUTE(AF104, CHAR(13), ""),CHAR(10),"\n"), "")&amp;"', textZh: '"&amp;SUBSTITUTE(SUBSTITUTE(SUBSTITUTE(AG104, CHAR(13), ""),CHAR(10),"\n"),"'","\'")&amp;"', textZhG103: '"&amp;SUBSTITUTE(SUBSTITUTE(SUBSTITUTE(AI104, CHAR(13), ""),CHAR(10),"\n"),"'","\'")&amp;IF(AH104&lt;&gt;"", "', textZhAdditional: '"&amp;SUBSTITUTE(SUBSTITUTE(AH104, CHAR(13), ""),CHAR(10),"\n"), "")&amp;IF(AK104&lt;&gt;"", "', textZhG103Additional: '"&amp;SUBSTITUTE(SUBSTITUTE(AK104, CHAR(13), ""),CHAR(10),"\n"), "")&amp;"', textKo: '"&amp;SUBSTITUTE(SUBSTITUTE(SUBSTITUTE(AM104, CHAR(13), ""),CHAR(10),"\n"),"'","\'")&amp;IF(AM104&lt;&gt;"", "', textKoAdditional: '"&amp;SUBSTITUTE(SUBSTITUTE(AM104, CHAR(13), ""),CHAR(10),"\n"), "")&amp;"', textEn: '"&amp;SUBSTITUTE(SUBSTITUTE(SUBSTITUTE(AM104, CHAR(13), ""),CHAR(10),"\n"),"'","\'")&amp;IF(AN104&lt;&gt;"", "', textEnAdditional: '"&amp;SUBSTITUTE(SUBSTITUTE(AN104, CHAR(13), ""),CHAR(10),"\n"), "")&amp;"'"&amp;IF(AB104="○",", sealable: true","")&amp;IF(AC104="○",", removable: true","")&amp;IF(AA104="○",", lie: true","")&amp;IF(AD104="○",", investable: true","")&amp;"},")</x:f>
        <x:v>'06-yukihi-A1-s-2': {megami: 'yukihi', anotherID: 'A1', replace: '06-yukihi-o-s-2', name: 'ひらりおり', nameEn: 'Graceful Weave', nameZh: '轻灵如织', nameZhG103: '翩然如织', nameKo: '살랑이는 옷깃', ruby: '', rubyEn: '', baseType: 'special', type: 'enhance', capacity: '1', cost: '4', text: '【展開中】あなたが他のメガミの通常札をあなたの各ターンに初めて使用した時、その解決後にあなたは集中力を1得て、ダストからこのカードの上に桜花結晶を3つ置いてもよい。', textZh: '【展开中】你的每个回合中第一次使用你的其他女神的通常牌的时候，在结算后你获得1点集中力，从虚中把3个樱花结晶移至此牌上。', textZhG103: '【展开中】你的回合内，每当你第一次使用的其他女神的通常牌时，该牌结算完毕后你可以获得1点集中力，并将虚中的3个樱花结晶移至此牌上。', textZhG103Additional: '【전개중】당신이 다른 여신의 통상패를 당신의 각 턴에 처음 사용할 때, 그것을 해결하고 당신은 집중력을 1얻고 더스트에서 이 카드 위에 벚꽃 결정을 3개 올려도 좋다.', textKo: 'Ongoing: The first time you play a card from a non-Yukihi Megami on each of your turns, after it resolves, you may gain 1 Vigor and move 3 Sakura tokens from Shadow to this card.', textKoAdditional: 'Ongoing: The first time you play a card from a non-Yukihi Megami on each of your turns, after it resolves, you may gain 1 Vigor and move 3 Sakura tokens from Shadow to this card.', textEn: 'Ongoing: The first time you play a card from a non-Yukihi Megami on each of your turns, after it resolves, you may gain 1 Vigor and move 3 Sakura tokens from Shadow to this card.'},</x:v>
      </x:c>
      <x:c r="AU104" t="str">
        <x:f>IF($A104&lt;&gt;"", "    /** 《"&amp;$E104&amp;"》 */ export const "&amp;SUBSTITUTE(UPPER(IF(MID($A104, 3, 1)="-", RIGHT($A104,LEN($A104)-3), $A104)), "-", "_")&amp;": TCardId = '"&amp;$A104&amp;"';", "")</x:f>
        <x:v>    /** 《ひらりおり》 */ export const YUKIHI_A1_S_2: TCardId = '06-yukihi-A1-s-2';</x:v>
      </x:c>
      <x:c r="AV104" t="str">
        <x:f>IF($A105&lt;&gt;"", "    | '"&amp;$A105&amp;"'", "")</x:f>
        <x:v>    | '07-shinra-o-n-1'</x:v>
      </x:c>
    </x:row>
    <x:row r="105" ht="53" customHeight="1">
      <x:c r="A105" t="str">
        <x:v>07-shinra-o-n-1</x:v>
      </x:c>
      <x:c r="B105" t="str">
        <x:v>shinra</x:v>
      </x:c>
      <x:c r="C105"/>
      <x:c r="D105"/>
      <x:c r="E105" t="str">
        <x:v>立論</x:v>
      </x:c>
      <x:c r="F105" t="str">
        <x:v>りつろん</x:v>
      </x:c>
      <x:c r="G105" t="str">
        <x:v>立证</x:v>
      </x:c>
      <x:c r="H105" t="str">
        <x:v>立论</x:v>
      </x:c>
      <x:c r="I105"/>
      <x:c r="J105" t="str">
        <x:v>입론</x:v>
      </x:c>
      <x:c r="K105" t="str">
        <x:v>Argue</x:v>
      </x:c>
      <x:c r="L105"/>
      <x:c r="M105" t="str">
        <x:v>通常札</x:v>
      </x:c>
      <x:c r="N105"/>
      <x:c r="O105"/>
      <x:c r="P105"/>
      <x:c r="Q105"/>
      <x:c r="R105" t="str">
        <x:v>攻撃</x:v>
      </x:c>
      <x:c r="S105"/>
      <x:c r="T105" t="str">
        <x:v>2-7</x:v>
      </x:c>
      <x:c r="U105"/>
      <x:c r="V105" t="str">
        <x:v>2/-</x:v>
      </x:c>
      <x:c r="W105"/>
      <x:c r="X105"/>
      <x:c r="Y105"/>
      <x:c r="Z105"/>
      <x:c r="AA105"/>
      <x:c r="AB105"/>
      <x:c r="AC105"/>
      <x:c r="AD105"/>
      <x:c r="AE105" s="438" t="str">
        <x:v>【常時】相手の山札に2枚以上のカードがあるならば、この《攻撃》はダメージを与える代わりに相手の山札の上から2枚を伏せ札にする。</x:v>
      </x:c>
      <x:c r="AF105" s="438"/>
      <x:c r="AG105" s="499" t="str">
        <x:v>【常时】若对手牌库的牌张数大于等于2，以盖伏对手牌库顶的2张牌来代替此《攻击》造成的伤害。</x:v>
      </x:c>
      <x:c r="AH105" s="438"/>
      <x:c r="AI105" s="499" t="str">
        <x:v>【常时】若对手牌库的牌张数大于2，则防止此《攻击》将造成的伤害。每以此法防止1点伤害，便盖伏对手牌库顶的一张牌。</x:v>
      </x:c>
      <x:c r="AJ105" s="438"/>
      <x:c r="AK105" s="499" t="str">
        <x:v>【상시】상대의 패산에 2장 이상 카드가 있다면, 이 《공격》은 대미지를 주는 대신 패산의 위에서 2장을 덮임패로 한다.</x:v>
      </x:c>
      <x:c r="AL105" s="438"/>
      <x:c r="AM105" s="499" t="str">
        <x:v>Forced: If your opponent's deck has 2 or more cards, this attack puts the top 2 cards of your opponent's deck into their discard pile instead of dealing damage.</x:v>
      </x:c>
      <x:c r="AN105" s="438"/>
      <x:c r="AO105" s="438"/>
      <x:c r="AP105" s="438"/>
      <x:c r="AQ105" s="438"/>
      <x:c r="AR105" s="438"/>
      <x:c r="AS105" s="438"/>
      <x:c r="AT105" t="str">
        <x:f>IF(A105="", "","'"&amp;A105&amp;"': {megami: '"&amp;B105&amp;"'"&amp;IF(C105&lt;&gt;"",", anotherID: '"&amp;C105&amp;"', replace: '"&amp;D105&amp;"'","")&amp;", name: '"&amp;SUBSTITUTE(E105,"'","\'")&amp;"', nameEn: '"&amp;SUBSTITUTE(K105,"'","\'")&amp;"', nameZh: '"&amp;SUBSTITUTE(G105,"'","\'")&amp;"', nameZhG104: '"&amp;SUBSTITUTE(H105,"'","\'")&amp;"', nameKo: '"&amp;SUBSTITUTE(J105,"'","\'")&amp;"', ruby: '"&amp;F105&amp;"', rubyEn: '"&amp;L105&amp;IF(I105&lt;&gt;"", "', rubyZh: '"&amp;I105, "")&amp;"', baseType: '"&amp;IF(M105="通常札","normal",IF(M105="切札","special",IF(M105="追加札","extra",IF(M105="transform","transform",IF(M105="嵐","storm",IF(M105="兵員","troop",IF(M105="構想","plan",IF(M105="メインパーツ","mainParts",IF(M105="カスタムパーツ","customParts",IF(M105="運命","fate",IF(M105="仮想樹","virtualTree","")))))))))))&amp;"'"&amp;IF(N105="○",", extra: true","")&amp;IF(O105&lt;&gt;"",", extraFrom: '"&amp;O105&amp;"'","")&amp;IF(P105&lt;&gt;"",", exchangableTo: '"&amp;P105&amp;"'","")&amp;IF(Q105="○",", poison: true","")&amp;IF(R105&lt;&gt;"", ", type: '"&amp;IF(R105="攻撃","attack",IF(R105="行動","action",IF(R105="不定","variable",IF(R105="対応","reaction",IF(R105="全力","fullpower",IF(R105="付与","enhance",IF(R105="transform","transform","")))))))&amp;"'", "")&amp;IF(S105&lt;&gt;"",", subType: '"&amp;IF(S105="攻撃","attack",IF(S105="行動","action",IF(S105="不定","variable",IF(S105="対応","reaction",IF(S105="全力","fullpower",IF(S105="付与","enhance",IF(S105="transform","transform","")))))))&amp;"'","")&amp;""&amp;IF(T105&lt;&gt;"",", range: '"&amp;T105&amp;"'","")&amp;IF(V105&lt;&gt;"",", damage: '"&amp;V105&amp;"'","")&amp;IF(X105&lt;&gt;"",", capacity: '"&amp;X105&amp;"'","")&amp;IF(Y105&lt;&gt;"",", growth: "&amp;Y105&amp;"","")&amp;IF(Z105&lt;&gt;"",", cost: '"&amp;Z105&amp;"'","")&amp;", text: '"&amp;SUBSTITUTE(SUBSTITUTE(AE105, CHAR(13), ""),CHAR(10),"\n")&amp;IF(AF105&lt;&gt;"", "', textAdditional: '"&amp;SUBSTITUTE(SUBSTITUTE(AF105, CHAR(13), ""),CHAR(10),"\n"), "")&amp;"', textZh: '"&amp;SUBSTITUTE(SUBSTITUTE(SUBSTITUTE(AG105, CHAR(13), ""),CHAR(10),"\n"),"'","\'")&amp;"', textZhG104: '"&amp;SUBSTITUTE(SUBSTITUTE(SUBSTITUTE(AI105, CHAR(13), ""),CHAR(10),"\n"),"'","\'")&amp;IF(AH105&lt;&gt;"", "', textZhAdditional: '"&amp;SUBSTITUTE(SUBSTITUTE(AH105, CHAR(13), ""),CHAR(10),"\n"), "")&amp;IF(AK105&lt;&gt;"", "', textZhG104Additional: '"&amp;SUBSTITUTE(SUBSTITUTE(AK105, CHAR(13), ""),CHAR(10),"\n"), "")&amp;"', textKo: '"&amp;SUBSTITUTE(SUBSTITUTE(SUBSTITUTE(AM105, CHAR(13), ""),CHAR(10),"\n"),"'","\'")&amp;IF(AM105&lt;&gt;"", "', textKoAdditional: '"&amp;SUBSTITUTE(SUBSTITUTE(AM105, CHAR(13), ""),CHAR(10),"\n"), "")&amp;"', textEn: '"&amp;SUBSTITUTE(SUBSTITUTE(SUBSTITUTE(AM105, CHAR(13), ""),CHAR(10),"\n"),"'","\'")&amp;IF(AN105&lt;&gt;"", "', textEnAdditional: '"&amp;SUBSTITUTE(SUBSTITUTE(AN105, CHAR(13), ""),CHAR(10),"\n"), "")&amp;"'"&amp;IF(AB105="○",", sealable: true","")&amp;IF(AC105="○",", removable: true","")&amp;IF(AA105="○",", lie: true","")&amp;IF(AD105="○",", investable: true","")&amp;"},")</x:f>
        <x:v>'07-shinra-o-n-1': {megami: 'shinra', name: '立論', nameEn: 'Argue', nameZh: '立证', nameZhG104: '立论', nameKo: '입론', ruby: 'りつろん', rubyEn: '', baseType: 'normal', type: 'attack', range: '2-7', damage: '2/-', text: '【常時】相手の山札に2枚以上のカードがあるならば、この《攻撃》はダメージを与える代わりに相手の山札の上から2枚を伏せ札にする。', textZh: '【常时】若对手牌库的牌张数大于等于2，以盖伏对手牌库顶的2张牌来代替此《攻击》造成的伤害。', textZhG104: '【常时】若对手牌库的牌张数大于2，则防止此《攻击》将造成的伤害。每以此法防止1点伤害，便盖伏对手牌库顶的一张牌。', textZhG104Additional: '【상시】상대의 패산에 2장 이상 카드가 있다면, 이 《공격》은 대미지를 주는 대신 패산의 위에서 2장을 덮임패로 한다.', textKo: 'Forced: If your opponent\'s deck has 2 or more cards, this attack puts the top 2 cards of your opponent\'s deck into their discard pile instead of dealing damage.', textKoAdditional: 'Forced: If your opponent's deck has 2 or more cards, this attack puts the top 2 cards of your opponent's deck into their discard pile instead of dealing damage.', textEn: 'Forced: If your opponent\'s deck has 2 or more cards, this attack puts the top 2 cards of your opponent\'s deck into their discard pile instead of dealing damage.'},</x:v>
      </x:c>
      <x:c r="AU105" t="str">
        <x:f>IF($A105&lt;&gt;"", "    /** 《"&amp;$E105&amp;"》 */ export const "&amp;SUBSTITUTE(UPPER(IF(MID($A105, 3, 1)="-", RIGHT($A105,LEN($A105)-3), $A105)), "-", "_")&amp;": TCardId = '"&amp;$A105&amp;"';", "")</x:f>
        <x:v>    /** 《立論》 */ export const SHINRA_O_N_1: TCardId = '07-shinra-o-n-1';</x:v>
      </x:c>
      <x:c r="AV105" t="str">
        <x:f>IF($A106&lt;&gt;"", "    | '"&amp;$A106&amp;"'", "")</x:f>
        <x:v>    | '07-shinra-o-n-2'</x:v>
      </x:c>
    </x:row>
    <x:row r="106" ht="38" customHeight="1">
      <x:c r="A106" t="str">
        <x:v>07-shinra-o-n-2</x:v>
      </x:c>
      <x:c r="B106" t="str">
        <x:v>shinra</x:v>
      </x:c>
      <x:c r="C106"/>
      <x:c r="D106"/>
      <x:c r="E106" t="str">
        <x:v>反論</x:v>
      </x:c>
      <x:c r="F106" t="str">
        <x:v>はんろん</x:v>
      </x:c>
      <x:c r="G106" t="str">
        <x:v>反驳</x:v>
      </x:c>
      <x:c r="H106" t="str">
        <x:v>反论</x:v>
      </x:c>
      <x:c r="I106"/>
      <x:c r="J106" t="str">
        <x:v>반론</x:v>
      </x:c>
      <x:c r="K106" t="str">
        <x:v>Protest</x:v>
      </x:c>
      <x:c r="L106"/>
      <x:c r="M106" t="str">
        <x:v>通常札</x:v>
      </x:c>
      <x:c r="N106"/>
      <x:c r="O106"/>
      <x:c r="P106"/>
      <x:c r="Q106"/>
      <x:c r="R106" t="str">
        <x:v>攻撃</x:v>
      </x:c>
      <x:c r="S106" t="str">
        <x:v>対応</x:v>
      </x:c>
      <x:c r="T106" t="str">
        <x:v>2-7</x:v>
      </x:c>
      <x:c r="U106"/>
      <x:c r="V106" t="str">
        <x:v>1/-</x:v>
      </x:c>
      <x:c r="W106"/>
      <x:c r="X106"/>
      <x:c r="Y106"/>
      <x:c r="Z106"/>
      <x:c r="AA106"/>
      <x:c r="AB106"/>
      <x:c r="AC106"/>
      <x:c r="AD106"/>
      <x:c r="AE106" s="438" t="str">
        <x:v>【攻撃後】対応した切札でなく、オーラへのダメージ「-」でない《攻撃》のダメージを打ち消す。
【攻撃後】相手はカードを1枚引く。</x:v>
      </x:c>
      <x:c r="AF106" s="438"/>
      <x:c r="AG106" s="499" t="str">
        <x:v>【攻击后】打消被对应的《攻击》非王牌且对装伤害不为「-」的攻击将造成的伤害（其攻击后效果依然结算）。
【攻击后】对手抓1张牌。</x:v>
      </x:c>
      <x:c r="AH106" s="438"/>
      <x:c r="AI106" s="438"/>
      <x:c r="AJ106" s="438"/>
      <x:c r="AK106" s="499" t="str">
        <x:v>【공격후】 대응한 비장패가 아니며 오라 데미지가「-」 가 아닌 《공격》의 데미지를 무효화한다.
【공격후】 상대는 카드를 1장 뽑는다.</x:v>
      </x:c>
      <x:c r="AL106" s="438"/>
      <x:c r="AM106" s="438"/>
      <x:c r="AN106" s="438"/>
      <x:c r="AO106" s="438"/>
      <x:c r="AP106" s="438"/>
      <x:c r="AQ106" s="438"/>
      <x:c r="AR106" s="438"/>
      <x:c r="AS106" s="438"/>
      <x:c r="AT106" t="str">
        <x:f>IF(A106="", "","'"&amp;A106&amp;"': {megami: '"&amp;B106&amp;"'"&amp;IF(C106&lt;&gt;"",", anotherID: '"&amp;C106&amp;"', replace: '"&amp;D106&amp;"'","")&amp;", name: '"&amp;SUBSTITUTE(E106,"'","\'")&amp;"', nameEn: '"&amp;SUBSTITUTE(K106,"'","\'")&amp;"', nameZh: '"&amp;SUBSTITUTE(G106,"'","\'")&amp;"', nameZhG105: '"&amp;SUBSTITUTE(H106,"'","\'")&amp;"', nameKo: '"&amp;SUBSTITUTE(J106,"'","\'")&amp;"', ruby: '"&amp;F106&amp;"', rubyEn: '"&amp;L106&amp;IF(I106&lt;&gt;"", "', rubyZh: '"&amp;I106, "")&amp;"', baseType: '"&amp;IF(M106="通常札","normal",IF(M106="切札","special",IF(M106="追加札","extra",IF(M106="transform","transform",IF(M106="嵐","storm",IF(M106="兵員","troop",IF(M106="構想","plan",IF(M106="メインパーツ","mainParts",IF(M106="カスタムパーツ","customParts",IF(M106="運命","fate",IF(M106="仮想樹","virtualTree","")))))))))))&amp;"'"&amp;IF(N106="○",", extra: true","")&amp;IF(O106&lt;&gt;"",", extraFrom: '"&amp;O106&amp;"'","")&amp;IF(P106&lt;&gt;"",", exchangableTo: '"&amp;P106&amp;"'","")&amp;IF(Q106="○",", poison: true","")&amp;IF(R106&lt;&gt;"", ", type: '"&amp;IF(R106="攻撃","attack",IF(R106="行動","action",IF(R106="不定","variable",IF(R106="対応","reaction",IF(R106="全力","fullpower",IF(R106="付与","enhance",IF(R106="transform","transform","")))))))&amp;"'", "")&amp;IF(S106&lt;&gt;"",", subType: '"&amp;IF(S106="攻撃","attack",IF(S106="行動","action",IF(S106="不定","variable",IF(S106="対応","reaction",IF(S106="全力","fullpower",IF(S106="付与","enhance",IF(S106="transform","transform","")))))))&amp;"'","")&amp;""&amp;IF(T106&lt;&gt;"",", range: '"&amp;T106&amp;"'","")&amp;IF(V106&lt;&gt;"",", damage: '"&amp;V106&amp;"'","")&amp;IF(X106&lt;&gt;"",", capacity: '"&amp;X106&amp;"'","")&amp;IF(Y106&lt;&gt;"",", growth: "&amp;Y106&amp;"","")&amp;IF(Z106&lt;&gt;"",", cost: '"&amp;Z106&amp;"'","")&amp;", text: '"&amp;SUBSTITUTE(SUBSTITUTE(AE106, CHAR(13), ""),CHAR(10),"\n")&amp;IF(AF106&lt;&gt;"", "', textAdditional: '"&amp;SUBSTITUTE(SUBSTITUTE(AF106, CHAR(13), ""),CHAR(10),"\n"), "")&amp;"', textZh: '"&amp;SUBSTITUTE(SUBSTITUTE(SUBSTITUTE(AG106, CHAR(13), ""),CHAR(10),"\n"),"'","\'")&amp;"', textZhG105: '"&amp;SUBSTITUTE(SUBSTITUTE(SUBSTITUTE(AI106, CHAR(13), ""),CHAR(10),"\n"),"'","\'")&amp;IF(AH106&lt;&gt;"", "', textZhAdditional: '"&amp;SUBSTITUTE(SUBSTITUTE(AH106, CHAR(13), ""),CHAR(10),"\n"), "")&amp;IF(AK106&lt;&gt;"", "', textZhG105Additional: '"&amp;SUBSTITUTE(SUBSTITUTE(AK106, CHAR(13), ""),CHAR(10),"\n"), "")&amp;"', textKo: '"&amp;SUBSTITUTE(SUBSTITUTE(SUBSTITUTE(AM106, CHAR(13), ""),CHAR(10),"\n"),"'","\'")&amp;IF(AM106&lt;&gt;"", "', textKoAdditional: '"&amp;SUBSTITUTE(SUBSTITUTE(AM106, CHAR(13), ""),CHAR(10),"\n"), "")&amp;"', textEn: '"&amp;SUBSTITUTE(SUBSTITUTE(SUBSTITUTE(AM106, CHAR(13), ""),CHAR(10),"\n"),"'","\'")&amp;IF(AN106&lt;&gt;"", "', textEnAdditional: '"&amp;SUBSTITUTE(SUBSTITUTE(AN106, CHAR(13), ""),CHAR(10),"\n"), "")&amp;"'"&amp;IF(AB106="○",", sealable: true","")&amp;IF(AC106="○",", removable: true","")&amp;IF(AA106="○",", lie: true","")&amp;IF(AD106="○",", investable: true","")&amp;"},")</x:f>
        <x:v>'07-shinra-o-n-2': {megami: 'shinra', name: '反論', nameEn: 'Protest', nameZh: '反驳', nameZhG105: '反论', nameKo: '반론', ruby: 'はんろん', rubyEn: '', baseType: 'normal', type: 'attack', subType: 'reaction', range: '2-7', damage: '1/-', text: '【攻撃後】対応した切札でなく、オーラへのダメージ「-」でない《攻撃》のダメージを打ち消す。\n【攻撃後】相手はカードを1枚引く。', textZh: '【攻击后】打消被对应的《攻击》非王牌且对装伤害不为「-」的攻击将造成的伤害（其攻击后效果依然结算）。\n【攻击后】对手抓1张牌。', textZhG105: '', textZhG105Additional: '【공격후】 대응한 비장패가 아니며 오라 데미지가「-」 가 아닌 《공격》의 데미지를 무효화한다.\n【공격후】 상대는 카드를 1장 뽑는다.', textKo: '', textEn: ''},</x:v>
      </x:c>
      <x:c r="AU106" t="str">
        <x:f>IF($A106&lt;&gt;"", "    /** 《"&amp;$E106&amp;"》 */ export const "&amp;SUBSTITUTE(UPPER(IF(MID($A106, 3, 1)="-", RIGHT($A106,LEN($A106)-3), $A106)), "-", "_")&amp;": TCardId = '"&amp;$A106&amp;"';", "")</x:f>
        <x:v>    /** 《反論》 */ export const SHINRA_O_N_2: TCardId = '07-shinra-o-n-2';</x:v>
      </x:c>
      <x:c r="AV106" t="str">
        <x:f>IF($A107&lt;&gt;"", "    | '"&amp;$A107&amp;"'", "")</x:f>
        <x:v>    | '07-shinra-o-n-3'</x:v>
      </x:c>
    </x:row>
    <x:row r="107" ht="128" customHeight="1">
      <x:c r="A107" t="str">
        <x:v>07-shinra-o-n-3</x:v>
      </x:c>
      <x:c r="B107" t="str">
        <x:v>shinra</x:v>
      </x:c>
      <x:c r="C107"/>
      <x:c r="D107"/>
      <x:c r="E107" t="str">
        <x:v>詭弁</x:v>
      </x:c>
      <x:c r="F107" t="str">
        <x:v>きべん</x:v>
      </x:c>
      <x:c r="G107" t="str">
        <x:v>诡辩</x:v>
      </x:c>
      <x:c r="H107" t="str">
        <x:v>诡辩</x:v>
      </x:c>
      <x:c r="I107"/>
      <x:c r="J107" t="str">
        <x:v>궤변</x:v>
      </x:c>
      <x:c r="K107" t="str">
        <x:v>Sophism</x:v>
      </x:c>
      <x:c r="L107"/>
      <x:c r="M107" t="str">
        <x:v>通常札</x:v>
      </x:c>
      <x:c r="N107"/>
      <x:c r="O107"/>
      <x:c r="P107"/>
      <x:c r="Q107"/>
      <x:c r="R107" t="str">
        <x:v>攻撃</x:v>
      </x:c>
      <x:c r="S107" t="str">
        <x:v>全力</x:v>
      </x:c>
      <x:c r="T107" t="str">
        <x:v>3-8</x:v>
      </x:c>
      <x:c r="U107"/>
      <x:c r="V107" t="str">
        <x:v>-/1</x:v>
      </x:c>
      <x:c r="W107"/>
      <x:c r="X107"/>
      <x:c r="Y107"/>
      <x:c r="Z107"/>
      <x:c r="AA107"/>
      <x:c r="AB107"/>
      <x:c r="AC107"/>
      <x:c r="AD107"/>
      <x:c r="AE107" s="438" t="str">
        <x:v>【攻撃後】計略を実行し、次の計略を準備する。
神算:相手の山札の上から3枚を伏せ札にする。
鬼謀:相手の捨て札にあるカードを1枚選び、それを使用してもよい。</x:v>
      </x:c>
      <x:c r="AF107" s="438"/>
      <x:c r="AG107" s="499" t="str">
        <x:v>【攻击后】实行当前计略，准备下个计略。 
----
[神算] 盖伏对手牌库顶的3张牌。 _x005F
----
[鬼谋] 你可以使用对手弃牌区中的1张牌。</x:v>
      </x:c>
      <x:c r="AH107" s="438"/>
      <x:c r="AI107" s="499" t="str">
        <x:v>【攻击后】实行当前计略，准备下个计略。 
神算：盖伏对手牌库顶的3张牌。 
鬼谋：你可以使用对手弃牌区中的一张牌。</x:v>
      </x:c>
      <x:c r="AJ107" s="438"/>
      <x:c r="AK107" s="499" t="str">
        <x:v>【공격후】계략을 실행하고, 다음 계략을 준비한다.
 [신산]상대의 패산 위에서 3장을 덮임패로 한다.
 [귀모]상대의 버림패에 있는 카드 1장을 골라, 그것을 사용해도 좋다.</x:v>
      </x:c>
      <x:c r="AL107" s="438"/>
      <x:c r="AM107" s="499" t="str">
        <x:v>After Attack: Enact your current Plan, then prepare your next one.
Divine - Put the top 3 cards of your opponent's deck into their discard pile.
Devious - You may choose and play a card in your opponent's played pile.</x:v>
      </x:c>
      <x:c r="AN107" s="438"/>
      <x:c r="AO107" s="438"/>
      <x:c r="AP107" s="438"/>
      <x:c r="AQ107" s="438"/>
      <x:c r="AR107" s="438"/>
      <x:c r="AS107" s="438"/>
      <x:c r="AT107" t="str">
        <x:f>IF(A107="", "","'"&amp;A107&amp;"': {megami: '"&amp;B107&amp;"'"&amp;IF(C107&lt;&gt;"",", anotherID: '"&amp;C107&amp;"', replace: '"&amp;D107&amp;"'","")&amp;", name: '"&amp;SUBSTITUTE(E107,"'","\'")&amp;"', nameEn: '"&amp;SUBSTITUTE(K107,"'","\'")&amp;"', nameZh: '"&amp;SUBSTITUTE(G107,"'","\'")&amp;"', nameZhG106: '"&amp;SUBSTITUTE(H107,"'","\'")&amp;"', nameKo: '"&amp;SUBSTITUTE(J107,"'","\'")&amp;"', ruby: '"&amp;F107&amp;"', rubyEn: '"&amp;L107&amp;IF(I107&lt;&gt;"", "', rubyZh: '"&amp;I107, "")&amp;"', baseType: '"&amp;IF(M107="通常札","normal",IF(M107="切札","special",IF(M107="追加札","extra",IF(M107="transform","transform",IF(M107="嵐","storm",IF(M107="兵員","troop",IF(M107="構想","plan",IF(M107="メインパーツ","mainParts",IF(M107="カスタムパーツ","customParts",IF(M107="運命","fate",IF(M107="仮想樹","virtualTree","")))))))))))&amp;"'"&amp;IF(N107="○",", extra: true","")&amp;IF(O107&lt;&gt;"",", extraFrom: '"&amp;O107&amp;"'","")&amp;IF(P107&lt;&gt;"",", exchangableTo: '"&amp;P107&amp;"'","")&amp;IF(Q107="○",", poison: true","")&amp;IF(R107&lt;&gt;"", ", type: '"&amp;IF(R107="攻撃","attack",IF(R107="行動","action",IF(R107="不定","variable",IF(R107="対応","reaction",IF(R107="全力","fullpower",IF(R107="付与","enhance",IF(R107="transform","transform","")))))))&amp;"'", "")&amp;IF(S107&lt;&gt;"",", subType: '"&amp;IF(S107="攻撃","attack",IF(S107="行動","action",IF(S107="不定","variable",IF(S107="対応","reaction",IF(S107="全力","fullpower",IF(S107="付与","enhance",IF(S107="transform","transform","")))))))&amp;"'","")&amp;""&amp;IF(T107&lt;&gt;"",", range: '"&amp;T107&amp;"'","")&amp;IF(V107&lt;&gt;"",", damage: '"&amp;V107&amp;"'","")&amp;IF(X107&lt;&gt;"",", capacity: '"&amp;X107&amp;"'","")&amp;IF(Y107&lt;&gt;"",", growth: "&amp;Y107&amp;"","")&amp;IF(Z107&lt;&gt;"",", cost: '"&amp;Z107&amp;"'","")&amp;", text: '"&amp;SUBSTITUTE(SUBSTITUTE(AE107, CHAR(13), ""),CHAR(10),"\n")&amp;IF(AF107&lt;&gt;"", "', textAdditional: '"&amp;SUBSTITUTE(SUBSTITUTE(AF107, CHAR(13), ""),CHAR(10),"\n"), "")&amp;"', textZh: '"&amp;SUBSTITUTE(SUBSTITUTE(SUBSTITUTE(AG107, CHAR(13), ""),CHAR(10),"\n"),"'","\'")&amp;"', textZhG106: '"&amp;SUBSTITUTE(SUBSTITUTE(SUBSTITUTE(AI107, CHAR(13), ""),CHAR(10),"\n"),"'","\'")&amp;IF(AH107&lt;&gt;"", "', textZhAdditional: '"&amp;SUBSTITUTE(SUBSTITUTE(AH107, CHAR(13), ""),CHAR(10),"\n"), "")&amp;IF(AK107&lt;&gt;"", "', textZhG106Additional: '"&amp;SUBSTITUTE(SUBSTITUTE(AK107, CHAR(13), ""),CHAR(10),"\n"), "")&amp;"', textKo: '"&amp;SUBSTITUTE(SUBSTITUTE(SUBSTITUTE(AM107, CHAR(13), ""),CHAR(10),"\n"),"'","\'")&amp;IF(AM107&lt;&gt;"", "', textKoAdditional: '"&amp;SUBSTITUTE(SUBSTITUTE(AM107, CHAR(13), ""),CHAR(10),"\n"), "")&amp;"', textEn: '"&amp;SUBSTITUTE(SUBSTITUTE(SUBSTITUTE(AM107, CHAR(13), ""),CHAR(10),"\n"),"'","\'")&amp;IF(AN107&lt;&gt;"", "', textEnAdditional: '"&amp;SUBSTITUTE(SUBSTITUTE(AN107, CHAR(13), ""),CHAR(10),"\n"), "")&amp;"'"&amp;IF(AB107="○",", sealable: true","")&amp;IF(AC107="○",", removable: true","")&amp;IF(AA107="○",", lie: true","")&amp;IF(AD107="○",", investable: true","")&amp;"},")</x:f>
        <x:v>'07-shinra-o-n-3': {megami: 'shinra', name: '詭弁', nameEn: 'Sophism', nameZh: '诡辩', nameZhG106: '诡辩', nameKo: '궤변', ruby: 'きべん', rubyEn: '', baseType: 'normal', type: 'attack', subType: 'fullpower', range: '3-8', damage: '-/1', text: '【攻撃後】計略を実行し、次の計略を準備する。\n神算:相手の山札の上から3枚を伏せ札にする。\n鬼謀:相手の捨て札にあるカードを1枚選び、それを使用してもよい。', textZh: '【攻击后】实行当前计略，准备下个计略。 \n----\n[神算] 盖伏对手牌库顶的3张牌。 _x005F\n----\n[鬼谋] 你可以使用对手弃牌区中的1张牌。', textZhG106: '【攻击后】实行当前计略，准备下个计略。 \n神算：盖伏对手牌库顶的3张牌。 \n鬼谋：你可以使用对手弃牌区中的一张牌。', textZhG106Additional: '【공격후】계략을 실행하고, 다음 계략을 준비한다.\n [신산]상대의 패산 위에서 3장을 덮임패로 한다.\n [귀모]상대의 버림패에 있는 카드 1장을 골라, 그것을 사용해도 좋다.', textKo: 'After Attack: Enact your current Plan, then prepare your next one.\n\nDivine - Put the top 3 cards of your opponent\'s deck into their discard pile.\n\nDevious - You may choose and play a card in your opponent\'s played pile.', textKoAdditional: 'After Attack: Enact your current Plan, then prepare your next one.\n\nDivine - Put the top 3 cards of your opponent's deck into their discard pile.\n\nDevious - You may choose and play a card in your opponent's played pile.', textEn: 'After Attack: Enact your current Plan, then prepare your next one.\n\nDivine - Put the top 3 cards of your opponent\'s deck into their discard pile.\n\nDevious - You may choose and play a card in your opponent\'s played pile.'},</x:v>
      </x:c>
      <x:c r="AU107" t="str">
        <x:f>IF($A107&lt;&gt;"", "    /** 《"&amp;$E107&amp;"》 */ export const "&amp;SUBSTITUTE(UPPER(IF(MID($A107, 3, 1)="-", RIGHT($A107,LEN($A107)-3), $A107)), "-", "_")&amp;": TCardId = '"&amp;$A107&amp;"';", "")</x:f>
        <x:v>    /** 《詭弁》 */ export const SHINRA_O_N_3: TCardId = '07-shinra-o-n-3';</x:v>
      </x:c>
      <x:c r="AV107" t="str">
        <x:f>IF($A108&lt;&gt;"", "    | '"&amp;$A108&amp;"'", "")</x:f>
        <x:v>    | '07-shinra-o-n-4'</x:v>
      </x:c>
    </x:row>
    <x:row r="108" ht="68" customHeight="1">
      <x:c r="A108" t="str">
        <x:v>07-shinra-o-n-4</x:v>
      </x:c>
      <x:c r="B108" t="str">
        <x:v>shinra</x:v>
      </x:c>
      <x:c r="C108"/>
      <x:c r="D108"/>
      <x:c r="E108" t="str">
        <x:v>引用</x:v>
      </x:c>
      <x:c r="F108" t="str">
        <x:v>いんよう</x:v>
      </x:c>
      <x:c r="G108" t="str">
        <x:v>引用</x:v>
      </x:c>
      <x:c r="H108" t="str">
        <x:v>引用</x:v>
      </x:c>
      <x:c r="I108"/>
      <x:c r="J108" t="str">
        <x:v>인용</x:v>
      </x:c>
      <x:c r="K108" t="str">
        <x:v>Replicate</x:v>
      </x:c>
      <x:c r="L108"/>
      <x:c r="M108" t="str">
        <x:v>通常札</x:v>
      </x:c>
      <x:c r="N108"/>
      <x:c r="O108"/>
      <x:c r="P108"/>
      <x:c r="Q108"/>
      <x:c r="R108" t="str">
        <x:v>行動</x:v>
      </x:c>
      <x:c r="S108"/>
      <x:c r="T108"/>
      <x:c r="U108"/>
      <x:c r="V108"/>
      <x:c r="W108"/>
      <x:c r="X108"/>
      <x:c r="Y108"/>
      <x:c r="Z108"/>
      <x:c r="AA108"/>
      <x:c r="AB108"/>
      <x:c r="AC108"/>
      <x:c r="AD108"/>
      <x:c r="AE108" s="438" t="str">
        <x:v>相手の手札を見て、《攻撃》カードを1枚選んでもよい。そうした場合、そのカードを使用するか伏せ札にする。その後、そのカードが《全力》を持つなら現在のフェイズを終了する。</x:v>
      </x:c>
      <x:c r="AF108" s="438"/>
      <x:c r="AG108" s="499" t="str">
        <x:v>检视对手的手牌，你可以从中选择1张《攻击》牌。
若如此做，你可以使用或者盖伏所选择的牌。
若所选择的牌具有《全力》副类别，则结束当前阶段。</x:v>
      </x:c>
      <x:c r="AH108" s="438"/>
      <x:c r="AI108" s="499" t="str">
        <x:v>检视对手的手牌，你可以从中选择一张《攻击》牌。选择一项：1.使用所选择的牌；2.盖伏所选择的牌。若所选择的牌具有《全力》副类别，则结束当前阶段。</x:v>
      </x:c>
      <x:c r="AJ108" s="438"/>
      <x:c r="AK108" s="499" t="str">
        <x:v>상대의 손패를 보고, 《공격》카드를 1장 골라도 좋다. 그럴 경우, 그 카드를 사용하거나 덮임패로 한다. 그 후, 그 카드가 《전력》을 갖는다면 현재 페이즈를 종료한다.</x:v>
      </x:c>
      <x:c r="AL108" s="438"/>
      <x:c r="AM108" s="499" t="str">
        <x:v>Look at your opponent's hand. You may choose an Attack card from it and either play it or put it into their discard pile. If you chose a Throughout card this way, end the current phase.</x:v>
      </x:c>
      <x:c r="AN108" s="438"/>
      <x:c r="AO108" s="438"/>
      <x:c r="AP108" s="438"/>
      <x:c r="AQ108" s="438"/>
      <x:c r="AR108" s="438"/>
      <x:c r="AS108" s="438"/>
      <x:c r="AT108" t="str">
        <x:f>IF(A108="", "","'"&amp;A108&amp;"': {megami: '"&amp;B108&amp;"'"&amp;IF(C108&lt;&gt;"",", anotherID: '"&amp;C108&amp;"', replace: '"&amp;D108&amp;"'","")&amp;", name: '"&amp;SUBSTITUTE(E108,"'","\'")&amp;"', nameEn: '"&amp;SUBSTITUTE(K108,"'","\'")&amp;"', nameZh: '"&amp;SUBSTITUTE(G108,"'","\'")&amp;"', nameZhG107: '"&amp;SUBSTITUTE(H108,"'","\'")&amp;"', nameKo: '"&amp;SUBSTITUTE(J108,"'","\'")&amp;"', ruby: '"&amp;F108&amp;"', rubyEn: '"&amp;L108&amp;IF(I108&lt;&gt;"", "', rubyZh: '"&amp;I108, "")&amp;"', baseType: '"&amp;IF(M108="通常札","normal",IF(M108="切札","special",IF(M108="追加札","extra",IF(M108="transform","transform",IF(M108="嵐","storm",IF(M108="兵員","troop",IF(M108="構想","plan",IF(M108="メインパーツ","mainParts",IF(M108="カスタムパーツ","customParts",IF(M108="運命","fate",IF(M108="仮想樹","virtualTree","")))))))))))&amp;"'"&amp;IF(N108="○",", extra: true","")&amp;IF(O108&lt;&gt;"",", extraFrom: '"&amp;O108&amp;"'","")&amp;IF(P108&lt;&gt;"",", exchangableTo: '"&amp;P108&amp;"'","")&amp;IF(Q108="○",", poison: true","")&amp;IF(R108&lt;&gt;"", ", type: '"&amp;IF(R108="攻撃","attack",IF(R108="行動","action",IF(R108="不定","variable",IF(R108="対応","reaction",IF(R108="全力","fullpower",IF(R108="付与","enhance",IF(R108="transform","transform","")))))))&amp;"'", "")&amp;IF(S108&lt;&gt;"",", subType: '"&amp;IF(S108="攻撃","attack",IF(S108="行動","action",IF(S108="不定","variable",IF(S108="対応","reaction",IF(S108="全力","fullpower",IF(S108="付与","enhance",IF(S108="transform","transform","")))))))&amp;"'","")&amp;""&amp;IF(T108&lt;&gt;"",", range: '"&amp;T108&amp;"'","")&amp;IF(V108&lt;&gt;"",", damage: '"&amp;V108&amp;"'","")&amp;IF(X108&lt;&gt;"",", capacity: '"&amp;X108&amp;"'","")&amp;IF(Y108&lt;&gt;"",", growth: "&amp;Y108&amp;"","")&amp;IF(Z108&lt;&gt;"",", cost: '"&amp;Z108&amp;"'","")&amp;", text: '"&amp;SUBSTITUTE(SUBSTITUTE(AE108, CHAR(13), ""),CHAR(10),"\n")&amp;IF(AF108&lt;&gt;"", "', textAdditional: '"&amp;SUBSTITUTE(SUBSTITUTE(AF108, CHAR(13), ""),CHAR(10),"\n"), "")&amp;"', textZh: '"&amp;SUBSTITUTE(SUBSTITUTE(SUBSTITUTE(AG108, CHAR(13), ""),CHAR(10),"\n"),"'","\'")&amp;"', textZhG107: '"&amp;SUBSTITUTE(SUBSTITUTE(SUBSTITUTE(AI108, CHAR(13), ""),CHAR(10),"\n"),"'","\'")&amp;IF(AH108&lt;&gt;"", "', textZhAdditional: '"&amp;SUBSTITUTE(SUBSTITUTE(AH108, CHAR(13), ""),CHAR(10),"\n"), "")&amp;IF(AK108&lt;&gt;"", "', textZhG107Additional: '"&amp;SUBSTITUTE(SUBSTITUTE(AK108, CHAR(13), ""),CHAR(10),"\n"), "")&amp;"', textKo: '"&amp;SUBSTITUTE(SUBSTITUTE(SUBSTITUTE(AM108, CHAR(13), ""),CHAR(10),"\n"),"'","\'")&amp;IF(AM108&lt;&gt;"", "', textKoAdditional: '"&amp;SUBSTITUTE(SUBSTITUTE(AM108, CHAR(13), ""),CHAR(10),"\n"), "")&amp;"', textEn: '"&amp;SUBSTITUTE(SUBSTITUTE(SUBSTITUTE(AM108, CHAR(13), ""),CHAR(10),"\n"),"'","\'")&amp;IF(AN108&lt;&gt;"", "', textEnAdditional: '"&amp;SUBSTITUTE(SUBSTITUTE(AN108, CHAR(13), ""),CHAR(10),"\n"), "")&amp;"'"&amp;IF(AB108="○",", sealable: true","")&amp;IF(AC108="○",", removable: true","")&amp;IF(AA108="○",", lie: true","")&amp;IF(AD108="○",", investable: true","")&amp;"},")</x:f>
        <x:v>'07-shinra-o-n-4': {megami: 'shinra', name: '引用', nameEn: 'Replicate', nameZh: '引用', nameZhG107: '引用', nameKo: '인용', ruby: 'いんよう', rubyEn: '', baseType: 'normal', type: 'action', text: '相手の手札を見て、《攻撃》カードを1枚選んでもよい。そうした場合、そのカードを使用するか伏せ札にする。その後、そのカードが《全力》を持つなら現在のフェイズを終了する。', textZh: '检视对手的手牌，你可以从中选择1张《攻击》牌。\n若如此做，你可以使用或者盖伏所选择的牌。\n若所选择的牌具有《全力》副类别，则结束当前阶段。', textZhG107: '检视对手的手牌，你可以从中选择一张《攻击》牌。选择一项：1.使用所选择的牌；2.盖伏所选择的牌。若所选择的牌具有《全力》副类别，则结束当前阶段。', textZhG107Additional: '상대의 손패를 보고, 《공격》카드를 1장 골라도 좋다. 그럴 경우, 그 카드를 사용하거나 덮임패로 한다. 그 후, 그 카드가 《전력》을 갖는다면 현재 페이즈를 종료한다.', textKo: 'Look at your opponent\'s hand. You may choose an Attack card from it and either play it or put it into their discard pile. If you chose a Throughout card this way, end the current phase.', textKoAdditional: 'Look at your opponent's hand. You may choose an Attack card from it and either play it or put it into their discard pile. If you chose a Throughout card this way, end the current phase.', textEn: 'Look at your opponent\'s hand. You may choose an Attack card from it and either play it or put it into their discard pile. If you chose a Throughout card this way, end the current phase.'},</x:v>
      </x:c>
      <x:c r="AU108" t="str">
        <x:f>IF($A108&lt;&gt;"", "    /** 《"&amp;$E108&amp;"》 */ export const "&amp;SUBSTITUTE(UPPER(IF(MID($A108, 3, 1)="-", RIGHT($A108,LEN($A108)-3), $A108)), "-", "_")&amp;": TCardId = '"&amp;$A108&amp;"';", "")</x:f>
        <x:v>    /** 《引用》 */ export const SHINRA_O_N_4: TCardId = '07-shinra-o-n-4';</x:v>
      </x:c>
      <x:c r="AV108" t="str">
        <x:f>IF($A109&lt;&gt;"", "    | '"&amp;$A109&amp;"'", "")</x:f>
        <x:v>    | '07-shinra-o-n-5'</x:v>
      </x:c>
    </x:row>
    <x:row r="109" ht="113" customHeight="1">
      <x:c r="A109" t="str">
        <x:v>07-shinra-o-n-5</x:v>
      </x:c>
      <x:c r="B109" t="str">
        <x:v>shinra</x:v>
      </x:c>
      <x:c r="C109"/>
      <x:c r="D109"/>
      <x:c r="E109" t="str">
        <x:v>煽動</x:v>
      </x:c>
      <x:c r="F109" t="str">
        <x:v>せんどう</x:v>
      </x:c>
      <x:c r="G109" t="str">
        <x:v>煽动</x:v>
      </x:c>
      <x:c r="H109" t="str">
        <x:v>煽动</x:v>
      </x:c>
      <x:c r="I109"/>
      <x:c r="J109" t="str">
        <x:v>선동</x:v>
      </x:c>
      <x:c r="K109" t="str">
        <x:v>Agitate</x:v>
      </x:c>
      <x:c r="L109"/>
      <x:c r="M109" t="str">
        <x:v>通常札</x:v>
      </x:c>
      <x:c r="N109"/>
      <x:c r="O109"/>
      <x:c r="P109"/>
      <x:c r="Q109"/>
      <x:c r="R109" t="str">
        <x:v>行動</x:v>
      </x:c>
      <x:c r="S109" t="str">
        <x:v>対応</x:v>
      </x:c>
      <x:c r="T109"/>
      <x:c r="U109"/>
      <x:c r="V109"/>
      <x:c r="W109"/>
      <x:c r="X109"/>
      <x:c r="Y109"/>
      <x:c r="Z109"/>
      <x:c r="AA109"/>
      <x:c r="AB109"/>
      <x:c r="AC109"/>
      <x:c r="AD109"/>
      <x:c r="AE109" s="438" t="str">
        <x:v>計略を実行し、次の計略を準備する。
神算:ダスト→間合：1
鬼謀:間合→相オーラ：1</x:v>
      </x:c>
      <x:c r="AF109" s="438"/>
      <x:c r="AG109" s="499" t="str">
        <x:v>实行当前计略，准备下个计略。
----
[神算] 虚→1→距_x005F
----
[鬼谋] 距→1→敌装</x:v>
      </x:c>
      <x:c r="AH109" s="438"/>
      <x:c r="AI109" s="499" t="str">
        <x:v>实行当前计略，准备下个计略。神算：虚（1）→距 鬼谋：距（1）→敌装</x:v>
      </x:c>
      <x:c r="AJ109" s="438"/>
      <x:c r="AK109" s="499" t="str">
        <x:v>계략을 실행하고, 다음 계략을 준비한다.
 [신산] 더스트→간격：1 
 [귀모] 간격→상대 오라：1</x:v>
      </x:c>
      <x:c r="AL109" s="438"/>
      <x:c r="AM109" s="499" t="str">
        <x:v>Enact your current Plan, then prepare your next one.
Divine -
Shadow (1)→ Distance
Devious -
Distance (1)→ Opponent's Aura</x:v>
      </x:c>
      <x:c r="AN109" s="438"/>
      <x:c r="AO109" s="438"/>
      <x:c r="AP109" s="438"/>
      <x:c r="AQ109" s="438"/>
      <x:c r="AR109" s="438"/>
      <x:c r="AS109" s="438"/>
      <x:c r="AT109" t="str">
        <x:f>IF(A109="", "","'"&amp;A109&amp;"': {megami: '"&amp;B109&amp;"'"&amp;IF(C109&lt;&gt;"",", anotherID: '"&amp;C109&amp;"', replace: '"&amp;D109&amp;"'","")&amp;", name: '"&amp;SUBSTITUTE(E109,"'","\'")&amp;"', nameEn: '"&amp;SUBSTITUTE(K109,"'","\'")&amp;"', nameZh: '"&amp;SUBSTITUTE(G109,"'","\'")&amp;"', nameZhG108: '"&amp;SUBSTITUTE(H109,"'","\'")&amp;"', nameKo: '"&amp;SUBSTITUTE(J109,"'","\'")&amp;"', ruby: '"&amp;F109&amp;"', rubyEn: '"&amp;L109&amp;IF(I109&lt;&gt;"", "', rubyZh: '"&amp;I109, "")&amp;"', baseType: '"&amp;IF(M109="通常札","normal",IF(M109="切札","special",IF(M109="追加札","extra",IF(M109="transform","transform",IF(M109="嵐","storm",IF(M109="兵員","troop",IF(M109="構想","plan",IF(M109="メインパーツ","mainParts",IF(M109="カスタムパーツ","customParts",IF(M109="運命","fate",IF(M109="仮想樹","virtualTree","")))))))))))&amp;"'"&amp;IF(N109="○",", extra: true","")&amp;IF(O109&lt;&gt;"",", extraFrom: '"&amp;O109&amp;"'","")&amp;IF(P109&lt;&gt;"",", exchangableTo: '"&amp;P109&amp;"'","")&amp;IF(Q109="○",", poison: true","")&amp;IF(R109&lt;&gt;"", ", type: '"&amp;IF(R109="攻撃","attack",IF(R109="行動","action",IF(R109="不定","variable",IF(R109="対応","reaction",IF(R109="全力","fullpower",IF(R109="付与","enhance",IF(R109="transform","transform","")))))))&amp;"'", "")&amp;IF(S109&lt;&gt;"",", subType: '"&amp;IF(S109="攻撃","attack",IF(S109="行動","action",IF(S109="不定","variable",IF(S109="対応","reaction",IF(S109="全力","fullpower",IF(S109="付与","enhance",IF(S109="transform","transform","")))))))&amp;"'","")&amp;""&amp;IF(T109&lt;&gt;"",", range: '"&amp;T109&amp;"'","")&amp;IF(V109&lt;&gt;"",", damage: '"&amp;V109&amp;"'","")&amp;IF(X109&lt;&gt;"",", capacity: '"&amp;X109&amp;"'","")&amp;IF(Y109&lt;&gt;"",", growth: "&amp;Y109&amp;"","")&amp;IF(Z109&lt;&gt;"",", cost: '"&amp;Z109&amp;"'","")&amp;", text: '"&amp;SUBSTITUTE(SUBSTITUTE(AE109, CHAR(13), ""),CHAR(10),"\n")&amp;IF(AF109&lt;&gt;"", "', textAdditional: '"&amp;SUBSTITUTE(SUBSTITUTE(AF109, CHAR(13), ""),CHAR(10),"\n"), "")&amp;"', textZh: '"&amp;SUBSTITUTE(SUBSTITUTE(SUBSTITUTE(AG109, CHAR(13), ""),CHAR(10),"\n"),"'","\'")&amp;"', textZhG108: '"&amp;SUBSTITUTE(SUBSTITUTE(SUBSTITUTE(AI109, CHAR(13), ""),CHAR(10),"\n"),"'","\'")&amp;IF(AH109&lt;&gt;"", "', textZhAdditional: '"&amp;SUBSTITUTE(SUBSTITUTE(AH109, CHAR(13), ""),CHAR(10),"\n"), "")&amp;IF(AK109&lt;&gt;"", "', textZhG108Additional: '"&amp;SUBSTITUTE(SUBSTITUTE(AK109, CHAR(13), ""),CHAR(10),"\n"), "")&amp;"', textKo: '"&amp;SUBSTITUTE(SUBSTITUTE(SUBSTITUTE(AM109, CHAR(13), ""),CHAR(10),"\n"),"'","\'")&amp;IF(AM109&lt;&gt;"", "', textKoAdditional: '"&amp;SUBSTITUTE(SUBSTITUTE(AM109, CHAR(13), ""),CHAR(10),"\n"), "")&amp;"', textEn: '"&amp;SUBSTITUTE(SUBSTITUTE(SUBSTITUTE(AM109, CHAR(13), ""),CHAR(10),"\n"),"'","\'")&amp;IF(AN109&lt;&gt;"", "', textEnAdditional: '"&amp;SUBSTITUTE(SUBSTITUTE(AN109, CHAR(13), ""),CHAR(10),"\n"), "")&amp;"'"&amp;IF(AB109="○",", sealable: true","")&amp;IF(AC109="○",", removable: true","")&amp;IF(AA109="○",", lie: true","")&amp;IF(AD109="○",", investable: true","")&amp;"},")</x:f>
        <x:v>'07-shinra-o-n-5': {megami: 'shinra', name: '煽動', nameEn: 'Agitate', nameZh: '煽动', nameZhG108: '煽动', nameKo: '선동', ruby: 'せんどう', rubyEn: '', baseType: 'normal', type: 'action', subType: 'reaction', text: '計略を実行し、次の計略を準備する。\n神算:ダスト→間合：1\n鬼謀:間合→相オーラ：1', textZh: '实行当前计略，准备下个计略。\n----\n[神算] 虚→1→距_x005F\n----\n[鬼谋] 距→1→敌装', textZhG108: '实行当前计略，准备下个计略。神算：虚（1）→距 鬼谋：距（1）→敌装', textZhG108Additional: '계략을 실행하고, 다음 계략을 준비한다.\n [신산] 더스트→간격：1 \n [귀모] 간격→상대 오라：1', textKo: 'Enact your current Plan, then prepare your next one.\n\nDivine -\nShadow (1)→ Distance\n\nDevious -\nDistance (1)→ Opponent\'s Aura', textKoAdditional: 'Enact your current Plan, then prepare your next one.\n\nDivine -\nShadow (1)→ Distance\n\nDevious -\nDistance (1)→ Opponent's Aura', textEn: 'Enact your current Plan, then prepare your next one.\n\nDivine -\nShadow (1)→ Distance\n\nDevious -\nDistance (1)→ Opponent\'s Aura'},</x:v>
      </x:c>
      <x:c r="AU109" t="str">
        <x:f>IF($A109&lt;&gt;"", "    /** 《"&amp;$E109&amp;"》 */ export const "&amp;SUBSTITUTE(UPPER(IF(MID($A109, 3, 1)="-", RIGHT($A109,LEN($A109)-3), $A109)), "-", "_")&amp;": TCardId = '"&amp;$A109&amp;"';", "")</x:f>
        <x:v>    /** 《煽動》 */ export const SHINRA_O_N_5: TCardId = '07-shinra-o-n-5';</x:v>
      </x:c>
      <x:c r="AV109" t="str">
        <x:f>IF($A110&lt;&gt;"", "    | '"&amp;$A110&amp;"'", "")</x:f>
        <x:v>    | '07-shinra-o-n-6'</x:v>
      </x:c>
    </x:row>
    <x:row r="110" ht="143" customHeight="1">
      <x:c r="A110" t="str">
        <x:v>07-shinra-o-n-6</x:v>
      </x:c>
      <x:c r="B110" t="str">
        <x:v>shinra</x:v>
      </x:c>
      <x:c r="C110"/>
      <x:c r="D110"/>
      <x:c r="E110" t="str">
        <x:v>壮語</x:v>
      </x:c>
      <x:c r="F110" t="str">
        <x:v>そうご</x:v>
      </x:c>
      <x:c r="G110" t="str">
        <x:v>壮语</x:v>
      </x:c>
      <x:c r="H110" t="str">
        <x:v>壮语</x:v>
      </x:c>
      <x:c r="I110"/>
      <x:c r="J110" t="str">
        <x:v>장담</x:v>
      </x:c>
      <x:c r="K110" t="str">
        <x:v>Eloquence</x:v>
      </x:c>
      <x:c r="L110"/>
      <x:c r="M110" t="str">
        <x:v>通常札</x:v>
      </x:c>
      <x:c r="N110"/>
      <x:c r="O110"/>
      <x:c r="P110"/>
      <x:c r="Q110"/>
      <x:c r="R110" t="str">
        <x:v>付与</x:v>
      </x:c>
      <x:c r="S110"/>
      <x:c r="T110"/>
      <x:c r="U110"/>
      <x:c r="V110"/>
      <x:c r="W110"/>
      <x:c r="X110" t="n">
        <x:v>2</x:v>
      </x:c>
      <x:c r="Y110"/>
      <x:c r="Z110"/>
      <x:c r="AA110"/>
      <x:c r="AB110"/>
      <x:c r="AC110"/>
      <x:c r="AD110"/>
      <x:c r="AE110" s="438" t="str">
        <x:v>【破棄時】計略を実行し、次の計略を準備する。
神算:あなたは集中力を1得て、このカードを山札の一番上に置く。
鬼謀:相手は手札が1枚以下ならば、相手を畏縮させ、相手はカードを3枚引き、相手は手札を2枚捨て札にする。</x:v>
      </x:c>
      <x:c r="AF110" s="438"/>
      <x:c r="AG110" s="499" t="str">
        <x:v>【破弃时】实行当前计略，准备下个计略。
----
[神算] 你获得1点集中力，将此牌置于你的牌库顶。_x005F
----
[鬼谋] 若对手的手牌不大于1张，则令对手畏缩，对手抓3张牌，然后弃2张牌。</x:v>
      </x:c>
      <x:c r="AH110" s="438"/>
      <x:c r="AI110" s="499" t="str">
        <x:v>【破弃时】实行当前计略，准备下个计略。
神算：你获得1点集中力，将此牌置于你的牌库顶。
鬼谋：若对手的手牌少于1张，则对手畏缩，对手抓3张牌，然后弃2张牌。</x:v>
      </x:c>
      <x:c r="AJ110" s="438"/>
      <x:c r="AK110" s="499" t="str">
        <x:v>【파기시】계략을 실행하고, 다음 계략을 준비한다.
 [신산] 당신은 집중력을 1 얻고, 이 카드를 패산의 맨 위에 둔다.
 [귀모] 상대 손패가 1장 이하라면, 상대를 위축시키고, 상대는 카드를 3장 뽑고, 상대는 손패를 2장 버림패로 한다.</x:v>
      </x:c>
      <x:c r="AL110" s="438"/>
      <x:c r="AM110" s="499" t="str">
        <x:v>Disenchant: Enact your current Plan, then prepare your next one.
Divine - Gain 1 Vigor. Put this card on the top of your deck.
Devious - If your opponent has 1 or fewer cards in hand, flinch them, they draw 3 cards, then they put 2 cards from their hand into their played pile.</x:v>
      </x:c>
      <x:c r="AN110" s="438"/>
      <x:c r="AO110" s="438"/>
      <x:c r="AP110" s="438"/>
      <x:c r="AQ110" s="438"/>
      <x:c r="AR110" s="438"/>
      <x:c r="AS110" s="438"/>
      <x:c r="AT110" t="str">
        <x:f>IF(A110="", "","'"&amp;A110&amp;"': {megami: '"&amp;B110&amp;"'"&amp;IF(C110&lt;&gt;"",", anotherID: '"&amp;C110&amp;"', replace: '"&amp;D110&amp;"'","")&amp;", name: '"&amp;SUBSTITUTE(E110,"'","\'")&amp;"', nameEn: '"&amp;SUBSTITUTE(K110,"'","\'")&amp;"', nameZh: '"&amp;SUBSTITUTE(G110,"'","\'")&amp;"', nameZhG109: '"&amp;SUBSTITUTE(H110,"'","\'")&amp;"', nameKo: '"&amp;SUBSTITUTE(J110,"'","\'")&amp;"', ruby: '"&amp;F110&amp;"', rubyEn: '"&amp;L110&amp;IF(I110&lt;&gt;"", "', rubyZh: '"&amp;I110, "")&amp;"', baseType: '"&amp;IF(M110="通常札","normal",IF(M110="切札","special",IF(M110="追加札","extra",IF(M110="transform","transform",IF(M110="嵐","storm",IF(M110="兵員","troop",IF(M110="構想","plan",IF(M110="メインパーツ","mainParts",IF(M110="カスタムパーツ","customParts",IF(M110="運命","fate",IF(M110="仮想樹","virtualTree","")))))))))))&amp;"'"&amp;IF(N110="○",", extra: true","")&amp;IF(O110&lt;&gt;"",", extraFrom: '"&amp;O110&amp;"'","")&amp;IF(P110&lt;&gt;"",", exchangableTo: '"&amp;P110&amp;"'","")&amp;IF(Q110="○",", poison: true","")&amp;IF(R110&lt;&gt;"", ", type: '"&amp;IF(R110="攻撃","attack",IF(R110="行動","action",IF(R110="不定","variable",IF(R110="対応","reaction",IF(R110="全力","fullpower",IF(R110="付与","enhance",IF(R110="transform","transform","")))))))&amp;"'", "")&amp;IF(S110&lt;&gt;"",", subType: '"&amp;IF(S110="攻撃","attack",IF(S110="行動","action",IF(S110="不定","variable",IF(S110="対応","reaction",IF(S110="全力","fullpower",IF(S110="付与","enhance",IF(S110="transform","transform","")))))))&amp;"'","")&amp;""&amp;IF(T110&lt;&gt;"",", range: '"&amp;T110&amp;"'","")&amp;IF(V110&lt;&gt;"",", damage: '"&amp;V110&amp;"'","")&amp;IF(X110&lt;&gt;"",", capacity: '"&amp;X110&amp;"'","")&amp;IF(Y110&lt;&gt;"",", growth: "&amp;Y110&amp;"","")&amp;IF(Z110&lt;&gt;"",", cost: '"&amp;Z110&amp;"'","")&amp;", text: '"&amp;SUBSTITUTE(SUBSTITUTE(AE110, CHAR(13), ""),CHAR(10),"\n")&amp;IF(AF110&lt;&gt;"", "', textAdditional: '"&amp;SUBSTITUTE(SUBSTITUTE(AF110, CHAR(13), ""),CHAR(10),"\n"), "")&amp;"', textZh: '"&amp;SUBSTITUTE(SUBSTITUTE(SUBSTITUTE(AG110, CHAR(13), ""),CHAR(10),"\n"),"'","\'")&amp;"', textZhG109: '"&amp;SUBSTITUTE(SUBSTITUTE(SUBSTITUTE(AI110, CHAR(13), ""),CHAR(10),"\n"),"'","\'")&amp;IF(AH110&lt;&gt;"", "', textZhAdditional: '"&amp;SUBSTITUTE(SUBSTITUTE(AH110, CHAR(13), ""),CHAR(10),"\n"), "")&amp;IF(AK110&lt;&gt;"", "', textZhG109Additional: '"&amp;SUBSTITUTE(SUBSTITUTE(AK110, CHAR(13), ""),CHAR(10),"\n"), "")&amp;"', textKo: '"&amp;SUBSTITUTE(SUBSTITUTE(SUBSTITUTE(AM110, CHAR(13), ""),CHAR(10),"\n"),"'","\'")&amp;IF(AM110&lt;&gt;"", "', textKoAdditional: '"&amp;SUBSTITUTE(SUBSTITUTE(AM110, CHAR(13), ""),CHAR(10),"\n"), "")&amp;"', textEn: '"&amp;SUBSTITUTE(SUBSTITUTE(SUBSTITUTE(AM110, CHAR(13), ""),CHAR(10),"\n"),"'","\'")&amp;IF(AN110&lt;&gt;"", "', textEnAdditional: '"&amp;SUBSTITUTE(SUBSTITUTE(AN110, CHAR(13), ""),CHAR(10),"\n"), "")&amp;"'"&amp;IF(AB110="○",", sealable: true","")&amp;IF(AC110="○",", removable: true","")&amp;IF(AA110="○",", lie: true","")&amp;IF(AD110="○",", investable: true","")&amp;"},")</x:f>
        <x:v>'07-shinra-o-n-6': {megami: 'shinra', name: '壮語', nameEn: 'Eloquence', nameZh: '壮语', nameZhG109: '壮语', nameKo: '장담', ruby: 'そうご', rubyEn: '', baseType: 'normal', type: 'enhance', capacity: '2', text: '【破棄時】計略を実行し、次の計略を準備する。\n神算:あなたは集中力を1得て、このカードを山札の一番上に置く。\n鬼謀:相手は手札が1枚以下ならば、相手を畏縮させ、相手はカードを3枚引き、相手は手札を2枚捨て札にする。', textZh: '【破弃时】实行当前计略，准备下个计略。\n----\n[神算] 你获得1点集中力，将此牌置于你的牌库顶。_x005F\n----\n[鬼谋] 若对手的手牌不大于1张，则令对手畏缩，对手抓3张牌，然后弃2张牌。', textZhG109: '【破弃时】实行当前计略，准备下个计略。\n神算：你获得1点集中力，将此牌置于你的牌库顶。\n鬼谋：若对手的手牌少于1张，则对手畏缩，对手抓3张牌，然后弃2张牌。', textZhG109Additional: '【파기시】계략을 실행하고, 다음 계략을 준비한다.\n [신산] 당신은 집중력을 1 얻고, 이 카드를 패산의 맨 위에 둔다.\n [귀모] 상대 손패가 1장 이하라면, 상대를 위축시키고, 상대는 카드를 3장 뽑고, 상대는 손패를 2장 버림패로 한다.', textKo: 'Disenchant: Enact your current Plan, then prepare your next one.\n\nDivine - Gain 1 Vigor. Put this card on the top of your deck.\n\nDevious - If your opponent has 1 or fewer cards in hand, flinch them, they draw 3 cards, then they put 2 cards from their hand into their played pile.', textKoAdditional: 'Disenchant: Enact your current Plan, then prepare your next one.\n\nDivine - Gain 1 Vigor. Put this card on the top of your deck.\n\nDevious - If your opponent has 1 or fewer cards in hand, flinch them, they draw 3 cards, then they put 2 cards from their hand into their played pile.', textEn: 'Disenchant: Enact your current Plan, then prepare your next one.\n\nDivine - Gain 1 Vigor. Put this card on the top of your deck.\n\nDevious - If your opponent has 1 or fewer cards in hand, flinch them, they draw 3 cards, then they put 2 cards from their hand into their played pile.'},</x:v>
      </x:c>
      <x:c r="AU110" t="str">
        <x:f>IF($A110&lt;&gt;"", "    /** 《"&amp;$E110&amp;"》 */ export const "&amp;SUBSTITUTE(UPPER(IF(MID($A110, 3, 1)="-", RIGHT($A110,LEN($A110)-3), $A110)), "-", "_")&amp;": TCardId = '"&amp;$A110&amp;"';", "")</x:f>
        <x:v>    /** 《壮語》 */ export const SHINRA_O_N_6: TCardId = '07-shinra-o-n-6';</x:v>
      </x:c>
      <x:c r="AV110" t="str">
        <x:f>IF($A111&lt;&gt;"", "    | '"&amp;$A111&amp;"'", "")</x:f>
        <x:v>    | '07-shinra-o-n-7'</x:v>
      </x:c>
    </x:row>
    <x:row r="111" ht="83" customHeight="1">
      <x:c r="A111" t="str">
        <x:v>07-shinra-o-n-7</x:v>
      </x:c>
      <x:c r="B111" t="str">
        <x:v>shinra</x:v>
      </x:c>
      <x:c r="C111"/>
      <x:c r="D111"/>
      <x:c r="E111" t="str">
        <x:v>論破</x:v>
      </x:c>
      <x:c r="F111" t="str">
        <x:v>ろんぱ</x:v>
      </x:c>
      <x:c r="G111" t="str">
        <x:v>驳倒</x:v>
      </x:c>
      <x:c r="H111" t="str">
        <x:v>论破</x:v>
      </x:c>
      <x:c r="I111"/>
      <x:c r="J111" t="str">
        <x:v>논파</x:v>
      </x:c>
      <x:c r="K111" t="str">
        <x:v>Confuse</x:v>
      </x:c>
      <x:c r="L111"/>
      <x:c r="M111" t="str">
        <x:v>通常札</x:v>
      </x:c>
      <x:c r="N111"/>
      <x:c r="O111"/>
      <x:c r="P111"/>
      <x:c r="Q111"/>
      <x:c r="R111" t="str">
        <x:v>付与</x:v>
      </x:c>
      <x:c r="S111" t="str">
        <x:v>対応</x:v>
      </x:c>
      <x:c r="T111"/>
      <x:c r="U111"/>
      <x:c r="V111"/>
      <x:c r="W111"/>
      <x:c r="X111" t="n">
        <x:v>3</x:v>
      </x:c>
      <x:c r="Y111"/>
      <x:c r="Z111"/>
      <x:c r="AA111"/>
      <x:c r="AB111" t="str">
        <x:v>○</x:v>
      </x:c>
      <x:c r="AC111"/>
      <x:c r="AD111"/>
      <x:c r="AE111" s="438" t="str">
        <x:v>【展開時】相手の山札の上から1枚を捨て札にする。相手の捨て札にあるカードを1枚選び、このカードの下に封印する。
【破棄時】このカードに封印されたカードを相手の捨て札に戻す。</x:v>
      </x:c>
      <x:c r="AF111" s="438"/>
      <x:c r="AG111" s="499" t="str">
        <x:v>【展开时】选择对手弃牌区中的1张牌，封印于此牌下。 
【破弃时】将被此牌封印的牌置入对手的弃牌区。</x:v>
      </x:c>
      <x:c r="AH111" s="438"/>
      <x:c r="AI111" s="499" t="str">
        <x:v>【展开时】选择对手弃牌区中的一张牌，封印于此牌下。 
【破弃时】将被此牌封印的牌置入对手的弃牌区。</x:v>
      </x:c>
      <x:c r="AJ111" s="438"/>
      <x:c r="AK111" s="499" t="str">
        <x:v>【전개시】상대의 버림패에 있는 카드를 1장 골라, 이 카드 밑에 봉인한다.
 【파기시】이 카드에 봉인 된 카드를 상대의 버림패로 되돌린다.</x:v>
      </x:c>
      <x:c r="AL111" s="438"/>
      <x:c r="AM111" s="499" t="str">
        <x:v>Initialize: Choose a card in your opponent's played pile. Seal it.
Disenchant: Put the sealed card in your opponent's played pile.</x:v>
      </x:c>
      <x:c r="AN111" s="438"/>
      <x:c r="AO111" s="438"/>
      <x:c r="AP111" s="438"/>
      <x:c r="AQ111" s="438"/>
      <x:c r="AR111" s="438"/>
      <x:c r="AS111" s="438"/>
      <x:c r="AT111" t="str">
        <x:f>IF(A111="", "","'"&amp;A111&amp;"': {megami: '"&amp;B111&amp;"'"&amp;IF(C111&lt;&gt;"",", anotherID: '"&amp;C111&amp;"', replace: '"&amp;D111&amp;"'","")&amp;", name: '"&amp;SUBSTITUTE(E111,"'","\'")&amp;"', nameEn: '"&amp;SUBSTITUTE(K111,"'","\'")&amp;"', nameZh: '"&amp;SUBSTITUTE(G111,"'","\'")&amp;"', nameZhG110: '"&amp;SUBSTITUTE(H111,"'","\'")&amp;"', nameKo: '"&amp;SUBSTITUTE(J111,"'","\'")&amp;"', ruby: '"&amp;F111&amp;"', rubyEn: '"&amp;L111&amp;IF(I111&lt;&gt;"", "', rubyZh: '"&amp;I111, "")&amp;"', baseType: '"&amp;IF(M111="通常札","normal",IF(M111="切札","special",IF(M111="追加札","extra",IF(M111="transform","transform",IF(M111="嵐","storm",IF(M111="兵員","troop",IF(M111="構想","plan",IF(M111="メインパーツ","mainParts",IF(M111="カスタムパーツ","customParts",IF(M111="運命","fate",IF(M111="仮想樹","virtualTree","")))))))))))&amp;"'"&amp;IF(N111="○",", extra: true","")&amp;IF(O111&lt;&gt;"",", extraFrom: '"&amp;O111&amp;"'","")&amp;IF(P111&lt;&gt;"",", exchangableTo: '"&amp;P111&amp;"'","")&amp;IF(Q111="○",", poison: true","")&amp;IF(R111&lt;&gt;"", ", type: '"&amp;IF(R111="攻撃","attack",IF(R111="行動","action",IF(R111="不定","variable",IF(R111="対応","reaction",IF(R111="全力","fullpower",IF(R111="付与","enhance",IF(R111="transform","transform","")))))))&amp;"'", "")&amp;IF(S111&lt;&gt;"",", subType: '"&amp;IF(S111="攻撃","attack",IF(S111="行動","action",IF(S111="不定","variable",IF(S111="対応","reaction",IF(S111="全力","fullpower",IF(S111="付与","enhance",IF(S111="transform","transform","")))))))&amp;"'","")&amp;""&amp;IF(T111&lt;&gt;"",", range: '"&amp;T111&amp;"'","")&amp;IF(V111&lt;&gt;"",", damage: '"&amp;V111&amp;"'","")&amp;IF(X111&lt;&gt;"",", capacity: '"&amp;X111&amp;"'","")&amp;IF(Y111&lt;&gt;"",", growth: "&amp;Y111&amp;"","")&amp;IF(Z111&lt;&gt;"",", cost: '"&amp;Z111&amp;"'","")&amp;", text: '"&amp;SUBSTITUTE(SUBSTITUTE(AE111, CHAR(13), ""),CHAR(10),"\n")&amp;IF(AF111&lt;&gt;"", "', textAdditional: '"&amp;SUBSTITUTE(SUBSTITUTE(AF111, CHAR(13), ""),CHAR(10),"\n"), "")&amp;"', textZh: '"&amp;SUBSTITUTE(SUBSTITUTE(SUBSTITUTE(AG111, CHAR(13), ""),CHAR(10),"\n"),"'","\'")&amp;"', textZhG110: '"&amp;SUBSTITUTE(SUBSTITUTE(SUBSTITUTE(AI111, CHAR(13), ""),CHAR(10),"\n"),"'","\'")&amp;IF(AH111&lt;&gt;"", "', textZhAdditional: '"&amp;SUBSTITUTE(SUBSTITUTE(AH111, CHAR(13), ""),CHAR(10),"\n"), "")&amp;IF(AK111&lt;&gt;"", "', textZhG110Additional: '"&amp;SUBSTITUTE(SUBSTITUTE(AK111, CHAR(13), ""),CHAR(10),"\n"), "")&amp;"', textKo: '"&amp;SUBSTITUTE(SUBSTITUTE(SUBSTITUTE(AM111, CHAR(13), ""),CHAR(10),"\n"),"'","\'")&amp;IF(AM111&lt;&gt;"", "', textKoAdditional: '"&amp;SUBSTITUTE(SUBSTITUTE(AM111, CHAR(13), ""),CHAR(10),"\n"), "")&amp;"', textEn: '"&amp;SUBSTITUTE(SUBSTITUTE(SUBSTITUTE(AM111, CHAR(13), ""),CHAR(10),"\n"),"'","\'")&amp;IF(AN111&lt;&gt;"", "', textEnAdditional: '"&amp;SUBSTITUTE(SUBSTITUTE(AN111, CHAR(13), ""),CHAR(10),"\n"), "")&amp;"'"&amp;IF(AB111="○",", sealable: true","")&amp;IF(AC111="○",", removable: true","")&amp;IF(AA111="○",", lie: true","")&amp;IF(AD111="○",", investable: true","")&amp;"},")</x:f>
        <x:v>'07-shinra-o-n-7': {megami: 'shinra', name: '論破', nameEn: 'Confuse', nameZh: '驳倒', nameZhG110: '论破', nameKo: '논파', ruby: 'ろんぱ', rubyEn: '', baseType: 'normal', type: 'enhance', subType: 'reaction', capacity: '3', text: '【展開時】相手の山札の上から1枚を捨て札にする。相手の捨て札にあるカードを1枚選び、このカードの下に封印する。\n【破棄時】このカードに封印されたカードを相手の捨て札に戻す。', textZh: '【展开时】选择对手弃牌区中的1张牌，封印于此牌下。 \n【破弃时】将被此牌封印的牌置入对手的弃牌区。', textZhG110: '【展开时】选择对手弃牌区中的一张牌，封印于此牌下。 \n【破弃时】将被此牌封印的牌置入对手的弃牌区。', textZhG110Additional: '【전개시】상대의 버림패에 있는 카드를 1장 골라, 이 카드 밑에 봉인한다.\n 【파기시】이 카드에 봉인 된 카드를 상대의 버림패로 되돌린다.', textKo: 'Initialize: Choose a card in your opponent\'s played pile. Seal it.\n\nDisenchant: Put the sealed card in your opponent\'s played pile.', textKoAdditional: 'Initialize: Choose a card in your opponent's played pile. Seal it.\n\nDisenchant: Put the sealed card in your opponent's played pile.', textEn: 'Initialize: Choose a card in your opponent\'s played pile. Seal it.\n\nDisenchant: Put the sealed card in your opponent\'s played pile.', sealable: true},</x:v>
      </x:c>
      <x:c r="AU111" t="str">
        <x:f>IF($A111&lt;&gt;"", "    /** 《"&amp;$E111&amp;"》 */ export const "&amp;SUBSTITUTE(UPPER(IF(MID($A111, 3, 1)="-", RIGHT($A111,LEN($A111)-3), $A111)), "-", "_")&amp;": TCardId = '"&amp;$A111&amp;"';", "")</x:f>
        <x:v>    /** 《論破》 */ export const SHINRA_O_N_7: TCardId = '07-shinra-o-n-7';</x:v>
      </x:c>
      <x:c r="AV111" t="str">
        <x:f>IF($A112&lt;&gt;"", "    | '"&amp;$A112&amp;"'", "")</x:f>
        <x:v>    | '07-shinra-o-s-1'</x:v>
      </x:c>
    </x:row>
    <x:row r="112" ht="38" customHeight="1">
      <x:c r="A112" t="str">
        <x:v>07-shinra-o-s-1</x:v>
      </x:c>
      <x:c r="B112" t="str">
        <x:v>shinra</x:v>
      </x:c>
      <x:c r="C112"/>
      <x:c r="D112"/>
      <x:c r="E112" t="str">
        <x:v>完全論破</x:v>
      </x:c>
      <x:c r="F112" t="str">
        <x:v>かんぜんろんぱ</x:v>
      </x:c>
      <x:c r="G112" t="str">
        <x:v>完美驳倒</x:v>
      </x:c>
      <x:c r="H112" t="str">
        <x:v>完全论破</x:v>
      </x:c>
      <x:c r="I112"/>
      <x:c r="J112" t="str">
        <x:v>완전논파</x:v>
      </x:c>
      <x:c r="K112" t="str">
        <x:v>Shake the Mind</x:v>
      </x:c>
      <x:c r="L112"/>
      <x:c r="M112" t="str">
        <x:v>切札</x:v>
      </x:c>
      <x:c r="N112"/>
      <x:c r="O112"/>
      <x:c r="P112"/>
      <x:c r="Q112"/>
      <x:c r="R112" t="str">
        <x:v>行動</x:v>
      </x:c>
      <x:c r="S112"/>
      <x:c r="T112"/>
      <x:c r="U112"/>
      <x:c r="V112"/>
      <x:c r="W112"/>
      <x:c r="X112"/>
      <x:c r="Y112"/>
      <x:c r="Z112" t="n">
        <x:v>2</x:v>
      </x:c>
      <x:c r="AA112"/>
      <x:c r="AB112" t="str">
        <x:v>○</x:v>
      </x:c>
      <x:c r="AC112"/>
      <x:c r="AD112"/>
      <x:c r="AE112" s="438" t="str">
        <x:v>相手の捨て札にあるカードを1枚選び、このカードの下に封印する。(ゲーム中に戻ることはない)</x:v>
      </x:c>
      <x:c r="AF112" s="438"/>
      <x:c r="AG112" s="499" t="str">
        <x:v>选择对手弃牌区中的1张牌，封印于此牌下。
（本局游戏不再归还）</x:v>
      </x:c>
      <x:c r="AH112" s="438"/>
      <x:c r="AI112" s="499" t="str">
        <x:v>选择对手弃牌区中的一张牌，封印在此牌下（本局游戏不再归还）。</x:v>
      </x:c>
      <x:c r="AJ112" s="438"/>
      <x:c r="AK112" s="499" t="str">
        <x:v>상대의 버림패에 있는 카드 1장을 골라, 이 카드 밑에 봉인한다.
 (게임 중에 되돌아오는 일은 없다.)</x:v>
      </x:c>
      <x:c r="AL112" s="438"/>
      <x:c r="AM112" s="499" t="str">
        <x:v>Choose a card in your opponent's played pile. Seal it.</x:v>
      </x:c>
      <x:c r="AN112" s="438"/>
      <x:c r="AO112" s="438"/>
      <x:c r="AP112" s="438"/>
      <x:c r="AQ112" s="438"/>
      <x:c r="AR112" s="438"/>
      <x:c r="AS112" s="438"/>
      <x:c r="AT112" t="str">
        <x:f>IF(A112="", "","'"&amp;A112&amp;"': {megami: '"&amp;B112&amp;"'"&amp;IF(C112&lt;&gt;"",", anotherID: '"&amp;C112&amp;"', replace: '"&amp;D112&amp;"'","")&amp;", name: '"&amp;SUBSTITUTE(E112,"'","\'")&amp;"', nameEn: '"&amp;SUBSTITUTE(K112,"'","\'")&amp;"', nameZh: '"&amp;SUBSTITUTE(G112,"'","\'")&amp;"', nameZhG111: '"&amp;SUBSTITUTE(H112,"'","\'")&amp;"', nameKo: '"&amp;SUBSTITUTE(J112,"'","\'")&amp;"', ruby: '"&amp;F112&amp;"', rubyEn: '"&amp;L112&amp;IF(I112&lt;&gt;"", "', rubyZh: '"&amp;I112, "")&amp;"', baseType: '"&amp;IF(M112="通常札","normal",IF(M112="切札","special",IF(M112="追加札","extra",IF(M112="transform","transform",IF(M112="嵐","storm",IF(M112="兵員","troop",IF(M112="構想","plan",IF(M112="メインパーツ","mainParts",IF(M112="カスタムパーツ","customParts",IF(M112="運命","fate",IF(M112="仮想樹","virtualTree","")))))))))))&amp;"'"&amp;IF(N112="○",", extra: true","")&amp;IF(O112&lt;&gt;"",", extraFrom: '"&amp;O112&amp;"'","")&amp;IF(P112&lt;&gt;"",", exchangableTo: '"&amp;P112&amp;"'","")&amp;IF(Q112="○",", poison: true","")&amp;IF(R112&lt;&gt;"", ", type: '"&amp;IF(R112="攻撃","attack",IF(R112="行動","action",IF(R112="不定","variable",IF(R112="対応","reaction",IF(R112="全力","fullpower",IF(R112="付与","enhance",IF(R112="transform","transform","")))))))&amp;"'", "")&amp;IF(S112&lt;&gt;"",", subType: '"&amp;IF(S112="攻撃","attack",IF(S112="行動","action",IF(S112="不定","variable",IF(S112="対応","reaction",IF(S112="全力","fullpower",IF(S112="付与","enhance",IF(S112="transform","transform","")))))))&amp;"'","")&amp;""&amp;IF(T112&lt;&gt;"",", range: '"&amp;T112&amp;"'","")&amp;IF(V112&lt;&gt;"",", damage: '"&amp;V112&amp;"'","")&amp;IF(X112&lt;&gt;"",", capacity: '"&amp;X112&amp;"'","")&amp;IF(Y112&lt;&gt;"",", growth: "&amp;Y112&amp;"","")&amp;IF(Z112&lt;&gt;"",", cost: '"&amp;Z112&amp;"'","")&amp;", text: '"&amp;SUBSTITUTE(SUBSTITUTE(AE112, CHAR(13), ""),CHAR(10),"\n")&amp;IF(AF112&lt;&gt;"", "', textAdditional: '"&amp;SUBSTITUTE(SUBSTITUTE(AF112, CHAR(13), ""),CHAR(10),"\n"), "")&amp;"', textZh: '"&amp;SUBSTITUTE(SUBSTITUTE(SUBSTITUTE(AG112, CHAR(13), ""),CHAR(10),"\n"),"'","\'")&amp;"', textZhG111: '"&amp;SUBSTITUTE(SUBSTITUTE(SUBSTITUTE(AI112, CHAR(13), ""),CHAR(10),"\n"),"'","\'")&amp;IF(AH112&lt;&gt;"", "', textZhAdditional: '"&amp;SUBSTITUTE(SUBSTITUTE(AH112, CHAR(13), ""),CHAR(10),"\n"), "")&amp;IF(AK112&lt;&gt;"", "', textZhG111Additional: '"&amp;SUBSTITUTE(SUBSTITUTE(AK112, CHAR(13), ""),CHAR(10),"\n"), "")&amp;"', textKo: '"&amp;SUBSTITUTE(SUBSTITUTE(SUBSTITUTE(AM112, CHAR(13), ""),CHAR(10),"\n"),"'","\'")&amp;IF(AM112&lt;&gt;"", "', textKoAdditional: '"&amp;SUBSTITUTE(SUBSTITUTE(AM112, CHAR(13), ""),CHAR(10),"\n"), "")&amp;"', textEn: '"&amp;SUBSTITUTE(SUBSTITUTE(SUBSTITUTE(AM112, CHAR(13), ""),CHAR(10),"\n"),"'","\'")&amp;IF(AN112&lt;&gt;"", "', textEnAdditional: '"&amp;SUBSTITUTE(SUBSTITUTE(AN112, CHAR(13), ""),CHAR(10),"\n"), "")&amp;"'"&amp;IF(AB112="○",", sealable: true","")&amp;IF(AC112="○",", removable: true","")&amp;IF(AA112="○",", lie: true","")&amp;IF(AD112="○",", investable: true","")&amp;"},")</x:f>
        <x:v>'07-shinra-o-s-1': {megami: 'shinra', name: '完全論破', nameEn: 'Shake the Mind', nameZh: '完美驳倒', nameZhG111: '完全论破', nameKo: '완전논파', ruby: 'かんぜんろんぱ', rubyEn: '', baseType: 'special', type: 'action', cost: '2', text: '相手の捨て札にあるカードを1枚選び、このカードの下に封印する。(ゲーム中に戻ることはない)', textZh: '选择对手弃牌区中的1张牌，封印于此牌下。\n（本局游戏不再归还）', textZhG111: '选择对手弃牌区中的一张牌，封印在此牌下（本局游戏不再归还）。', textZhG111Additional: '상대의 버림패에 있는 카드 1장을 골라, 이 카드 밑에 봉인한다.\n (게임 중에 되돌아오는 일은 없다.)', textKo: 'Choose a card in your opponent\'s played pile. Seal it.', textKoAdditional: 'Choose a card in your opponent's played pile. Seal it.', textEn: 'Choose a card in your opponent\'s played pile. Seal it.', sealable: true},</x:v>
      </x:c>
      <x:c r="AU112" t="str">
        <x:f>IF($A112&lt;&gt;"", "    /** 《"&amp;$E112&amp;"》 */ export const "&amp;SUBSTITUTE(UPPER(IF(MID($A112, 3, 1)="-", RIGHT($A112,LEN($A112)-3), $A112)), "-", "_")&amp;": TCardId = '"&amp;$A112&amp;"';", "")</x:f>
        <x:v>    /** 《完全論破》 */ export const SHINRA_O_S_1: TCardId = '07-shinra-o-s-1';</x:v>
      </x:c>
      <x:c r="AV112" t="str">
        <x:f>IF($A113&lt;&gt;"", "    | '"&amp;$A113&amp;"'", "")</x:f>
        <x:v>    | '07-shinra-o-s-2'</x:v>
      </x:c>
    </x:row>
    <x:row r="113" ht="143" customHeight="1">
      <x:c r="A113" t="str">
        <x:v>07-shinra-o-s-2</x:v>
      </x:c>
      <x:c r="B113" t="str">
        <x:v>shinra</x:v>
      </x:c>
      <x:c r="C113"/>
      <x:c r="D113"/>
      <x:c r="E113" t="str">
        <x:v>皆式理解</x:v>
      </x:c>
      <x:c r="F113" t="str">
        <x:v>かいしきりかい</x:v>
      </x:c>
      <x:c r="G113" t="str">
        <x:v>彻底理解</x:v>
      </x:c>
      <x:c r="H113" t="str">
        <x:v>诸式理解</x:v>
      </x:c>
      <x:c r="I113"/>
      <x:c r="J113" t="str">
        <x:v>일절이해</x:v>
      </x:c>
      <x:c r="K113" t="str">
        <x:v>Infer the Totality</x:v>
      </x:c>
      <x:c r="L113"/>
      <x:c r="M113" t="str">
        <x:v>切札</x:v>
      </x:c>
      <x:c r="N113"/>
      <x:c r="O113"/>
      <x:c r="P113"/>
      <x:c r="Q113"/>
      <x:c r="R113" t="str">
        <x:v>行動</x:v>
      </x:c>
      <x:c r="S113"/>
      <x:c r="T113"/>
      <x:c r="U113"/>
      <x:c r="V113"/>
      <x:c r="W113"/>
      <x:c r="X113"/>
      <x:c r="Y113"/>
      <x:c r="Z113" t="n">
        <x:v>2</x:v>
      </x:c>
      <x:c r="AA113"/>
      <x:c r="AB113"/>
      <x:c r="AC113"/>
      <x:c r="AD113"/>
      <x:c r="AE113" s="438" t="str">
        <x:v>計略を実行し、次の計略を準備する。
神算:あなたの捨て札または使用済の切札から、《付与》カードを1枚選び、消費を支払わずにそれ使用する。そのカードが《全力》ならば現在のフェイズを終了する。
鬼謀:切札でない相手の付与札を1枚選ぶ。その上の桜花結晶全てをダストに送る。</x:v>
      </x:c>
      <x:c r="AF113" s="438"/>
      <x:c r="AG113" s="499" t="str">
        <x:v>实行当前计略，准备下个计略。
----
[神算] 从你的弃牌区或处于已使用状态的王牌中选择1张《付与》牌，使用之且不需支付其费用。若所选择的牌具有《全力》副类别，则结束当前阶段。
----
[鬼谋] 选择对手的1张非王牌的展开中的《付与》牌，将其上所有樱花结晶移至虚。</x:v>
      </x:c>
      <x:c r="AH113" s="438"/>
      <x:c r="AI113" s="499" t="str">
        <x:v>实行当前计略，准备下个计略。
神算：从你的弃牌区与面朝上的王牌中选择一张《付与》牌使用，而不需支付其费用。若所选择的牌具有《全力》副类别，则结束当前阶段。
鬼谋：选择对手的一张非王牌的展开中的《付与》牌，将其上所有樱花结晶移至虚。</x:v>
      </x:c>
      <x:c r="AJ113" s="438"/>
      <x:c r="AK113" s="499" t="str">
        <x:v>계략을 실행하고, 다음 계략을 준비한다.
 [신산]당신의 버림패 혹은 사용완료 비장패에서, 소비를 지불하지 않고 《부여》카드 1장을 사용한다. 그 카드가 《전력》이라면 현재 페이즈를 종료한다.
 [귀모] 비장패가 아닌 상대의 부여패를 1장 고른다. 그 위의 벚꽃 결정 모두를 더스트로 보낸다.</x:v>
      </x:c>
      <x:c r="AL113" s="438"/>
      <x:c r="AM113" s="499" t="str">
        <x:v>Enact your current Plan, then prepare your next one.
Divine - Choose an Enhancement in your played pile, or one of your Devoted Special Enhancements. Play that card without paying its cost. If that card is Throughout, end the current phase.
Devious - Choose one of your opponent's non-Special Enhancements. Move all Sakura tokens on it to Shadow.</x:v>
      </x:c>
      <x:c r="AN113" s="438"/>
      <x:c r="AO113" s="438"/>
      <x:c r="AP113" s="438"/>
      <x:c r="AQ113" s="438"/>
      <x:c r="AR113" s="438"/>
      <x:c r="AS113" s="438"/>
      <x:c r="AT113" t="str">
        <x:f>IF(A113="", "","'"&amp;A113&amp;"': {megami: '"&amp;B113&amp;"'"&amp;IF(C113&lt;&gt;"",", anotherID: '"&amp;C113&amp;"', replace: '"&amp;D113&amp;"'","")&amp;", name: '"&amp;SUBSTITUTE(E113,"'","\'")&amp;"', nameEn: '"&amp;SUBSTITUTE(K113,"'","\'")&amp;"', nameZh: '"&amp;SUBSTITUTE(G113,"'","\'")&amp;"', nameZhG112: '"&amp;SUBSTITUTE(H113,"'","\'")&amp;"', nameKo: '"&amp;SUBSTITUTE(J113,"'","\'")&amp;"', ruby: '"&amp;F113&amp;"', rubyEn: '"&amp;L113&amp;IF(I113&lt;&gt;"", "', rubyZh: '"&amp;I113, "")&amp;"', baseType: '"&amp;IF(M113="通常札","normal",IF(M113="切札","special",IF(M113="追加札","extra",IF(M113="transform","transform",IF(M113="嵐","storm",IF(M113="兵員","troop",IF(M113="構想","plan",IF(M113="メインパーツ","mainParts",IF(M113="カスタムパーツ","customParts",IF(M113="運命","fate",IF(M113="仮想樹","virtualTree","")))))))))))&amp;"'"&amp;IF(N113="○",", extra: true","")&amp;IF(O113&lt;&gt;"",", extraFrom: '"&amp;O113&amp;"'","")&amp;IF(P113&lt;&gt;"",", exchangableTo: '"&amp;P113&amp;"'","")&amp;IF(Q113="○",", poison: true","")&amp;IF(R113&lt;&gt;"", ", type: '"&amp;IF(R113="攻撃","attack",IF(R113="行動","action",IF(R113="不定","variable",IF(R113="対応","reaction",IF(R113="全力","fullpower",IF(R113="付与","enhance",IF(R113="transform","transform","")))))))&amp;"'", "")&amp;IF(S113&lt;&gt;"",", subType: '"&amp;IF(S113="攻撃","attack",IF(S113="行動","action",IF(S113="不定","variable",IF(S113="対応","reaction",IF(S113="全力","fullpower",IF(S113="付与","enhance",IF(S113="transform","transform","")))))))&amp;"'","")&amp;""&amp;IF(T113&lt;&gt;"",", range: '"&amp;T113&amp;"'","")&amp;IF(V113&lt;&gt;"",", damage: '"&amp;V113&amp;"'","")&amp;IF(X113&lt;&gt;"",", capacity: '"&amp;X113&amp;"'","")&amp;IF(Y113&lt;&gt;"",", growth: "&amp;Y113&amp;"","")&amp;IF(Z113&lt;&gt;"",", cost: '"&amp;Z113&amp;"'","")&amp;", text: '"&amp;SUBSTITUTE(SUBSTITUTE(AE113, CHAR(13), ""),CHAR(10),"\n")&amp;IF(AF113&lt;&gt;"", "', textAdditional: '"&amp;SUBSTITUTE(SUBSTITUTE(AF113, CHAR(13), ""),CHAR(10),"\n"), "")&amp;"', textZh: '"&amp;SUBSTITUTE(SUBSTITUTE(SUBSTITUTE(AG113, CHAR(13), ""),CHAR(10),"\n"),"'","\'")&amp;"', textZhG112: '"&amp;SUBSTITUTE(SUBSTITUTE(SUBSTITUTE(AI113, CHAR(13), ""),CHAR(10),"\n"),"'","\'")&amp;IF(AH113&lt;&gt;"", "', textZhAdditional: '"&amp;SUBSTITUTE(SUBSTITUTE(AH113, CHAR(13), ""),CHAR(10),"\n"), "")&amp;IF(AK113&lt;&gt;"", "', textZhG112Additional: '"&amp;SUBSTITUTE(SUBSTITUTE(AK113, CHAR(13), ""),CHAR(10),"\n"), "")&amp;"', textKo: '"&amp;SUBSTITUTE(SUBSTITUTE(SUBSTITUTE(AM113, CHAR(13), ""),CHAR(10),"\n"),"'","\'")&amp;IF(AM113&lt;&gt;"", "', textKoAdditional: '"&amp;SUBSTITUTE(SUBSTITUTE(AM113, CHAR(13), ""),CHAR(10),"\n"), "")&amp;"', textEn: '"&amp;SUBSTITUTE(SUBSTITUTE(SUBSTITUTE(AM113, CHAR(13), ""),CHAR(10),"\n"),"'","\'")&amp;IF(AN113&lt;&gt;"", "', textEnAdditional: '"&amp;SUBSTITUTE(SUBSTITUTE(AN113, CHAR(13), ""),CHAR(10),"\n"), "")&amp;"'"&amp;IF(AB113="○",", sealable: true","")&amp;IF(AC113="○",", removable: true","")&amp;IF(AA113="○",", lie: true","")&amp;IF(AD113="○",", investable: true","")&amp;"},")</x:f>
        <x:v>'07-shinra-o-s-2': {megami: 'shinra', name: '皆式理解', nameEn: 'Infer the Totality', nameZh: '彻底理解', nameZhG112: '诸式理解', nameKo: '일절이해', ruby: 'かいしきりかい', rubyEn: '', baseType: 'special', type: 'action', cost: '2', text: '計略を実行し、次の計略を準備する。\n神算:あなたの捨て札または使用済の切札から、《付与》カードを1枚選び、消費を支払わずにそれ使用する。そのカードが《全力》ならば現在のフェイズを終了する。\n鬼謀:切札でない相手の付与札を1枚選ぶ。その上の桜花結晶全てをダストに送る。', textZh: '实行当前计略，准备下个计略。\n----\n[神算] 从你的弃牌区或处于已使用状态的王牌中选择1张《付与》牌，使用之且不需支付其费用。若所选择的牌具有《全力》副类别，则结束当前阶段。\n----\n[鬼谋] 选择对手的1张非王牌的展开中的《付与》牌，将其上所有樱花结晶移至虚。', textZhG112: '实行当前计略，准备下个计略。\n神算：从你的弃牌区与面朝上的王牌中选择一张《付与》牌使用，而不需支付其费用。若所选择的牌具有《全力》副类别，则结束当前阶段。\n鬼谋：选择对手的一张非王牌的展开中的《付与》牌，将其上所有樱花结晶移至虚。', textZhG112Additional: '계략을 실행하고, 다음 계략을 준비한다.\n [신산]당신의 버림패 혹은 사용완료 비장패에서, 소비를 지불하지 않고 《부여》카드 1장을 사용한다. 그 카드가 《전력》이라면 현재 페이즈를 종료한다.\n [귀모] 비장패가 아닌 상대의 부여패를 1장 고른다. 그 위의 벚꽃 결정 모두를 더스트로 보낸다.', textKo: 'Enact your current Plan, then prepare your next one.\n\nDivine - Choose an Enhancement in your played pile, or one of your Devoted Special Enhancements. Play that card without paying its cost. If that card is Throughout, end the current phase.\n\nDevious - Choose one of your opponent\'s non-Special Enhancements. Move all Sakura tokens on it to Shadow.', textKoAdditional: 'Enact your current Plan, then prepare your next one.\n\nDivine - Choose an Enhancement in your played pile, or one of your Devoted Special Enhancements. Play that card without paying its cost. If that card is Throughout, end the current phase.\n\nDevious - Choose one of your opponent's non-Special Enhancements. Move all Sakura tokens on it to Shadow.', textEn: 'Enact your current Plan, then prepare your next one.\n\nDivine - Choose an Enhancement in your played pile, or one of your Devoted Special Enhancements. Play that card without paying its cost. If that card is Throughout, end the current phase.\n\nDevious - Choose one of your opponent\'s non-Special Enhancements. Move all Sakura tokens on it to Shadow.'},</x:v>
      </x:c>
      <x:c r="AU113" t="str">
        <x:f>IF($A113&lt;&gt;"", "    /** 《"&amp;$E113&amp;"》 */ export const "&amp;SUBSTITUTE(UPPER(IF(MID($A113, 3, 1)="-", RIGHT($A113,LEN($A113)-3), $A113)), "-", "_")&amp;": TCardId = '"&amp;$A113&amp;"';", "")</x:f>
        <x:v>    /** 《皆式理解》 */ export const SHINRA_O_S_2: TCardId = '07-shinra-o-s-2';</x:v>
      </x:c>
      <x:c r="AV113" t="str">
        <x:f>IF($A114&lt;&gt;"", "    | '"&amp;$A114&amp;"'", "")</x:f>
        <x:v>    | '07-shinra-o-s-3'</x:v>
      </x:c>
    </x:row>
    <x:row r="114" ht="68" customHeight="1">
      <x:c r="A114" t="str">
        <x:v>07-shinra-o-s-3</x:v>
      </x:c>
      <x:c r="B114" t="str">
        <x:v>shinra</x:v>
      </x:c>
      <x:c r="C114"/>
      <x:c r="D114"/>
      <x:c r="E114" t="str">
        <x:v>天地反駁</x:v>
      </x:c>
      <x:c r="F114" t="str">
        <x:v>てんちはんぱく</x:v>
      </x:c>
      <x:c r="G114" t="str">
        <x:v>天地反驳</x:v>
      </x:c>
      <x:c r="H114" t="str">
        <x:v>天地反驳</x:v>
      </x:c>
      <x:c r="I114"/>
      <x:c r="J114" t="str">
        <x:v>천지반박</x:v>
      </x:c>
      <x:c r="K114" t="str">
        <x:v>Refute the World</x:v>
      </x:c>
      <x:c r="L114"/>
      <x:c r="M114" t="str">
        <x:v>切札</x:v>
      </x:c>
      <x:c r="N114"/>
      <x:c r="O114"/>
      <x:c r="P114"/>
      <x:c r="Q114"/>
      <x:c r="R114" t="str">
        <x:v>付与</x:v>
      </x:c>
      <x:c r="S114" t="str">
        <x:v>全力</x:v>
      </x:c>
      <x:c r="T114"/>
      <x:c r="U114"/>
      <x:c r="V114"/>
      <x:c r="W114"/>
      <x:c r="X114" t="n">
        <x:v>5</x:v>
      </x:c>
      <x:c r="Y114"/>
      <x:c r="Z114" t="n">
        <x:v>2</x:v>
      </x:c>
      <x:c r="AA114"/>
      <x:c r="AB114"/>
      <x:c r="AC114"/>
      <x:c r="AD114"/>
      <x:c r="AE114" s="438" t="str">
        <x:v>【展開中】あなたの《攻撃》のオーラへのダメージとライフへのダメージを入れ替える。（ダメージの入れ替えは、ダメージの増減より先に適用される）</x:v>
      </x:c>
      <x:c r="AF114" s="438"/>
      <x:c r="AG114" s="499" t="str">
        <x:v>【展开中】交换你的《攻击》牌对装和命的伤害。
（交换优先于修正结算）</x:v>
      </x:c>
      <x:c r="AH114" s="438"/>
      <x:c r="AI114" s="499" t="str">
        <x:v>【展开中】交换你的《攻击》牌对装和命的基础伤害（交换优先于修正结算）。</x:v>
      </x:c>
      <x:c r="AJ114" s="438"/>
      <x:c r="AK114" s="499" t="str">
        <x:v>【전개중】당신의 《공격》의 오라로의 대미지와 라이프로의 대미지를 바꾼다.
 （대미지의 증감보다 먼저 적용된다.）</x:v>
      </x:c>
      <x:c r="AL114" s="438"/>
      <x:c r="AM114" s="499" t="str">
        <x:v>Ongoing: Your attacks that deal damage to Aura(Life) deal damage to Life(Aura) instead.
(This takes effect before any modifier to Damage is applied.)</x:v>
      </x:c>
      <x:c r="AN114" s="438"/>
      <x:c r="AO114" s="438"/>
      <x:c r="AP114" s="438"/>
      <x:c r="AQ114" s="438"/>
      <x:c r="AR114" s="438"/>
      <x:c r="AS114" s="438"/>
      <x:c r="AT114" t="str">
        <x:f>IF(A114="", "","'"&amp;A114&amp;"': {megami: '"&amp;B114&amp;"'"&amp;IF(C114&lt;&gt;"",", anotherID: '"&amp;C114&amp;"', replace: '"&amp;D114&amp;"'","")&amp;", name: '"&amp;SUBSTITUTE(E114,"'","\'")&amp;"', nameEn: '"&amp;SUBSTITUTE(K114,"'","\'")&amp;"', nameZh: '"&amp;SUBSTITUTE(G114,"'","\'")&amp;"', nameZhG113: '"&amp;SUBSTITUTE(H114,"'","\'")&amp;"', nameKo: '"&amp;SUBSTITUTE(J114,"'","\'")&amp;"', ruby: '"&amp;F114&amp;"', rubyEn: '"&amp;L114&amp;IF(I114&lt;&gt;"", "', rubyZh: '"&amp;I114, "")&amp;"', baseType: '"&amp;IF(M114="通常札","normal",IF(M114="切札","special",IF(M114="追加札","extra",IF(M114="transform","transform",IF(M114="嵐","storm",IF(M114="兵員","troop",IF(M114="構想","plan",IF(M114="メインパーツ","mainParts",IF(M114="カスタムパーツ","customParts",IF(M114="運命","fate",IF(M114="仮想樹","virtualTree","")))))))))))&amp;"'"&amp;IF(N114="○",", extra: true","")&amp;IF(O114&lt;&gt;"",", extraFrom: '"&amp;O114&amp;"'","")&amp;IF(P114&lt;&gt;"",", exchangableTo: '"&amp;P114&amp;"'","")&amp;IF(Q114="○",", poison: true","")&amp;IF(R114&lt;&gt;"", ", type: '"&amp;IF(R114="攻撃","attack",IF(R114="行動","action",IF(R114="不定","variable",IF(R114="対応","reaction",IF(R114="全力","fullpower",IF(R114="付与","enhance",IF(R114="transform","transform","")))))))&amp;"'", "")&amp;IF(S114&lt;&gt;"",", subType: '"&amp;IF(S114="攻撃","attack",IF(S114="行動","action",IF(S114="不定","variable",IF(S114="対応","reaction",IF(S114="全力","fullpower",IF(S114="付与","enhance",IF(S114="transform","transform","")))))))&amp;"'","")&amp;""&amp;IF(T114&lt;&gt;"",", range: '"&amp;T114&amp;"'","")&amp;IF(V114&lt;&gt;"",", damage: '"&amp;V114&amp;"'","")&amp;IF(X114&lt;&gt;"",", capacity: '"&amp;X114&amp;"'","")&amp;IF(Y114&lt;&gt;"",", growth: "&amp;Y114&amp;"","")&amp;IF(Z114&lt;&gt;"",", cost: '"&amp;Z114&amp;"'","")&amp;", text: '"&amp;SUBSTITUTE(SUBSTITUTE(AE114, CHAR(13), ""),CHAR(10),"\n")&amp;IF(AF114&lt;&gt;"", "', textAdditional: '"&amp;SUBSTITUTE(SUBSTITUTE(AF114, CHAR(13), ""),CHAR(10),"\n"), "")&amp;"', textZh: '"&amp;SUBSTITUTE(SUBSTITUTE(SUBSTITUTE(AG114, CHAR(13), ""),CHAR(10),"\n"),"'","\'")&amp;"', textZhG113: '"&amp;SUBSTITUTE(SUBSTITUTE(SUBSTITUTE(AI114, CHAR(13), ""),CHAR(10),"\n"),"'","\'")&amp;IF(AH114&lt;&gt;"", "', textZhAdditional: '"&amp;SUBSTITUTE(SUBSTITUTE(AH114, CHAR(13), ""),CHAR(10),"\n"), "")&amp;IF(AK114&lt;&gt;"", "', textZhG113Additional: '"&amp;SUBSTITUTE(SUBSTITUTE(AK114, CHAR(13), ""),CHAR(10),"\n"), "")&amp;"', textKo: '"&amp;SUBSTITUTE(SUBSTITUTE(SUBSTITUTE(AM114, CHAR(13), ""),CHAR(10),"\n"),"'","\'")&amp;IF(AM114&lt;&gt;"", "', textKoAdditional: '"&amp;SUBSTITUTE(SUBSTITUTE(AM114, CHAR(13), ""),CHAR(10),"\n"), "")&amp;"', textEn: '"&amp;SUBSTITUTE(SUBSTITUTE(SUBSTITUTE(AM114, CHAR(13), ""),CHAR(10),"\n"),"'","\'")&amp;IF(AN114&lt;&gt;"", "', textEnAdditional: '"&amp;SUBSTITUTE(SUBSTITUTE(AN114, CHAR(13), ""),CHAR(10),"\n"), "")&amp;"'"&amp;IF(AB114="○",", sealable: true","")&amp;IF(AC114="○",", removable: true","")&amp;IF(AA114="○",", lie: true","")&amp;IF(AD114="○",", investable: true","")&amp;"},")</x:f>
        <x:v>'07-shinra-o-s-3': {megami: 'shinra', name: '天地反駁', nameEn: 'Refute the World', nameZh: '天地反驳', nameZhG113: '天地反驳', nameKo: '천지반박', ruby: 'てんちはんぱく', rubyEn: '', baseType: 'special', type: 'enhance', subType: 'fullpower', capacity: '5', cost: '2', text: '【展開中】あなたの《攻撃》のオーラへのダメージとライフへのダメージを入れ替える。（ダメージの入れ替えは、ダメージの増減より先に適用される）', textZh: '【展开中】交换你的《攻击》牌对装和命的伤害。\n（交换优先于修正结算）', textZhG113: '【展开中】交换你的《攻击》牌对装和命的基础伤害（交换优先于修正结算）。', textZhG113Additional: '【전개중】당신의 《공격》의 오라로의 대미지와 라이프로의 대미지를 바꾼다.\n （대미지의 증감보다 먼저 적용된다.）', textKo: 'Ongoing: Your attacks that deal damage to Aura(Life) deal damage to Life(Aura) instead.\n(This takes effect before any modifier to Damage is applied.)', textKoAdditional: 'Ongoing: Your attacks that deal damage to Aura(Life) deal damage to Life(Aura) instead.\n(This takes effect before any modifier to Damage is applied.)', textEn: 'Ongoing: Your attacks that deal damage to Aura(Life) deal damage to Life(Aura) instead.\n(This takes effect before any modifier to Damage is applied.)'},</x:v>
      </x:c>
      <x:c r="AU114" t="str">
        <x:f>IF($A114&lt;&gt;"", "    /** 《"&amp;$E114&amp;"》 */ export const "&amp;SUBSTITUTE(UPPER(IF(MID($A114, 3, 1)="-", RIGHT($A114,LEN($A114)-3), $A114)), "-", "_")&amp;": TCardId = '"&amp;$A114&amp;"';", "")</x:f>
        <x:v>    /** 《天地反駁》 */ export const SHINRA_O_S_3: TCardId = '07-shinra-o-s-3';</x:v>
      </x:c>
      <x:c r="AV114" t="str">
        <x:f>IF($A115&lt;&gt;"", "    | '"&amp;$A115&amp;"'", "")</x:f>
        <x:v>    | '07-shinra-o-s-4'</x:v>
      </x:c>
    </x:row>
    <x:row r="115" ht="113" customHeight="1">
      <x:c r="A115" t="str">
        <x:v>07-shinra-o-s-4</x:v>
      </x:c>
      <x:c r="B115" t="str">
        <x:v>shinra</x:v>
      </x:c>
      <x:c r="C115"/>
      <x:c r="D115"/>
      <x:c r="E115" t="str">
        <x:v>森羅判証</x:v>
      </x:c>
      <x:c r="F115" t="str">
        <x:v>しんらばんしょう</x:v>
      </x:c>
      <x:c r="G115" t="str">
        <x:v>森罗判证</x:v>
      </x:c>
      <x:c r="H115" t="str">
        <x:v>森罗判证</x:v>
      </x:c>
      <x:c r="I115"/>
      <x:c r="J115" t="str">
        <x:v>삼라판증</x:v>
      </x:c>
      <x:c r="K115" t="str">
        <x:v>Prove the Nature</x:v>
      </x:c>
      <x:c r="L115"/>
      <x:c r="M115" t="str">
        <x:v>切札</x:v>
      </x:c>
      <x:c r="N115"/>
      <x:c r="O115"/>
      <x:c r="P115"/>
      <x:c r="Q115"/>
      <x:c r="R115" t="str">
        <x:v>付与</x:v>
      </x:c>
      <x:c r="S115"/>
      <x:c r="T115"/>
      <x:c r="U115"/>
      <x:c r="V115"/>
      <x:c r="W115"/>
      <x:c r="X115" t="n">
        <x:v>6</x:v>
      </x:c>
      <x:c r="Y115"/>
      <x:c r="Z115" t="n">
        <x:v>6</x:v>
      </x:c>
      <x:c r="AA115"/>
      <x:c r="AB115"/>
      <x:c r="AC115"/>
      <x:c r="AD115"/>
      <x:c r="AE115" s="438" t="str">
        <x:v>【展開時】ダスト→自ライフ：2
【展開中】あなたの他の付与札が破棄された時、相手のライフに1ダメージを与える。
【破棄時】あなたは敗北する。</x:v>
      </x:c>
      <x:c r="AF115" s="438"/>
      <x:c r="AG115" s="499" t="str">
        <x:v>【展开时】虚→2→自命 
【展开中】当你的其他《付与》牌破弃时，给予敌命1点伤害。
【破弃时】你输掉这局游戏。</x:v>
      </x:c>
      <x:c r="AH115" s="438"/>
      <x:c r="AI115" s="499" t="str">
        <x:v>【展开时】虚（2）→自命 
【展开中】当你的其他《付与》牌破弃时，对敌命造成1点伤害。
 【破弃时】你输掉这局游戏。</x:v>
      </x:c>
      <x:c r="AJ115" s="438"/>
      <x:c r="AK115" s="499" t="str">
        <x:v>【전개시】더스트→자신 라이프：2 
 【전개중】당신의 다른 부여패가 파기되었을 때, 상대의 라이프에 1 대미지를 준다.
 【파기시】당신은 패배한다.</x:v>
      </x:c>
      <x:c r="AL115" s="438"/>
      <x:c r="AM115" s="499" t="str">
        <x:v>Initialize:
Shadow (2)→ Your Life
Ongoing: Your other Enhancements gain "Disenchant: Deal 1 damage to your opponent's Life".
Disenchant: You lose the game.</x:v>
      </x:c>
      <x:c r="AN115" s="438"/>
      <x:c r="AO115" s="438"/>
      <x:c r="AP115" s="438"/>
      <x:c r="AQ115" s="438"/>
      <x:c r="AR115" s="438"/>
      <x:c r="AS115" s="438"/>
      <x:c r="AT115" t="str">
        <x:f>IF(A115="", "","'"&amp;A115&amp;"': {megami: '"&amp;B115&amp;"'"&amp;IF(C115&lt;&gt;"",", anotherID: '"&amp;C115&amp;"', replace: '"&amp;D115&amp;"'","")&amp;", name: '"&amp;SUBSTITUTE(E115,"'","\'")&amp;"', nameEn: '"&amp;SUBSTITUTE(K115,"'","\'")&amp;"', nameZh: '"&amp;SUBSTITUTE(G115,"'","\'")&amp;"', nameZhG114: '"&amp;SUBSTITUTE(H115,"'","\'")&amp;"', nameKo: '"&amp;SUBSTITUTE(J115,"'","\'")&amp;"', ruby: '"&amp;F115&amp;"', rubyEn: '"&amp;L115&amp;IF(I115&lt;&gt;"", "', rubyZh: '"&amp;I115, "")&amp;"', baseType: '"&amp;IF(M115="通常札","normal",IF(M115="切札","special",IF(M115="追加札","extra",IF(M115="transform","transform",IF(M115="嵐","storm",IF(M115="兵員","troop",IF(M115="構想","plan",IF(M115="メインパーツ","mainParts",IF(M115="カスタムパーツ","customParts",IF(M115="運命","fate",IF(M115="仮想樹","virtualTree","")))))))))))&amp;"'"&amp;IF(N115="○",", extra: true","")&amp;IF(O115&lt;&gt;"",", extraFrom: '"&amp;O115&amp;"'","")&amp;IF(P115&lt;&gt;"",", exchangableTo: '"&amp;P115&amp;"'","")&amp;IF(Q115="○",", poison: true","")&amp;IF(R115&lt;&gt;"", ", type: '"&amp;IF(R115="攻撃","attack",IF(R115="行動","action",IF(R115="不定","variable",IF(R115="対応","reaction",IF(R115="全力","fullpower",IF(R115="付与","enhance",IF(R115="transform","transform","")))))))&amp;"'", "")&amp;IF(S115&lt;&gt;"",", subType: '"&amp;IF(S115="攻撃","attack",IF(S115="行動","action",IF(S115="不定","variable",IF(S115="対応","reaction",IF(S115="全力","fullpower",IF(S115="付与","enhance",IF(S115="transform","transform","")))))))&amp;"'","")&amp;""&amp;IF(T115&lt;&gt;"",", range: '"&amp;T115&amp;"'","")&amp;IF(V115&lt;&gt;"",", damage: '"&amp;V115&amp;"'","")&amp;IF(X115&lt;&gt;"",", capacity: '"&amp;X115&amp;"'","")&amp;IF(Y115&lt;&gt;"",", growth: "&amp;Y115&amp;"","")&amp;IF(Z115&lt;&gt;"",", cost: '"&amp;Z115&amp;"'","")&amp;", text: '"&amp;SUBSTITUTE(SUBSTITUTE(AE115, CHAR(13), ""),CHAR(10),"\n")&amp;IF(AF115&lt;&gt;"", "', textAdditional: '"&amp;SUBSTITUTE(SUBSTITUTE(AF115, CHAR(13), ""),CHAR(10),"\n"), "")&amp;"', textZh: '"&amp;SUBSTITUTE(SUBSTITUTE(SUBSTITUTE(AG115, CHAR(13), ""),CHAR(10),"\n"),"'","\'")&amp;"', textZhG114: '"&amp;SUBSTITUTE(SUBSTITUTE(SUBSTITUTE(AI115, CHAR(13), ""),CHAR(10),"\n"),"'","\'")&amp;IF(AH115&lt;&gt;"", "', textZhAdditional: '"&amp;SUBSTITUTE(SUBSTITUTE(AH115, CHAR(13), ""),CHAR(10),"\n"), "")&amp;IF(AK115&lt;&gt;"", "', textZhG114Additional: '"&amp;SUBSTITUTE(SUBSTITUTE(AK115, CHAR(13), ""),CHAR(10),"\n"), "")&amp;"', textKo: '"&amp;SUBSTITUTE(SUBSTITUTE(SUBSTITUTE(AM115, CHAR(13), ""),CHAR(10),"\n"),"'","\'")&amp;IF(AM115&lt;&gt;"", "', textKoAdditional: '"&amp;SUBSTITUTE(SUBSTITUTE(AM115, CHAR(13), ""),CHAR(10),"\n"), "")&amp;"', textEn: '"&amp;SUBSTITUTE(SUBSTITUTE(SUBSTITUTE(AM115, CHAR(13), ""),CHAR(10),"\n"),"'","\'")&amp;IF(AN115&lt;&gt;"", "', textEnAdditional: '"&amp;SUBSTITUTE(SUBSTITUTE(AN115, CHAR(13), ""),CHAR(10),"\n"), "")&amp;"'"&amp;IF(AB115="○",", sealable: true","")&amp;IF(AC115="○",", removable: true","")&amp;IF(AA115="○",", lie: true","")&amp;IF(AD115="○",", investable: true","")&amp;"},")</x:f>
        <x:v>'07-shinra-o-s-4': {megami: 'shinra', name: '森羅判証', nameEn: 'Prove the Nature', nameZh: '森罗判证', nameZhG114: '森罗判证', nameKo: '삼라판증', ruby: 'しんらばんしょう', rubyEn: '', baseType: 'special', type: 'enhance', capacity: '6', cost: '6', text: '【展開時】ダスト→自ライフ：2\n【展開中】あなたの他の付与札が破棄された時、相手のライフに1ダメージを与える。\n【破棄時】あなたは敗北する。', textZh: '【展开时】虚→2→自命 \n【展开中】当你的其他《付与》牌破弃时，给予敌命1点伤害。\n【破弃时】你输掉这局游戏。', textZhG114: '【展开时】虚（2）→自命 \n【展开中】当你的其他《付与》牌破弃时，对敌命造成1点伤害。\n 【破弃时】你输掉这局游戏。', textZhG114Additional: '【전개시】더스트→자신 라이프：2 \n 【전개중】당신의 다른 부여패가 파기되었을 때, 상대의 라이프에 1 대미지를 준다.\n 【파기시】당신은 패배한다.', textKo: 'Initialize:\nShadow (2)→ Your Life\n\nOngoing: Your other Enhancements gain "Disenchant: Deal 1 damage to your opponent\'s Life".\n\nDisenchant: You lose the game.', textKoAdditional: 'Initialize:\nShadow (2)→ Your Life\n\nOngoing: Your other Enhancements gain "Disenchant: Deal 1 damage to your opponent's Life".\n\nDisenchant: You lose the game.', textEn: 'Initialize:\nShadow (2)→ Your Life\n\nOngoing: Your other Enhancements gain "Disenchant: Deal 1 damage to your opponent\'s Life".\n\nDisenchant: You lose the game.'},</x:v>
      </x:c>
      <x:c r="AU115" t="str">
        <x:f>IF($A115&lt;&gt;"", "    /** 《"&amp;$E115&amp;"》 */ export const "&amp;SUBSTITUTE(UPPER(IF(MID($A115, 3, 1)="-", RIGHT($A115,LEN($A115)-3), $A115)), "-", "_")&amp;": TCardId = '"&amp;$A115&amp;"';", "")</x:f>
        <x:v>    /** 《森羅判証》 */ export const SHINRA_O_S_4: TCardId = '07-shinra-o-s-4';</x:v>
      </x:c>
      <x:c r="AV115" t="str">
        <x:f>IF($A116&lt;&gt;"", "    | '"&amp;$A116&amp;"'", "")</x:f>
        <x:v>    | '07-shinra-A1-n-2'</x:v>
      </x:c>
    </x:row>
    <x:row r="116" ht="128" customHeight="1">
      <x:c r="A116" t="str">
        <x:v>07-shinra-A1-n-2</x:v>
      </x:c>
      <x:c r="B116" t="str">
        <x:v>shinra</x:v>
      </x:c>
      <x:c r="C116" t="str">
        <x:v>A1</x:v>
      </x:c>
      <x:c r="D116" t="str">
        <x:v>07-shinra-o-n-2</x:v>
      </x:c>
      <x:c r="E116" t="str">
        <x:v>真言</x:v>
      </x:c>
      <x:c r="F116" t="str">
        <x:v>しんごん</x:v>
      </x:c>
      <x:c r="G116" t="str">
        <x:v>真言</x:v>
      </x:c>
      <x:c r="H116" t="str">
        <x:v>真言</x:v>
      </x:c>
      <x:c r="I116"/>
      <x:c r="J116" t="str">
        <x:v>진언</x:v>
      </x:c>
      <x:c r="K116" t="str">
        <x:v>Mantra</x:v>
      </x:c>
      <x:c r="L116"/>
      <x:c r="M116" t="str">
        <x:v>通常札</x:v>
      </x:c>
      <x:c r="N116"/>
      <x:c r="O116"/>
      <x:c r="P116"/>
      <x:c r="Q116"/>
      <x:c r="R116" t="str">
        <x:v>行動</x:v>
      </x:c>
      <x:c r="S116" t="str">
        <x:v>対応</x:v>
      </x:c>
      <x:c r="T116"/>
      <x:c r="U116"/>
      <x:c r="V116"/>
      <x:c r="W116"/>
      <x:c r="X116"/>
      <x:c r="Y116"/>
      <x:c r="Z116"/>
      <x:c r="AA116"/>
      <x:c r="AB116"/>
      <x:c r="AC116"/>
      <x:c r="AD116"/>
      <x:c r="AE116" s="438" t="str">
        <x:v>このカードを対応で使用したならば、計略を実行し、次の計略を準備する。
神算:相手の山札が3枚以上ならば、相手のライフに1ダメージを与える。
鬼謀:相手の山札が3枚以下ならば、相手のオーラに1ダメージを与える。</x:v>
      </x:c>
      <x:c r="AF116" s="438"/>
      <x:c r="AG116" s="499" t="str">
        <x:v>若此牌作为对应打出，则实行当前计略，准备下个计略。
----
[神算] 若对手牌库的牌张数大于等于3，则给予敌命1点伤害。_x005F
----
[鬼谋] 若对手牌库的牌张数小于等于3，则给予敌装2点伤害。</x:v>
      </x:c>
      <x:c r="AH116" s="438"/>
      <x:c r="AI116" s="499" t="str">
        <x:v>若此牌作为对应打出，则实行当前计略，准备下个计略。
神算：若对手牌库的牌张数大于等于3，则对敌命造成1点伤害。
鬼谋：若对手牌库的牌张数小于等于3，则对敌装造成2点伤害。</x:v>
      </x:c>
      <x:c r="AJ116" s="438"/>
      <x:c r="AK116" s="499" t="str">
        <x:v>이 카드를 공격에 대한 대응으로 사용했다면 계략을 실행하고, 다음 계략을 준비한다.
[신산] 상대의 패산이 3장 이상이라면 상대 라이프에 1데미지를 준다.
[귀모] 상대의 패산이 3장 이하라면 상대 오라에 2데미지를 준다.</x:v>
      </x:c>
      <x:c r="AL116" s="438"/>
      <x:c r="AM116" s="499" t="str">
        <x:v>If this card was played as a Reaction to an attack, enact your current Plan, the prepare your next one.
Divine - If your opponent's deck has 3 or more cards, deal 1 damage to their Life.
Devious - If your opponent's deck has 3 or fewer cards, deal 2 damage to their Aura.</x:v>
      </x:c>
      <x:c r="AN116" s="438"/>
      <x:c r="AO116" s="438"/>
      <x:c r="AP116" s="438"/>
      <x:c r="AQ116" s="438"/>
      <x:c r="AR116" s="438"/>
      <x:c r="AS116" s="438"/>
      <x:c r="AT116" t="str">
        <x:f>IF(A116="", "","'"&amp;A116&amp;"': {megami: '"&amp;B116&amp;"'"&amp;IF(C116&lt;&gt;"",", anotherID: '"&amp;C116&amp;"', replace: '"&amp;D116&amp;"'","")&amp;", name: '"&amp;SUBSTITUTE(E116,"'","\'")&amp;"', nameEn: '"&amp;SUBSTITUTE(K116,"'","\'")&amp;"', nameZh: '"&amp;SUBSTITUTE(G116,"'","\'")&amp;"', nameZhG115: '"&amp;SUBSTITUTE(H116,"'","\'")&amp;"', nameKo: '"&amp;SUBSTITUTE(J116,"'","\'")&amp;"', ruby: '"&amp;F116&amp;"', rubyEn: '"&amp;L116&amp;IF(I116&lt;&gt;"", "', rubyZh: '"&amp;I116, "")&amp;"', baseType: '"&amp;IF(M116="通常札","normal",IF(M116="切札","special",IF(M116="追加札","extra",IF(M116="transform","transform",IF(M116="嵐","storm",IF(M116="兵員","troop",IF(M116="構想","plan",IF(M116="メインパーツ","mainParts",IF(M116="カスタムパーツ","customParts",IF(M116="運命","fate",IF(M116="仮想樹","virtualTree","")))))))))))&amp;"'"&amp;IF(N116="○",", extra: true","")&amp;IF(O116&lt;&gt;"",", extraFrom: '"&amp;O116&amp;"'","")&amp;IF(P116&lt;&gt;"",", exchangableTo: '"&amp;P116&amp;"'","")&amp;IF(Q116="○",", poison: true","")&amp;IF(R116&lt;&gt;"", ", type: '"&amp;IF(R116="攻撃","attack",IF(R116="行動","action",IF(R116="不定","variable",IF(R116="対応","reaction",IF(R116="全力","fullpower",IF(R116="付与","enhance",IF(R116="transform","transform","")))))))&amp;"'", "")&amp;IF(S116&lt;&gt;"",", subType: '"&amp;IF(S116="攻撃","attack",IF(S116="行動","action",IF(S116="不定","variable",IF(S116="対応","reaction",IF(S116="全力","fullpower",IF(S116="付与","enhance",IF(S116="transform","transform","")))))))&amp;"'","")&amp;""&amp;IF(T116&lt;&gt;"",", range: '"&amp;T116&amp;"'","")&amp;IF(V116&lt;&gt;"",", damage: '"&amp;V116&amp;"'","")&amp;IF(X116&lt;&gt;"",", capacity: '"&amp;X116&amp;"'","")&amp;IF(Y116&lt;&gt;"",", growth: "&amp;Y116&amp;"","")&amp;IF(Z116&lt;&gt;"",", cost: '"&amp;Z116&amp;"'","")&amp;", text: '"&amp;SUBSTITUTE(SUBSTITUTE(AE116, CHAR(13), ""),CHAR(10),"\n")&amp;IF(AF116&lt;&gt;"", "', textAdditional: '"&amp;SUBSTITUTE(SUBSTITUTE(AF116, CHAR(13), ""),CHAR(10),"\n"), "")&amp;"', textZh: '"&amp;SUBSTITUTE(SUBSTITUTE(SUBSTITUTE(AG116, CHAR(13), ""),CHAR(10),"\n"),"'","\'")&amp;"', textZhG115: '"&amp;SUBSTITUTE(SUBSTITUTE(SUBSTITUTE(AI116, CHAR(13), ""),CHAR(10),"\n"),"'","\'")&amp;IF(AH116&lt;&gt;"", "', textZhAdditional: '"&amp;SUBSTITUTE(SUBSTITUTE(AH116, CHAR(13), ""),CHAR(10),"\n"), "")&amp;IF(AK116&lt;&gt;"", "', textZhG115Additional: '"&amp;SUBSTITUTE(SUBSTITUTE(AK116, CHAR(13), ""),CHAR(10),"\n"), "")&amp;"', textKo: '"&amp;SUBSTITUTE(SUBSTITUTE(SUBSTITUTE(AM116, CHAR(13), ""),CHAR(10),"\n"),"'","\'")&amp;IF(AM116&lt;&gt;"", "', textKoAdditional: '"&amp;SUBSTITUTE(SUBSTITUTE(AM116, CHAR(13), ""),CHAR(10),"\n"), "")&amp;"', textEn: '"&amp;SUBSTITUTE(SUBSTITUTE(SUBSTITUTE(AM116, CHAR(13), ""),CHAR(10),"\n"),"'","\'")&amp;IF(AN116&lt;&gt;"", "', textEnAdditional: '"&amp;SUBSTITUTE(SUBSTITUTE(AN116, CHAR(13), ""),CHAR(10),"\n"), "")&amp;"'"&amp;IF(AB116="○",", sealable: true","")&amp;IF(AC116="○",", removable: true","")&amp;IF(AA116="○",", lie: true","")&amp;IF(AD116="○",", investable: true","")&amp;"},")</x:f>
        <x:v>'07-shinra-A1-n-2': {megami: 'shinra', anotherID: 'A1', replace: '07-shinra-o-n-2', name: '真言', nameEn: 'Mantra', nameZh: '真言', nameZhG115: '真言', nameKo: '진언', ruby: 'しんごん', rubyEn: '', baseType: 'normal', type: 'action', subType: 'reaction', text: 'このカードを対応で使用したならば、計略を実行し、次の計略を準備する。\n神算:相手の山札が3枚以上ならば、相手のライフに1ダメージを与える。\n鬼謀:相手の山札が3枚以下ならば、相手のオーラに1ダメージを与える。', textZh: '若此牌作为对应打出，则实行当前计略，准备下个计略。\n----\n[神算] 若对手牌库的牌张数大于等于3，则给予敌命1点伤害。_x005F\n----\n[鬼谋] 若对手牌库的牌张数小于等于3，则给予敌装2点伤害。', textZhG115: '若此牌作为对应打出，则实行当前计略，准备下个计略。\n神算：若对手牌库的牌张数大于等于3，则对敌命造成1点伤害。\n鬼谋：若对手牌库的牌张数小于等于3，则对敌装造成2点伤害。', textZhG115Additional: '이 카드를 공격에 대한 대응으로 사용했다면 계략을 실행하고, 다음 계략을 준비한다.\n[신산] 상대의 패산이 3장 이상이라면 상대 라이프에 1데미지를 준다.\n[귀모] 상대의 패산이 3장 이하라면 상대 오라에 2데미지를 준다.', textKo: 'If this card was played as a Reaction to an attack, enact your current Plan, the prepare your next one.\n\nDivine - If your opponent\'s deck has 3 or more cards, deal 1 damage to their Life.\n\nDevious - If your opponent\'s deck has 3 or fewer cards, deal 2 damage to their Aura.', textKoAdditional: 'If this card was played as a Reaction to an attack, enact your current Plan, the prepare your next one.\n\nDivine - If your opponent's deck has 3 or more cards, deal 1 damage to their Life.\n\nDevious - If your opponent's deck has 3 or fewer cards, deal 2 damage to their Aura.', textEn: 'If this card was played as a Reaction to an attack, enact your current Plan, the prepare your next one.\n\nDivine - If your opponent\'s deck has 3 or more cards, deal 1 damage to their Life.\n\nDevious - If your opponent\'s deck has 3 or fewer cards, deal 2 damage to their Aura.'},</x:v>
      </x:c>
      <x:c r="AU116" t="str">
        <x:f>IF($A116&lt;&gt;"", "    /** 《"&amp;$E116&amp;"》 */ export const "&amp;SUBSTITUTE(UPPER(IF(MID($A116, 3, 1)="-", RIGHT($A116,LEN($A116)-3), $A116)), "-", "_")&amp;": TCardId = '"&amp;$A116&amp;"';", "")</x:f>
        <x:v>    /** 《真言》 */ export const SHINRA_A1_N_2: TCardId = '07-shinra-A1-n-2';</x:v>
      </x:c>
      <x:c r="AV116" t="str">
        <x:f>IF($A117&lt;&gt;"", "    | '"&amp;$A117&amp;"'", "")</x:f>
        <x:v>    | '07-shinra-A1-n-7'</x:v>
      </x:c>
    </x:row>
    <x:row r="117" ht="128" customHeight="1">
      <x:c r="A117" t="str">
        <x:v>07-shinra-A1-n-7</x:v>
      </x:c>
      <x:c r="B117" t="str">
        <x:v>shinra</x:v>
      </x:c>
      <x:c r="C117" t="str">
        <x:v>A1</x:v>
      </x:c>
      <x:c r="D117" t="str">
        <x:v>07-shinra-o-n-7</x:v>
      </x:c>
      <x:c r="E117" t="str">
        <x:v>使徒</x:v>
      </x:c>
      <x:c r="F117" t="str">
        <x:v>しと</x:v>
      </x:c>
      <x:c r="G117" t="str">
        <x:v>使徒</x:v>
      </x:c>
      <x:c r="H117" t="str">
        <x:v>使徒</x:v>
      </x:c>
      <x:c r="I117"/>
      <x:c r="J117" t="str">
        <x:v>사도</x:v>
      </x:c>
      <x:c r="K117" t="str">
        <x:v>Apostle</x:v>
      </x:c>
      <x:c r="L117"/>
      <x:c r="M117" t="str">
        <x:v>通常札</x:v>
      </x:c>
      <x:c r="N117"/>
      <x:c r="O117"/>
      <x:c r="P117"/>
      <x:c r="Q117"/>
      <x:c r="R117" t="str">
        <x:v>付与</x:v>
      </x:c>
      <x:c r="S117" t="str">
        <x:v>全力</x:v>
      </x:c>
      <x:c r="T117"/>
      <x:c r="U117"/>
      <x:c r="V117"/>
      <x:c r="W117"/>
      <x:c r="X117" t="n">
        <x:v>2</x:v>
      </x:c>
      <x:c r="Y117"/>
      <x:c r="Z117"/>
      <x:c r="AA117"/>
      <x:c r="AB117"/>
      <x:c r="AC117"/>
      <x:c r="AD117"/>
      <x:c r="AE117" s="438" t="str">
        <x:v>【展開時】集中力を1支払い、計略を準備してもよい。
【展開時/破棄時】計略を実行し、次の計略を準備する。
神算:攻撃『適正距離 1,3,5、2/2、不可避、【攻撃後】相手は相手の手札から1枚選び、山札の底に置く』を行う。
鬼謀:攻撃『適正距離 0,2,4、2/2、不可避、【攻撃後】相手の山札の上から1枚を捨て札にして、1枚を伏せ札にする』を行う。</x:v>
      </x:c>
      <x:c r="AF117" s="438"/>
      <x:c r="AG117" s="499" t="str">
        <x:v>【展开时】可以支付1点集中力来准备计略。
【展开时/破弃时】实行当前计略，准备下个计略。
----
[神算] 进行一次“攻击距离1,3,5 伤害2/2 不可被闪避 【攻击后】对手从其手牌中选择1张牌置于牌库底”的攻击。
----
[鬼谋] 进行一次“攻击距离2,4,6 伤害2/2 不可被闪避 【攻击后】对手从牌库顶弃掉1张牌，盖伏1张牌”的攻击。</x:v>
      </x:c>
      <x:c r="AH117" s="438"/>
      <x:c r="AI117" s="438"/>
      <x:c r="AJ117" s="438"/>
      <x:c r="AK117" s="499" t="str">
        <x:v>【전개시】집중력 1을 지불하면서 계략을 준비해도 좋다.
【전개시/파기시】계략을 실행하고, 다음 계략을 준비한다.
----
[신산] 공격 『 적정거리 1,3,5, 2/2, 불가피, 【공격후】 상대는 손패에서 1장과 버림패 또는 덮은패에서 1장의 선택하고, 그들을 패산 아래에 원하는 순서로 놓는다.』를 수행한다.
----
[귀모] 공격 『적정거리 2.4.6, 2/2, 불가피, 【공격후】 상대의 패산 위의 카드 1장을 버림패로 만들고, 1장을 덮은패로 만든다.』를 수행한다.</x:v>
      </x:c>
      <x:c r="AL117" s="438"/>
      <x:c r="AM117" s="438"/>
      <x:c r="AN117" s="438"/>
      <x:c r="AO117" s="438"/>
      <x:c r="AP117" s="438"/>
      <x:c r="AQ117" s="438"/>
      <x:c r="AR117" s="438"/>
      <x:c r="AS117" s="438"/>
      <x:c r="AT117" t="str">
        <x:f>IF(A117="", "","'"&amp;A117&amp;"': {megami: '"&amp;B117&amp;"'"&amp;IF(C117&lt;&gt;"",", anotherID: '"&amp;C117&amp;"', replace: '"&amp;D117&amp;"'","")&amp;", name: '"&amp;SUBSTITUTE(E117,"'","\'")&amp;"', nameEn: '"&amp;SUBSTITUTE(K117,"'","\'")&amp;"', nameZh: '"&amp;SUBSTITUTE(G117,"'","\'")&amp;"', nameZhG116: '"&amp;SUBSTITUTE(H117,"'","\'")&amp;"', nameKo: '"&amp;SUBSTITUTE(J117,"'","\'")&amp;"', ruby: '"&amp;F117&amp;"', rubyEn: '"&amp;L117&amp;IF(I117&lt;&gt;"", "', rubyZh: '"&amp;I117, "")&amp;"', baseType: '"&amp;IF(M117="通常札","normal",IF(M117="切札","special",IF(M117="追加札","extra",IF(M117="transform","transform",IF(M117="嵐","storm",IF(M117="兵員","troop",IF(M117="構想","plan",IF(M117="メインパーツ","mainParts",IF(M117="カスタムパーツ","customParts",IF(M117="運命","fate",IF(M117="仮想樹","virtualTree","")))))))))))&amp;"'"&amp;IF(N117="○",", extra: true","")&amp;IF(O117&lt;&gt;"",", extraFrom: '"&amp;O117&amp;"'","")&amp;IF(P117&lt;&gt;"",", exchangableTo: '"&amp;P117&amp;"'","")&amp;IF(Q117="○",", poison: true","")&amp;IF(R117&lt;&gt;"", ", type: '"&amp;IF(R117="攻撃","attack",IF(R117="行動","action",IF(R117="不定","variable",IF(R117="対応","reaction",IF(R117="全力","fullpower",IF(R117="付与","enhance",IF(R117="transform","transform","")))))))&amp;"'", "")&amp;IF(S117&lt;&gt;"",", subType: '"&amp;IF(S117="攻撃","attack",IF(S117="行動","action",IF(S117="不定","variable",IF(S117="対応","reaction",IF(S117="全力","fullpower",IF(S117="付与","enhance",IF(S117="transform","transform","")))))))&amp;"'","")&amp;""&amp;IF(T117&lt;&gt;"",", range: '"&amp;T117&amp;"'","")&amp;IF(V117&lt;&gt;"",", damage: '"&amp;V117&amp;"'","")&amp;IF(X117&lt;&gt;"",", capacity: '"&amp;X117&amp;"'","")&amp;IF(Y117&lt;&gt;"",", growth: "&amp;Y117&amp;"","")&amp;IF(Z117&lt;&gt;"",", cost: '"&amp;Z117&amp;"'","")&amp;", text: '"&amp;SUBSTITUTE(SUBSTITUTE(AE117, CHAR(13), ""),CHAR(10),"\n")&amp;IF(AF117&lt;&gt;"", "', textAdditional: '"&amp;SUBSTITUTE(SUBSTITUTE(AF117, CHAR(13), ""),CHAR(10),"\n"), "")&amp;"', textZh: '"&amp;SUBSTITUTE(SUBSTITUTE(SUBSTITUTE(AG117, CHAR(13), ""),CHAR(10),"\n"),"'","\'")&amp;"', textZhG116: '"&amp;SUBSTITUTE(SUBSTITUTE(SUBSTITUTE(AI117, CHAR(13), ""),CHAR(10),"\n"),"'","\'")&amp;IF(AH117&lt;&gt;"", "', textZhAdditional: '"&amp;SUBSTITUTE(SUBSTITUTE(AH117, CHAR(13), ""),CHAR(10),"\n"), "")&amp;IF(AK117&lt;&gt;"", "', textZhG116Additional: '"&amp;SUBSTITUTE(SUBSTITUTE(AK117, CHAR(13), ""),CHAR(10),"\n"), "")&amp;"', textKo: '"&amp;SUBSTITUTE(SUBSTITUTE(SUBSTITUTE(AM117, CHAR(13), ""),CHAR(10),"\n"),"'","\'")&amp;IF(AM117&lt;&gt;"", "', textKoAdditional: '"&amp;SUBSTITUTE(SUBSTITUTE(AM117, CHAR(13), ""),CHAR(10),"\n"), "")&amp;"', textEn: '"&amp;SUBSTITUTE(SUBSTITUTE(SUBSTITUTE(AM117, CHAR(13), ""),CHAR(10),"\n"),"'","\'")&amp;IF(AN117&lt;&gt;"", "', textEnAdditional: '"&amp;SUBSTITUTE(SUBSTITUTE(AN117, CHAR(13), ""),CHAR(10),"\n"), "")&amp;"'"&amp;IF(AB117="○",", sealable: true","")&amp;IF(AC117="○",", removable: true","")&amp;IF(AA117="○",", lie: true","")&amp;IF(AD117="○",", investable: true","")&amp;"},")</x:f>
        <x:v>'07-shinra-A1-n-7': {megami: 'shinra', anotherID: 'A1', replace: '07-shinra-o-n-7', name: '使徒', nameEn: 'Apostle', nameZh: '使徒', nameZhG116: '使徒', nameKo: '사도', ruby: 'しと', rubyEn: '', baseType: 'normal', type: 'enhance', subType: 'fullpower', capacity: '2', text: '【展開時】集中力を1支払い、計略を準備してもよい。\n【展開時/破棄時】計略を実行し、次の計略を準備する。\n神算:攻撃『適正距離 1,3,5、2/2、不可避、【攻撃後】相手は相手の手札から1枚選び、山札の底に置く』を行う。\n鬼謀:攻撃『適正距離 0,2,4、2/2、不可避、【攻撃後】相手の山札の上から1枚を捨て札にして、1枚を伏せ札にする』を行う。', textZh: '【展开时】可以支付1点集中力来准备计略。\n【展开时/破弃时】实行当前计略，准备下个计略。\n----\n[神算] 进行一次“攻击距离1,3,5 伤害2/2 不可被闪避 【攻击后】对手从其手牌中选择1张牌置于牌库底”的攻击。\n----\n[鬼谋] 进行一次“攻击距离2,4,6 伤害2/2 不可被闪避 【攻击后】对手从牌库顶弃掉1张牌，盖伏1张牌”的攻击。', textZhG116: '', textZhG116Additional: '【전개시】집중력 1을 지불하면서 계략을 준비해도 좋다.\n【전개시/파기시】계략을 실행하고, 다음 계략을 준비한다.\n----\n[신산] 공격 『 적정거리 1,3,5, 2/2, 불가피, 【공격후】 상대는 손패에서 1장과 버림패 또는 덮은패에서 1장의 선택하고, 그들을 패산 아래에 원하는 순서로 놓는다.』를 수행한다.\n----\n[귀모] 공격 『적정거리 2.4.6, 2/2, 불가피, 【공격후】 상대의 패산 위의 카드 1장을 버림패로 만들고, 1장을 덮은패로 만든다.』를 수행한다.', textKo: '', textEn: ''},</x:v>
      </x:c>
      <x:c r="AU117" t="str">
        <x:f>IF($A117&lt;&gt;"", "    /** 《"&amp;$E117&amp;"》 */ export const "&amp;SUBSTITUTE(UPPER(IF(MID($A117, 3, 1)="-", RIGHT($A117,LEN($A117)-3), $A117)), "-", "_")&amp;": TCardId = '"&amp;$A117&amp;"';", "")</x:f>
        <x:v>    /** 《使徒》 */ export const SHINRA_A1_N_7: TCardId = '07-shinra-A1-n-7';</x:v>
      </x:c>
      <x:c r="AV117" t="str">
        <x:f>IF($A118&lt;&gt;"", "    | '"&amp;$A118&amp;"'", "")</x:f>
        <x:v>    | '07-shinra-A1-s-3'</x:v>
      </x:c>
    </x:row>
    <x:row r="118" ht="113" customHeight="1">
      <x:c r="A118" t="str">
        <x:v>07-shinra-A1-s-3</x:v>
      </x:c>
      <x:c r="B118" t="str">
        <x:v>shinra</x:v>
      </x:c>
      <x:c r="C118" t="str">
        <x:v>A1</x:v>
      </x:c>
      <x:c r="D118" t="str">
        <x:v>07-shinra-o-s-3</x:v>
      </x:c>
      <x:c r="E118" t="str">
        <x:v>全知経典</x:v>
      </x:c>
      <x:c r="F118" t="str">
        <x:v>ぜんちきょうてん</x:v>
      </x:c>
      <x:c r="G118" t="str">
        <x:v>全知经卷</x:v>
      </x:c>
      <x:c r="H118" t="str">
        <x:v>全知圣典</x:v>
      </x:c>
      <x:c r="I118"/>
      <x:c r="J118" t="str">
        <x:v>전지경전</x:v>
      </x:c>
      <x:c r="K118" t="str">
        <x:v>Interpret the Scripture</x:v>
      </x:c>
      <x:c r="L118"/>
      <x:c r="M118" t="str">
        <x:v>切札</x:v>
      </x:c>
      <x:c r="N118"/>
      <x:c r="O118"/>
      <x:c r="P118"/>
      <x:c r="Q118"/>
      <x:c r="R118" t="str">
        <x:v>攻撃</x:v>
      </x:c>
      <x:c r="S118" t="str">
        <x:v>全力</x:v>
      </x:c>
      <x:c r="T118" t="str">
        <x:v>0-5</x:v>
      </x:c>
      <x:c r="U118"/>
      <x:c r="V118" t="str">
        <x:v>2/2</x:v>
      </x:c>
      <x:c r="W118"/>
      <x:c r="X118"/>
      <x:c r="Y118"/>
      <x:c r="Z118" t="n">
        <x:v>4</x:v>
      </x:c>
      <x:c r="AA118"/>
      <x:c r="AB118"/>
      <x:c r="AC118"/>
      <x:c r="AD118"/>
      <x:c r="AE118" s="438" t="str">
        <x:v>対応不可
【攻撃後】あなたは手札と伏せ札を好きな枚数だけ捨て札にする。その後、捨て札にあるカードから任意の数の計略を、任意の順で実行する。それらすべてを解決し終えたら、次の計略を準備する。
（神算を選んでいたら全て神算で実行する）</x:v>
      </x:c>
      <x:c r="AF118" s="438"/>
      <x:c r="AG118" s="499" t="str">
        <x:v>不可被对应
【攻击后】将任意张手牌和盖牌移入弃牌区。然后从弃牌区选择任意数量的计略，以任意顺序执行。所选择的计略全部结算完毕后，准备下个计略。
（如果选择的是神算那么执行的计略全部都是神算。鬼谋同之）</x:v>
      </x:c>
      <x:c r="AH118" s="438"/>
      <x:c r="AI118" s="499" t="str">
        <x:v>不可被对应
【攻击后】将任意张手牌和盖牌移入弃牌区。然后从弃牌中选择任意数量的计略，以任意顺序执行。所选择的计略全部结算完毕后，准备下个计略。
（如果选择的是神算那么执行的计略全部都是神算）</x:v>
      </x:c>
      <x:c r="AJ118" s="438"/>
      <x:c r="AK118" s="499" t="str">
        <x:v>대응불가
【공격후】당신은 손패나 덮임패에서 원하는 만큼 버림패에 옮길 수 있다. 그 후에 버림패에서 임의의 수의 계략을 원하는 순서대로 실행하고, 다음 계략을 준비한다.
(신산을 준비했다면 모든 계략은 신산으로 처리된다)</x:v>
      </x:c>
      <x:c r="AL118" s="438"/>
      <x:c r="AM118" s="499" t="str">
        <x:v>No Reactions
After Attack: You may put any number of cards in your hand and discard pile into your played pile. Then, enact any number of Plans on cards in your played pile, in any order. After resolving all of them, prepare your next Plan.</x:v>
      </x:c>
      <x:c r="AN118" s="438"/>
      <x:c r="AO118" s="438"/>
      <x:c r="AP118" s="438"/>
      <x:c r="AQ118" s="438"/>
      <x:c r="AR118" s="438"/>
      <x:c r="AS118" s="438"/>
      <x:c r="AT118" t="str">
        <x:f>IF(A118="", "","'"&amp;A118&amp;"': {megami: '"&amp;B118&amp;"'"&amp;IF(C118&lt;&gt;"",", anotherID: '"&amp;C118&amp;"', replace: '"&amp;D118&amp;"'","")&amp;", name: '"&amp;SUBSTITUTE(E118,"'","\'")&amp;"', nameEn: '"&amp;SUBSTITUTE(K118,"'","\'")&amp;"', nameZh: '"&amp;SUBSTITUTE(G118,"'","\'")&amp;"', nameZhG117: '"&amp;SUBSTITUTE(H118,"'","\'")&amp;"', nameKo: '"&amp;SUBSTITUTE(J118,"'","\'")&amp;"', ruby: '"&amp;F118&amp;"', rubyEn: '"&amp;L118&amp;IF(I118&lt;&gt;"", "', rubyZh: '"&amp;I118, "")&amp;"', baseType: '"&amp;IF(M118="通常札","normal",IF(M118="切札","special",IF(M118="追加札","extra",IF(M118="transform","transform",IF(M118="嵐","storm",IF(M118="兵員","troop",IF(M118="構想","plan",IF(M118="メインパーツ","mainParts",IF(M118="カスタムパーツ","customParts",IF(M118="運命","fate",IF(M118="仮想樹","virtualTree","")))))))))))&amp;"'"&amp;IF(N118="○",", extra: true","")&amp;IF(O118&lt;&gt;"",", extraFrom: '"&amp;O118&amp;"'","")&amp;IF(P118&lt;&gt;"",", exchangableTo: '"&amp;P118&amp;"'","")&amp;IF(Q118="○",", poison: true","")&amp;IF(R118&lt;&gt;"", ", type: '"&amp;IF(R118="攻撃","attack",IF(R118="行動","action",IF(R118="不定","variable",IF(R118="対応","reaction",IF(R118="全力","fullpower",IF(R118="付与","enhance",IF(R118="transform","transform","")))))))&amp;"'", "")&amp;IF(S118&lt;&gt;"",", subType: '"&amp;IF(S118="攻撃","attack",IF(S118="行動","action",IF(S118="不定","variable",IF(S118="対応","reaction",IF(S118="全力","fullpower",IF(S118="付与","enhance",IF(S118="transform","transform","")))))))&amp;"'","")&amp;""&amp;IF(T118&lt;&gt;"",", range: '"&amp;T118&amp;"'","")&amp;IF(V118&lt;&gt;"",", damage: '"&amp;V118&amp;"'","")&amp;IF(X118&lt;&gt;"",", capacity: '"&amp;X118&amp;"'","")&amp;IF(Y118&lt;&gt;"",", growth: "&amp;Y118&amp;"","")&amp;IF(Z118&lt;&gt;"",", cost: '"&amp;Z118&amp;"'","")&amp;", text: '"&amp;SUBSTITUTE(SUBSTITUTE(AE118, CHAR(13), ""),CHAR(10),"\n")&amp;IF(AF118&lt;&gt;"", "', textAdditional: '"&amp;SUBSTITUTE(SUBSTITUTE(AF118, CHAR(13), ""),CHAR(10),"\n"), "")&amp;"', textZh: '"&amp;SUBSTITUTE(SUBSTITUTE(SUBSTITUTE(AG118, CHAR(13), ""),CHAR(10),"\n"),"'","\'")&amp;"', textZhG117: '"&amp;SUBSTITUTE(SUBSTITUTE(SUBSTITUTE(AI118, CHAR(13), ""),CHAR(10),"\n"),"'","\'")&amp;IF(AH118&lt;&gt;"", "', textZhAdditional: '"&amp;SUBSTITUTE(SUBSTITUTE(AH118, CHAR(13), ""),CHAR(10),"\n"), "")&amp;IF(AK118&lt;&gt;"", "', textZhG117Additional: '"&amp;SUBSTITUTE(SUBSTITUTE(AK118, CHAR(13), ""),CHAR(10),"\n"), "")&amp;"', textKo: '"&amp;SUBSTITUTE(SUBSTITUTE(SUBSTITUTE(AM118, CHAR(13), ""),CHAR(10),"\n"),"'","\'")&amp;IF(AM118&lt;&gt;"", "', textKoAdditional: '"&amp;SUBSTITUTE(SUBSTITUTE(AM118, CHAR(13), ""),CHAR(10),"\n"), "")&amp;"', textEn: '"&amp;SUBSTITUTE(SUBSTITUTE(SUBSTITUTE(AM118, CHAR(13), ""),CHAR(10),"\n"),"'","\'")&amp;IF(AN118&lt;&gt;"", "', textEnAdditional: '"&amp;SUBSTITUTE(SUBSTITUTE(AN118, CHAR(13), ""),CHAR(10),"\n"), "")&amp;"'"&amp;IF(AB118="○",", sealable: true","")&amp;IF(AC118="○",", removable: true","")&amp;IF(AA118="○",", lie: true","")&amp;IF(AD118="○",", investable: true","")&amp;"},")</x:f>
        <x:v>'07-shinra-A1-s-3': {megami: 'shinra', anotherID: 'A1', replace: '07-shinra-o-s-3', name: '全知経典', nameEn: 'Interpret the Scripture', nameZh: '全知经卷', nameZhG117: '全知圣典', nameKo: '전지경전', ruby: 'ぜんちきょうてん', rubyEn: '', baseType: 'special', type: 'attack', subType: 'fullpower', range: '0-5', damage: '2/2', cost: '4', text: '対応不可\n【攻撃後】あなたは手札と伏せ札を好きな枚数だけ捨て札にする。その後、捨て札にあるカードから任意の数の計略を、任意の順で実行する。それらすべてを解決し終えたら、次の計略を準備する。\n（神算を選んでいたら全て神算で実行する）', textZh: '不可被对应\n【攻击后】将任意张手牌和盖牌移入弃牌区。然后从弃牌区选择任意数量的计略，以任意顺序执行。所选择的计略全部结算完毕后，准备下个计略。\n（如果选择的是神算那么执行的计略全部都是神算。鬼谋同之）', textZhG117: '不可被对应\n【攻击后】将任意张手牌和盖牌移入弃牌区。然后从弃牌中选择任意数量的计略，以任意顺序执行。所选择的计略全部结算完毕后，准备下个计略。\n（如果选择的是神算那么执行的计略全部都是神算）', textZhG117Additional: '대응불가\n\n【공격후】당신은 손패나 덮임패에서 원하는 만큼 버림패에 옮길 수 있다. 그 후에 버림패에서 임의의 수의 계략을 원하는 순서대로 실행하고, 다음 계략을 준비한다.\n(신산을 준비했다면 모든 계략은 신산으로 처리된다)', textKo: 'No Reactions\n\nAfter Attack: You may put any number of cards in your hand and discard pile into your played pile. Then, enact any number of Plans on cards in your played pile, in any order. After resolving all of them, prepare your next Plan.', textKoAdditional: 'No Reactions\n\nAfter Attack: You may put any number of cards in your hand and discard pile into your played pile. Then, enact any number of Plans on cards in your played pile, in any order. After resolving all of them, prepare your next Plan.', textEn: 'No Reactions\n\nAfter Attack: You may put any number of cards in your hand and discard pile into your played pile. Then, enact any number of Plans on cards in your played pile, in any order. After resolving all of them, prepare your next Plan.'},</x:v>
      </x:c>
      <x:c r="AU118" t="str">
        <x:f>IF($A118&lt;&gt;"", "    /** 《"&amp;$E118&amp;"》 */ export const "&amp;SUBSTITUTE(UPPER(IF(MID($A118, 3, 1)="-", RIGHT($A118,LEN($A118)-3), $A118)), "-", "_")&amp;": TCardId = '"&amp;$A118&amp;"';", "")</x:f>
        <x:v>    /** 《全知経典》 */ export const SHINRA_A1_S_3: TCardId = '07-shinra-A1-s-3';</x:v>
      </x:c>
      <x:c r="AV118" t="str">
        <x:f>IF($A119&lt;&gt;"", "    | '"&amp;$A119&amp;"'", "")</x:f>
        <x:v>    | '08-hagane-o-n-1'</x:v>
      </x:c>
    </x:row>
    <x:row r="119" ht="83" customHeight="1">
      <x:c r="A119" t="str">
        <x:v>08-hagane-o-n-1</x:v>
      </x:c>
      <x:c r="B119" t="str">
        <x:v>hagane</x:v>
      </x:c>
      <x:c r="C119"/>
      <x:c r="D119"/>
      <x:c r="E119" t="str">
        <x:v>遠心撃</x:v>
      </x:c>
      <x:c r="F119" t="str">
        <x:v>えんしんげき</x:v>
      </x:c>
      <x:c r="G119" t="str">
        <x:v>远心击</x:v>
      </x:c>
      <x:c r="H119" t="str">
        <x:v>远心击</x:v>
      </x:c>
      <x:c r="I119"/>
      <x:c r="J119" t="str">
        <x:v>원심격</x:v>
      </x:c>
      <x:c r="K119" t="str">
        <x:v>Centrifugal Swing</x:v>
      </x:c>
      <x:c r="L119"/>
      <x:c r="M119" t="str">
        <x:v>通常札</x:v>
      </x:c>
      <x:c r="N119"/>
      <x:c r="O119"/>
      <x:c r="P119"/>
      <x:c r="Q119"/>
      <x:c r="R119" t="str">
        <x:v>攻撃</x:v>
      </x:c>
      <x:c r="S119"/>
      <x:c r="T119" t="str">
        <x:v>2-6</x:v>
      </x:c>
      <x:c r="U119"/>
      <x:c r="V119" t="str">
        <x:v>5/3</x:v>
      </x:c>
      <x:c r="W119"/>
      <x:c r="X119"/>
      <x:c r="Y119"/>
      <x:c r="Z119"/>
      <x:c r="AA119"/>
      <x:c r="AB119"/>
      <x:c r="AC119"/>
      <x:c r="AD119"/>
      <x:c r="AE119" s="438" t="str">
        <x:v>遠心　終端</x:v>
      </x:c>
      <x:c r="AF119" s="438"/>
      <x:c r="AG119" s="499" t="str">
        <x:v>远心 
【攻击后】若现在是你的回合，则盖伏你和对手的所有手牌，你的集中力变为0，结束当前阶段。</x:v>
      </x:c>
      <x:c r="AH119" s="438"/>
      <x:c r="AI119" s="499" t="str">
        <x:v>远心 
【攻击后】若现在是你的回合，则盖伏你和对手的所有手牌，你的集中力变为0，结束当前阶段。</x:v>
      </x:c>
      <x:c r="AJ119" s="438"/>
      <x:c r="AK119" s="499" t="str">
        <x:v>원심 
 【공격후】현재 턴이 당신의 턴이라면, 당신과 상대의 손패를 모두 덮임패로 하고, 당신의 집중력은 0이 되고, 현재 페이즈를 종료한다.</x:v>
      </x:c>
      <x:c r="AL119" s="438"/>
      <x:c r="AM119" s="499" t="str">
        <x:v>Centrifuge
After Attack: If it is currently your turn, discard both players' hands, your Vigor becomes 0, and end the current phase.</x:v>
      </x:c>
      <x:c r="AN119" s="438"/>
      <x:c r="AO119" s="438"/>
      <x:c r="AP119" s="438"/>
      <x:c r="AQ119" s="438"/>
      <x:c r="AR119" s="438"/>
      <x:c r="AS119" s="438"/>
      <x:c r="AT119" t="str">
        <x:f>IF(A119="", "","'"&amp;A119&amp;"': {megami: '"&amp;B119&amp;"'"&amp;IF(C119&lt;&gt;"",", anotherID: '"&amp;C119&amp;"', replace: '"&amp;D119&amp;"'","")&amp;", name: '"&amp;SUBSTITUTE(E119,"'","\'")&amp;"', nameEn: '"&amp;SUBSTITUTE(K119,"'","\'")&amp;"', nameZh: '"&amp;SUBSTITUTE(G119,"'","\'")&amp;"', nameZhG118: '"&amp;SUBSTITUTE(H119,"'","\'")&amp;"', nameKo: '"&amp;SUBSTITUTE(J119,"'","\'")&amp;"', ruby: '"&amp;F119&amp;"', rubyEn: '"&amp;L119&amp;IF(I119&lt;&gt;"", "', rubyZh: '"&amp;I119, "")&amp;"', baseType: '"&amp;IF(M119="通常札","normal",IF(M119="切札","special",IF(M119="追加札","extra",IF(M119="transform","transform",IF(M119="嵐","storm",IF(M119="兵員","troop",IF(M119="構想","plan",IF(M119="メインパーツ","mainParts",IF(M119="カスタムパーツ","customParts",IF(M119="運命","fate",IF(M119="仮想樹","virtualTree","")))))))))))&amp;"'"&amp;IF(N119="○",", extra: true","")&amp;IF(O119&lt;&gt;"",", extraFrom: '"&amp;O119&amp;"'","")&amp;IF(P119&lt;&gt;"",", exchangableTo: '"&amp;P119&amp;"'","")&amp;IF(Q119="○",", poison: true","")&amp;IF(R119&lt;&gt;"", ", type: '"&amp;IF(R119="攻撃","attack",IF(R119="行動","action",IF(R119="不定","variable",IF(R119="対応","reaction",IF(R119="全力","fullpower",IF(R119="付与","enhance",IF(R119="transform","transform","")))))))&amp;"'", "")&amp;IF(S119&lt;&gt;"",", subType: '"&amp;IF(S119="攻撃","attack",IF(S119="行動","action",IF(S119="不定","variable",IF(S119="対応","reaction",IF(S119="全力","fullpower",IF(S119="付与","enhance",IF(S119="transform","transform","")))))))&amp;"'","")&amp;""&amp;IF(T119&lt;&gt;"",", range: '"&amp;T119&amp;"'","")&amp;IF(V119&lt;&gt;"",", damage: '"&amp;V119&amp;"'","")&amp;IF(X119&lt;&gt;"",", capacity: '"&amp;X119&amp;"'","")&amp;IF(Y119&lt;&gt;"",", growth: "&amp;Y119&amp;"","")&amp;IF(Z119&lt;&gt;"",", cost: '"&amp;Z119&amp;"'","")&amp;", text: '"&amp;SUBSTITUTE(SUBSTITUTE(AE119, CHAR(13), ""),CHAR(10),"\n")&amp;IF(AF119&lt;&gt;"", "', textAdditional: '"&amp;SUBSTITUTE(SUBSTITUTE(AF119, CHAR(13), ""),CHAR(10),"\n"), "")&amp;"', textZh: '"&amp;SUBSTITUTE(SUBSTITUTE(SUBSTITUTE(AG119, CHAR(13), ""),CHAR(10),"\n"),"'","\'")&amp;"', textZhG118: '"&amp;SUBSTITUTE(SUBSTITUTE(SUBSTITUTE(AI119, CHAR(13), ""),CHAR(10),"\n"),"'","\'")&amp;IF(AH119&lt;&gt;"", "', textZhAdditional: '"&amp;SUBSTITUTE(SUBSTITUTE(AH119, CHAR(13), ""),CHAR(10),"\n"), "")&amp;IF(AK119&lt;&gt;"", "', textZhG118Additional: '"&amp;SUBSTITUTE(SUBSTITUTE(AK119, CHAR(13), ""),CHAR(10),"\n"), "")&amp;"', textKo: '"&amp;SUBSTITUTE(SUBSTITUTE(SUBSTITUTE(AM119, CHAR(13), ""),CHAR(10),"\n"),"'","\'")&amp;IF(AM119&lt;&gt;"", "', textKoAdditional: '"&amp;SUBSTITUTE(SUBSTITUTE(AM119, CHAR(13), ""),CHAR(10),"\n"), "")&amp;"', textEn: '"&amp;SUBSTITUTE(SUBSTITUTE(SUBSTITUTE(AM119, CHAR(13), ""),CHAR(10),"\n"),"'","\'")&amp;IF(AN119&lt;&gt;"", "', textEnAdditional: '"&amp;SUBSTITUTE(SUBSTITUTE(AN119, CHAR(13), ""),CHAR(10),"\n"), "")&amp;"'"&amp;IF(AB119="○",", sealable: true","")&amp;IF(AC119="○",", removable: true","")&amp;IF(AA119="○",", lie: true","")&amp;IF(AD119="○",", investable: true","")&amp;"},")</x:f>
        <x:v>'08-hagane-o-n-1': {megami: 'hagane', name: '遠心撃', nameEn: 'Centrifugal Swing', nameZh: '远心击', nameZhG118: '远心击', nameKo: '원심격', ruby: 'えんしんげき', rubyEn: '', baseType: 'normal', type: 'attack', range: '2-6', damage: '5/3', text: '遠心　終端', textZh: '远心 \n【攻击后】若现在是你的回合，则盖伏你和对手的所有手牌，你的集中力变为0，结束当前阶段。', textZhG118: '远心 \n【攻击后】若现在是你的回合，则盖伏你和对手的所有手牌，你的集中力变为0，结束当前阶段。', textZhG118Additional: '원심 \n 【공격후】현재 턴이 당신의 턴이라면, 당신과 상대의 손패를 모두 덮임패로 하고, 당신의 집중력은 0이 되고, 현재 페이즈를 종료한다.', textKo: 'Centrifuge\n\nAfter Attack: If it is currently your turn, discard both players\' hands, your Vigor becomes 0, and end the current phase.', textKoAdditional: 'Centrifuge\n\nAfter Attack: If it is currently your turn, discard both players' hands, your Vigor becomes 0, and end the current phase.', textEn: 'Centrifuge\n\nAfter Attack: If it is currently your turn, discard both players\' hands, your Vigor becomes 0, and end the current phase.'},</x:v>
      </x:c>
      <x:c r="AU119" t="str">
        <x:f>IF($A119&lt;&gt;"", "    /** 《"&amp;$E119&amp;"》 */ export const "&amp;SUBSTITUTE(UPPER(IF(MID($A119, 3, 1)="-", RIGHT($A119,LEN($A119)-3), $A119)), "-", "_")&amp;": TCardId = '"&amp;$A119&amp;"';", "")</x:f>
        <x:v>    /** 《遠心撃》 */ export const HAGANE_O_N_1: TCardId = '08-hagane-o-n-1';</x:v>
      </x:c>
      <x:c r="AV119" t="str">
        <x:f>IF($A120&lt;&gt;"", "    | '"&amp;$A120&amp;"'", "")</x:f>
        <x:v>    | '08-hagane-o-n-2'</x:v>
      </x:c>
    </x:row>
    <x:row r="120" ht="68" customHeight="1">
      <x:c r="A120" t="str">
        <x:v>08-hagane-o-n-2</x:v>
      </x:c>
      <x:c r="B120" t="str">
        <x:v>hagane</x:v>
      </x:c>
      <x:c r="C120"/>
      <x:c r="D120"/>
      <x:c r="E120" t="str">
        <x:v>砂風塵</x:v>
      </x:c>
      <x:c r="F120" t="str">
        <x:v>さふうじん</x:v>
      </x:c>
      <x:c r="G120" t="str">
        <x:v>沙尘暴</x:v>
      </x:c>
      <x:c r="H120" t="str">
        <x:v>砂风尘</x:v>
      </x:c>
      <x:c r="I120"/>
      <x:c r="J120" t="str">
        <x:v>사풍진</x:v>
      </x:c>
      <x:c r="K120" t="str">
        <x:v>Scatter to the Winds</x:v>
      </x:c>
      <x:c r="L120"/>
      <x:c r="M120" t="str">
        <x:v>通常札</x:v>
      </x:c>
      <x:c r="N120"/>
      <x:c r="O120"/>
      <x:c r="P120"/>
      <x:c r="Q120"/>
      <x:c r="R120" t="str">
        <x:v>攻撃</x:v>
      </x:c>
      <x:c r="S120"/>
      <x:c r="T120" t="str">
        <x:v>0-6</x:v>
      </x:c>
      <x:c r="U120"/>
      <x:c r="V120" t="str">
        <x:v>1/-</x:v>
      </x:c>
      <x:c r="W120"/>
      <x:c r="X120"/>
      <x:c r="Y120"/>
      <x:c r="Z120"/>
      <x:c r="AA120"/>
      <x:c r="AB120"/>
      <x:c r="AC120"/>
      <x:c r="AD120"/>
      <x:c r="AE120" s="438" t="str">
        <x:v>【攻撃後】現在の間合がターン開始時の間合から2以上変化しているならば、相手は手札を1枚捨て札にする。</x:v>
      </x:c>
      <x:c r="AF120" s="438"/>
      <x:c r="AG120" s="499" t="str">
        <x:v>【攻击后】若当前距离与本回合开始时距离之差的绝对值大于等于2，则对手随机弃1张牌。</x:v>
      </x:c>
      <x:c r="AH120" s="438"/>
      <x:c r="AI120" s="499" t="str">
        <x:v>【攻击后】若当前距离与本回合开始时距离之差的绝对值大于2，则对手随机弃一张牌。</x:v>
      </x:c>
      <x:c r="AJ120" s="438"/>
      <x:c r="AK120" s="499" t="str">
        <x:v>【공격후】현재 간격이 턴 개시시의 간격에서 2 이상 변화했다면, 상대의 손패를 1장 무작위로 골라, 그것을 버림패로 한다.</x:v>
      </x:c>
      <x:c r="AL120" s="438"/>
      <x:c r="AM120" s="499" t="str">
        <x:v>After Attack: If the difference between the current Distance and the Distance at the beginning of this turn is 2 or more, your opponent puts a random card from their hand into their played pile.</x:v>
      </x:c>
      <x:c r="AN120" s="438"/>
      <x:c r="AO120" s="438"/>
      <x:c r="AP120" s="438"/>
      <x:c r="AQ120" s="438"/>
      <x:c r="AR120" s="438"/>
      <x:c r="AS120" s="438"/>
      <x:c r="AT120" t="str">
        <x:f>IF(A120="", "","'"&amp;A120&amp;"': {megami: '"&amp;B120&amp;"'"&amp;IF(C120&lt;&gt;"",", anotherID: '"&amp;C120&amp;"', replace: '"&amp;D120&amp;"'","")&amp;", name: '"&amp;SUBSTITUTE(E120,"'","\'")&amp;"', nameEn: '"&amp;SUBSTITUTE(K120,"'","\'")&amp;"', nameZh: '"&amp;SUBSTITUTE(G120,"'","\'")&amp;"', nameZhG119: '"&amp;SUBSTITUTE(H120,"'","\'")&amp;"', nameKo: '"&amp;SUBSTITUTE(J120,"'","\'")&amp;"', ruby: '"&amp;F120&amp;"', rubyEn: '"&amp;L120&amp;IF(I120&lt;&gt;"", "', rubyZh: '"&amp;I120, "")&amp;"', baseType: '"&amp;IF(M120="通常札","normal",IF(M120="切札","special",IF(M120="追加札","extra",IF(M120="transform","transform",IF(M120="嵐","storm",IF(M120="兵員","troop",IF(M120="構想","plan",IF(M120="メインパーツ","mainParts",IF(M120="カスタムパーツ","customParts",IF(M120="運命","fate",IF(M120="仮想樹","virtualTree","")))))))))))&amp;"'"&amp;IF(N120="○",", extra: true","")&amp;IF(O120&lt;&gt;"",", extraFrom: '"&amp;O120&amp;"'","")&amp;IF(P120&lt;&gt;"",", exchangableTo: '"&amp;P120&amp;"'","")&amp;IF(Q120="○",", poison: true","")&amp;IF(R120&lt;&gt;"", ", type: '"&amp;IF(R120="攻撃","attack",IF(R120="行動","action",IF(R120="不定","variable",IF(R120="対応","reaction",IF(R120="全力","fullpower",IF(R120="付与","enhance",IF(R120="transform","transform","")))))))&amp;"'", "")&amp;IF(S120&lt;&gt;"",", subType: '"&amp;IF(S120="攻撃","attack",IF(S120="行動","action",IF(S120="不定","variable",IF(S120="対応","reaction",IF(S120="全力","fullpower",IF(S120="付与","enhance",IF(S120="transform","transform","")))))))&amp;"'","")&amp;""&amp;IF(T120&lt;&gt;"",", range: '"&amp;T120&amp;"'","")&amp;IF(V120&lt;&gt;"",", damage: '"&amp;V120&amp;"'","")&amp;IF(X120&lt;&gt;"",", capacity: '"&amp;X120&amp;"'","")&amp;IF(Y120&lt;&gt;"",", growth: "&amp;Y120&amp;"","")&amp;IF(Z120&lt;&gt;"",", cost: '"&amp;Z120&amp;"'","")&amp;", text: '"&amp;SUBSTITUTE(SUBSTITUTE(AE120, CHAR(13), ""),CHAR(10),"\n")&amp;IF(AF120&lt;&gt;"", "', textAdditional: '"&amp;SUBSTITUTE(SUBSTITUTE(AF120, CHAR(13), ""),CHAR(10),"\n"), "")&amp;"', textZh: '"&amp;SUBSTITUTE(SUBSTITUTE(SUBSTITUTE(AG120, CHAR(13), ""),CHAR(10),"\n"),"'","\'")&amp;"', textZhG119: '"&amp;SUBSTITUTE(SUBSTITUTE(SUBSTITUTE(AI120, CHAR(13), ""),CHAR(10),"\n"),"'","\'")&amp;IF(AH120&lt;&gt;"", "', textZhAdditional: '"&amp;SUBSTITUTE(SUBSTITUTE(AH120, CHAR(13), ""),CHAR(10),"\n"), "")&amp;IF(AK120&lt;&gt;"", "', textZhG119Additional: '"&amp;SUBSTITUTE(SUBSTITUTE(AK120, CHAR(13), ""),CHAR(10),"\n"), "")&amp;"', textKo: '"&amp;SUBSTITUTE(SUBSTITUTE(SUBSTITUTE(AM120, CHAR(13), ""),CHAR(10),"\n"),"'","\'")&amp;IF(AM120&lt;&gt;"", "', textKoAdditional: '"&amp;SUBSTITUTE(SUBSTITUTE(AM120, CHAR(13), ""),CHAR(10),"\n"), "")&amp;"', textEn: '"&amp;SUBSTITUTE(SUBSTITUTE(SUBSTITUTE(AM120, CHAR(13), ""),CHAR(10),"\n"),"'","\'")&amp;IF(AN120&lt;&gt;"", "', textEnAdditional: '"&amp;SUBSTITUTE(SUBSTITUTE(AN120, CHAR(13), ""),CHAR(10),"\n"), "")&amp;"'"&amp;IF(AB120="○",", sealable: true","")&amp;IF(AC120="○",", removable: true","")&amp;IF(AA120="○",", lie: true","")&amp;IF(AD120="○",", investable: true","")&amp;"},")</x:f>
        <x:v>'08-hagane-o-n-2': {megami: 'hagane', name: '砂風塵', nameEn: 'Scatter to the Winds', nameZh: '沙尘暴', nameZhG119: '砂风尘', nameKo: '사풍진', ruby: 'さふうじん', rubyEn: '', baseType: 'normal', type: 'attack', range: '0-6', damage: '1/-', text: '【攻撃後】現在の間合がターン開始時の間合から2以上変化しているならば、相手は手札を1枚捨て札にする。', textZh: '【攻击后】若当前距离与本回合开始时距离之差的绝对值大于等于2，则对手随机弃1张牌。', textZhG119: '【攻击后】若当前距离与本回合开始时距离之差的绝对值大于2，则对手随机弃一张牌。', textZhG119Additional: '【공격후】현재 간격이 턴 개시시의 간격에서 2 이상 변화했다면, 상대의 손패를 1장 무작위로 골라, 그것을 버림패로 한다.', textKo: 'After Attack: If the difference between the current Distance and the Distance at the beginning of this turn is 2 or more, your opponent puts a random card from their hand into their played pile.', textKoAdditional: 'After Attack: If the difference between the current Distance and the Distance at the beginning of this turn is 2 or more, your opponent puts a random card from their hand into their played pile.', textEn: 'After Attack: If the difference between the current Distance and the Distance at the beginning of this turn is 2 or more, your opponent puts a random card from their hand into their played pile.'},</x:v>
      </x:c>
      <x:c r="AU120" t="str">
        <x:f>IF($A120&lt;&gt;"", "    /** 《"&amp;$E120&amp;"》 */ export const "&amp;SUBSTITUTE(UPPER(IF(MID($A120, 3, 1)="-", RIGHT($A120,LEN($A120)-3), $A120)), "-", "_")&amp;": TCardId = '"&amp;$A120&amp;"';", "")</x:f>
        <x:v>    /** 《砂風塵》 */ export const HAGANE_O_N_2: TCardId = '08-hagane-o-n-2';</x:v>
      </x:c>
      <x:c r="AV120" t="str">
        <x:f>IF($A121&lt;&gt;"", "    | '"&amp;$A121&amp;"'", "")</x:f>
        <x:v>    | '08-hagane-o-n-3'</x:v>
      </x:c>
    </x:row>
    <x:row r="121" ht="68" customHeight="1">
      <x:c r="A121" t="str">
        <x:v>08-hagane-o-n-3</x:v>
      </x:c>
      <x:c r="B121" t="str">
        <x:v>hagane</x:v>
      </x:c>
      <x:c r="C121"/>
      <x:c r="D121"/>
      <x:c r="E121" t="str">
        <x:v>大地砕き</x:v>
      </x:c>
      <x:c r="F121" t="str">
        <x:v>だいちくだき</x:v>
      </x:c>
      <x:c r="G121" t="str">
        <x:v>地碎击</x:v>
      </x:c>
      <x:c r="H121" t="str">
        <x:v>大地碎击</x:v>
      </x:c>
      <x:c r="I121"/>
      <x:c r="J121" t="str">
        <x:v>대지 부수기</x:v>
      </x:c>
      <x:c r="K121" t="str">
        <x:v>Earthshatter</x:v>
      </x:c>
      <x:c r="L121"/>
      <x:c r="M121" t="str">
        <x:v>通常札</x:v>
      </x:c>
      <x:c r="N121"/>
      <x:c r="O121"/>
      <x:c r="P121"/>
      <x:c r="Q121"/>
      <x:c r="R121" t="str">
        <x:v>攻撃</x:v>
      </x:c>
      <x:c r="S121" t="str">
        <x:v>全力</x:v>
      </x:c>
      <x:c r="T121" t="str">
        <x:v>0-3</x:v>
      </x:c>
      <x:c r="U121"/>
      <x:c r="V121" t="str">
        <x:v>2/-</x:v>
      </x:c>
      <x:c r="W121"/>
      <x:c r="X121"/>
      <x:c r="Y121"/>
      <x:c r="Z121"/>
      <x:c r="AA121"/>
      <x:c r="AB121"/>
      <x:c r="AC121"/>
      <x:c r="AD121"/>
      <x:c r="AE121" s="438" t="str">
        <x:v>対応不可
【攻撃後】相手の集中力は0になり、相手を畏縮させる。</x:v>
      </x:c>
      <x:c r="AF121" s="438"/>
      <x:c r="AG121" s="499" t="str">
        <x:v>不可被对应 
【攻击后】对手集中力变为0，令对手畏缩。</x:v>
      </x:c>
      <x:c r="AH121" s="438"/>
      <x:c r="AI121" s="499" t="str">
        <x:v>不可被对应 
【攻击后】对手集中力变为0，对手畏缩。</x:v>
      </x:c>
      <x:c r="AJ121" s="438"/>
      <x:c r="AK121" s="499" t="str">
        <x:v>대응불가 
 【공격후】상대의 집중력은 0이 되고, 상대를 위축시킨다。</x:v>
      </x:c>
      <x:c r="AL121" s="438"/>
      <x:c r="AM121" s="499" t="str">
        <x:v>No Reactions
After Attack: Your opponent's Vigor becomes 0. Flinch your opponent.</x:v>
      </x:c>
      <x:c r="AN121" s="438"/>
      <x:c r="AO121" s="438"/>
      <x:c r="AP121" s="438"/>
      <x:c r="AQ121" s="438"/>
      <x:c r="AR121" s="438"/>
      <x:c r="AS121" s="438"/>
      <x:c r="AT121" t="str">
        <x:f>IF(A121="", "","'"&amp;A121&amp;"': {megami: '"&amp;B121&amp;"'"&amp;IF(C121&lt;&gt;"",", anotherID: '"&amp;C121&amp;"', replace: '"&amp;D121&amp;"'","")&amp;", name: '"&amp;SUBSTITUTE(E121,"'","\'")&amp;"', nameEn: '"&amp;SUBSTITUTE(K121,"'","\'")&amp;"', nameZh: '"&amp;SUBSTITUTE(G121,"'","\'")&amp;"', nameZhG120: '"&amp;SUBSTITUTE(H121,"'","\'")&amp;"', nameKo: '"&amp;SUBSTITUTE(J121,"'","\'")&amp;"', ruby: '"&amp;F121&amp;"', rubyEn: '"&amp;L121&amp;IF(I121&lt;&gt;"", "', rubyZh: '"&amp;I121, "")&amp;"', baseType: '"&amp;IF(M121="通常札","normal",IF(M121="切札","special",IF(M121="追加札","extra",IF(M121="transform","transform",IF(M121="嵐","storm",IF(M121="兵員","troop",IF(M121="構想","plan",IF(M121="メインパーツ","mainParts",IF(M121="カスタムパーツ","customParts",IF(M121="運命","fate",IF(M121="仮想樹","virtualTree","")))))))))))&amp;"'"&amp;IF(N121="○",", extra: true","")&amp;IF(O121&lt;&gt;"",", extraFrom: '"&amp;O121&amp;"'","")&amp;IF(P121&lt;&gt;"",", exchangableTo: '"&amp;P121&amp;"'","")&amp;IF(Q121="○",", poison: true","")&amp;IF(R121&lt;&gt;"", ", type: '"&amp;IF(R121="攻撃","attack",IF(R121="行動","action",IF(R121="不定","variable",IF(R121="対応","reaction",IF(R121="全力","fullpower",IF(R121="付与","enhance",IF(R121="transform","transform","")))))))&amp;"'", "")&amp;IF(S121&lt;&gt;"",", subType: '"&amp;IF(S121="攻撃","attack",IF(S121="行動","action",IF(S121="不定","variable",IF(S121="対応","reaction",IF(S121="全力","fullpower",IF(S121="付与","enhance",IF(S121="transform","transform","")))))))&amp;"'","")&amp;""&amp;IF(T121&lt;&gt;"",", range: '"&amp;T121&amp;"'","")&amp;IF(V121&lt;&gt;"",", damage: '"&amp;V121&amp;"'","")&amp;IF(X121&lt;&gt;"",", capacity: '"&amp;X121&amp;"'","")&amp;IF(Y121&lt;&gt;"",", growth: "&amp;Y121&amp;"","")&amp;IF(Z121&lt;&gt;"",", cost: '"&amp;Z121&amp;"'","")&amp;", text: '"&amp;SUBSTITUTE(SUBSTITUTE(AE121, CHAR(13), ""),CHAR(10),"\n")&amp;IF(AF121&lt;&gt;"", "', textAdditional: '"&amp;SUBSTITUTE(SUBSTITUTE(AF121, CHAR(13), ""),CHAR(10),"\n"), "")&amp;"', textZh: '"&amp;SUBSTITUTE(SUBSTITUTE(SUBSTITUTE(AG121, CHAR(13), ""),CHAR(10),"\n"),"'","\'")&amp;"', textZhG120: '"&amp;SUBSTITUTE(SUBSTITUTE(SUBSTITUTE(AI121, CHAR(13), ""),CHAR(10),"\n"),"'","\'")&amp;IF(AH121&lt;&gt;"", "', textZhAdditional: '"&amp;SUBSTITUTE(SUBSTITUTE(AH121, CHAR(13), ""),CHAR(10),"\n"), "")&amp;IF(AK121&lt;&gt;"", "', textZhG120Additional: '"&amp;SUBSTITUTE(SUBSTITUTE(AK121, CHAR(13), ""),CHAR(10),"\n"), "")&amp;"', textKo: '"&amp;SUBSTITUTE(SUBSTITUTE(SUBSTITUTE(AM121, CHAR(13), ""),CHAR(10),"\n"),"'","\'")&amp;IF(AM121&lt;&gt;"", "', textKoAdditional: '"&amp;SUBSTITUTE(SUBSTITUTE(AM121, CHAR(13), ""),CHAR(10),"\n"), "")&amp;"', textEn: '"&amp;SUBSTITUTE(SUBSTITUTE(SUBSTITUTE(AM121, CHAR(13), ""),CHAR(10),"\n"),"'","\'")&amp;IF(AN121&lt;&gt;"", "', textEnAdditional: '"&amp;SUBSTITUTE(SUBSTITUTE(AN121, CHAR(13), ""),CHAR(10),"\n"), "")&amp;"'"&amp;IF(AB121="○",", sealable: true","")&amp;IF(AC121="○",", removable: true","")&amp;IF(AA121="○",", lie: true","")&amp;IF(AD121="○",", investable: true","")&amp;"},")</x:f>
        <x:v>'08-hagane-o-n-3': {megami: 'hagane', name: '大地砕き', nameEn: 'Earthshatter', nameZh: '地碎击', nameZhG120: '大地碎击', nameKo: '대지 부수기', ruby: 'だいちくだき', rubyEn: '', baseType: 'normal', type: 'attack', subType: 'fullpower', range: '0-3', damage: '2/-', text: '対応不可\n【攻撃後】相手の集中力は0になり、相手を畏縮させる。', textZh: '不可被对应 \n【攻击后】对手集中力变为0，令对手畏缩。', textZhG120: '不可被对应 \n【攻击后】对手集中力变为0，对手畏缩。', textZhG120Additional: '대응불가 \n 【공격후】상대의 집중력은 0이 되고, 상대를 위축시킨다。', textKo: 'No Reactions\n\nAfter Attack: Your opponent\'s Vigor becomes 0. Flinch your opponent.', textKoAdditional: 'No Reactions\n\nAfter Attack: Your opponent's Vigor becomes 0. Flinch your opponent.', textEn: 'No Reactions\n\nAfter Attack: Your opponent\'s Vigor becomes 0. Flinch your opponent.'},</x:v>
      </x:c>
      <x:c r="AU121" t="str">
        <x:f>IF($A121&lt;&gt;"", "    /** 《"&amp;$E121&amp;"》 */ export const "&amp;SUBSTITUTE(UPPER(IF(MID($A121, 3, 1)="-", RIGHT($A121,LEN($A121)-3), $A121)), "-", "_")&amp;": TCardId = '"&amp;$A121&amp;"';", "")</x:f>
        <x:v>    /** 《大地砕き》 */ export const HAGANE_O_N_3: TCardId = '08-hagane-o-n-3';</x:v>
      </x:c>
      <x:c r="AV121" t="str">
        <x:f>IF($A122&lt;&gt;"", "    | '"&amp;$A122&amp;"'", "")</x:f>
        <x:v>    | '08-hagane-o-n-4'</x:v>
      </x:c>
    </x:row>
    <x:row r="122" ht="68" customHeight="1">
      <x:c r="A122" t="str">
        <x:v>08-hagane-o-n-4</x:v>
      </x:c>
      <x:c r="B122" t="str">
        <x:v>hagane</x:v>
      </x:c>
      <x:c r="C122"/>
      <x:c r="D122"/>
      <x:c r="E122" t="str">
        <x:v>超反動</x:v>
      </x:c>
      <x:c r="F122" t="str">
        <x:v>ちょうはんどう</x:v>
      </x:c>
      <x:c r="G122" t="str">
        <x:v>超反动</x:v>
      </x:c>
      <x:c r="H122" t="str">
        <x:v>超反弹</x:v>
      </x:c>
      <x:c r="I122"/>
      <x:c r="J122" t="str">
        <x:v>초반동</x:v>
      </x:c>
      <x:c r="K122" t="str">
        <x:v>Recoil</x:v>
      </x:c>
      <x:c r="L122"/>
      <x:c r="M122" t="str">
        <x:v>通常札</x:v>
      </x:c>
      <x:c r="N122"/>
      <x:c r="O122"/>
      <x:c r="P122"/>
      <x:c r="Q122"/>
      <x:c r="R122" t="str">
        <x:v>行動</x:v>
      </x:c>
      <x:c r="S122"/>
      <x:c r="T122"/>
      <x:c r="U122"/>
      <x:c r="V122"/>
      <x:c r="W122"/>
      <x:c r="X122"/>
      <x:c r="Y122"/>
      <x:c r="Z122"/>
      <x:c r="AA122"/>
      <x:c r="AB122"/>
      <x:c r="AC122"/>
      <x:c r="AD122"/>
      <x:c r="AE122" s="438" t="str">
        <x:v>現在の間合に応じて以下を行う。
5以上…間合→自フレア：1
4以下…相フレア→間合：1</x:v>
      </x:c>
      <x:c r="AF122" s="438"/>
      <x:c r="AG122" s="499" t="str">
        <x:v>根据当前距离进行以下行动：
5或以上…距→1→自气
4或以下…敌气→1→距</x:v>
      </x:c>
      <x:c r="AH122" s="438"/>
      <x:c r="AI122" s="499" t="str">
        <x:v>若当前距离小于等于4，则：敌气→1→距</x:v>
      </x:c>
      <x:c r="AJ122" s="438"/>
      <x:c r="AK122" s="499" t="str">
        <x:v>현재 간격에 따라서 아래를 한다.
5이상…간격→자신 플레어:1
4이하...상대 플레어→간격：1</x:v>
      </x:c>
      <x:c r="AL122" s="438"/>
      <x:c r="AM122" s="499" t="str">
        <x:v>Based on the current Distance, perform the following:
5 or more: Distance (1)→ Your Flare
4 or less: Opponent's Flare (1)→ Distance</x:v>
      </x:c>
      <x:c r="AN122" s="438"/>
      <x:c r="AO122" s="438"/>
      <x:c r="AP122" s="438"/>
      <x:c r="AQ122" s="438"/>
      <x:c r="AR122" s="438"/>
      <x:c r="AS122" s="438"/>
      <x:c r="AT122" t="str">
        <x:f>IF(A122="", "","'"&amp;A122&amp;"': {megami: '"&amp;B122&amp;"'"&amp;IF(C122&lt;&gt;"",", anotherID: '"&amp;C122&amp;"', replace: '"&amp;D122&amp;"'","")&amp;", name: '"&amp;SUBSTITUTE(E122,"'","\'")&amp;"', nameEn: '"&amp;SUBSTITUTE(K122,"'","\'")&amp;"', nameZh: '"&amp;SUBSTITUTE(G122,"'","\'")&amp;"', nameZhG121: '"&amp;SUBSTITUTE(H122,"'","\'")&amp;"', nameKo: '"&amp;SUBSTITUTE(J122,"'","\'")&amp;"', ruby: '"&amp;F122&amp;"', rubyEn: '"&amp;L122&amp;IF(I122&lt;&gt;"", "', rubyZh: '"&amp;I122, "")&amp;"', baseType: '"&amp;IF(M122="通常札","normal",IF(M122="切札","special",IF(M122="追加札","extra",IF(M122="transform","transform",IF(M122="嵐","storm",IF(M122="兵員","troop",IF(M122="構想","plan",IF(M122="メインパーツ","mainParts",IF(M122="カスタムパーツ","customParts",IF(M122="運命","fate",IF(M122="仮想樹","virtualTree","")))))))))))&amp;"'"&amp;IF(N122="○",", extra: true","")&amp;IF(O122&lt;&gt;"",", extraFrom: '"&amp;O122&amp;"'","")&amp;IF(P122&lt;&gt;"",", exchangableTo: '"&amp;P122&amp;"'","")&amp;IF(Q122="○",", poison: true","")&amp;IF(R122&lt;&gt;"", ", type: '"&amp;IF(R122="攻撃","attack",IF(R122="行動","action",IF(R122="不定","variable",IF(R122="対応","reaction",IF(R122="全力","fullpower",IF(R122="付与","enhance",IF(R122="transform","transform","")))))))&amp;"'", "")&amp;IF(S122&lt;&gt;"",", subType: '"&amp;IF(S122="攻撃","attack",IF(S122="行動","action",IF(S122="不定","variable",IF(S122="対応","reaction",IF(S122="全力","fullpower",IF(S122="付与","enhance",IF(S122="transform","transform","")))))))&amp;"'","")&amp;""&amp;IF(T122&lt;&gt;"",", range: '"&amp;T122&amp;"'","")&amp;IF(V122&lt;&gt;"",", damage: '"&amp;V122&amp;"'","")&amp;IF(X122&lt;&gt;"",", capacity: '"&amp;X122&amp;"'","")&amp;IF(Y122&lt;&gt;"",", growth: "&amp;Y122&amp;"","")&amp;IF(Z122&lt;&gt;"",", cost: '"&amp;Z122&amp;"'","")&amp;", text: '"&amp;SUBSTITUTE(SUBSTITUTE(AE122, CHAR(13), ""),CHAR(10),"\n")&amp;IF(AF122&lt;&gt;"", "', textAdditional: '"&amp;SUBSTITUTE(SUBSTITUTE(AF122, CHAR(13), ""),CHAR(10),"\n"), "")&amp;"', textZh: '"&amp;SUBSTITUTE(SUBSTITUTE(SUBSTITUTE(AG122, CHAR(13), ""),CHAR(10),"\n"),"'","\'")&amp;"', textZhG121: '"&amp;SUBSTITUTE(SUBSTITUTE(SUBSTITUTE(AI122, CHAR(13), ""),CHAR(10),"\n"),"'","\'")&amp;IF(AH122&lt;&gt;"", "', textZhAdditional: '"&amp;SUBSTITUTE(SUBSTITUTE(AH122, CHAR(13), ""),CHAR(10),"\n"), "")&amp;IF(AK122&lt;&gt;"", "', textZhG121Additional: '"&amp;SUBSTITUTE(SUBSTITUTE(AK122, CHAR(13), ""),CHAR(10),"\n"), "")&amp;"', textKo: '"&amp;SUBSTITUTE(SUBSTITUTE(SUBSTITUTE(AM122, CHAR(13), ""),CHAR(10),"\n"),"'","\'")&amp;IF(AM122&lt;&gt;"", "', textKoAdditional: '"&amp;SUBSTITUTE(SUBSTITUTE(AM122, CHAR(13), ""),CHAR(10),"\n"), "")&amp;"', textEn: '"&amp;SUBSTITUTE(SUBSTITUTE(SUBSTITUTE(AM122, CHAR(13), ""),CHAR(10),"\n"),"'","\'")&amp;IF(AN122&lt;&gt;"", "', textEnAdditional: '"&amp;SUBSTITUTE(SUBSTITUTE(AN122, CHAR(13), ""),CHAR(10),"\n"), "")&amp;"'"&amp;IF(AB122="○",", sealable: true","")&amp;IF(AC122="○",", removable: true","")&amp;IF(AA122="○",", lie: true","")&amp;IF(AD122="○",", investable: true","")&amp;"},")</x:f>
        <x:v>'08-hagane-o-n-4': {megami: 'hagane', name: '超反動', nameEn: 'Recoil', nameZh: '超反动', nameZhG121: '超反弹', nameKo: '초반동', ruby: 'ちょうはんどう', rubyEn: '', baseType: 'normal', type: 'action', text: '現在の間合に応じて以下を行う。\n5以上…間合→自フレア：1\n4以下…相フレア→間合：1', textZh: '根据当前距离进行以下行动：\n\n5或以上…距→1→自气\n4或以下…敌气→1→距', textZhG121: '若当前距离小于等于4，则：敌气→1→距', textZhG121Additional: '현재 간격에 따라서 아래를 한다.\n5이상…간격→자신 플레어:1\n4이하...상대 플레어→간격：1', textKo: 'Based on the current Distance, perform the following:\n\n5 or more: Distance (1)→ Your Flare\n4 or less: Opponent\'s Flare (1)→ Distance', textKoAdditional: 'Based on the current Distance, perform the following:\n\n5 or more: Distance (1)→ Your Flare\n4 or less: Opponent's Flare (1)→ Distance', textEn: 'Based on the current Distance, perform the following:\n\n5 or more: Distance (1)→ Your Flare\n4 or less: Opponent\'s Flare (1)→ Distance'},</x:v>
      </x:c>
      <x:c r="AU122" t="str">
        <x:f>IF($A122&lt;&gt;"", "    /** 《"&amp;$E122&amp;"》 */ export const "&amp;SUBSTITUTE(UPPER(IF(MID($A122, 3, 1)="-", RIGHT($A122,LEN($A122)-3), $A122)), "-", "_")&amp;": TCardId = '"&amp;$A122&amp;"';", "")</x:f>
        <x:v>    /** 《超反動》 */ export const HAGANE_O_N_4: TCardId = '08-hagane-o-n-4';</x:v>
      </x:c>
      <x:c r="AV122" t="str">
        <x:f>IF($A123&lt;&gt;"", "    | '"&amp;$A123&amp;"'", "")</x:f>
        <x:v>    | '08-hagane-o-n-5'</x:v>
      </x:c>
    </x:row>
    <x:row r="123" ht="83" customHeight="1">
      <x:c r="A123" t="str">
        <x:v>08-hagane-o-n-5</x:v>
      </x:c>
      <x:c r="B123" t="str">
        <x:v>hagane</x:v>
      </x:c>
      <x:c r="C123"/>
      <x:c r="D123"/>
      <x:c r="E123" t="str">
        <x:v>円舞錬</x:v>
      </x:c>
      <x:c r="F123" t="str">
        <x:v>えんぶれん</x:v>
      </x:c>
      <x:c r="G123" t="str">
        <x:v>圆舞链</x:v>
      </x:c>
      <x:c r="H123" t="str">
        <x:v>圆舞链</x:v>
      </x:c>
      <x:c r="I123"/>
      <x:c r="J123" t="str">
        <x:v>원무련</x:v>
      </x:c>
      <x:c r="K123" t="str">
        <x:v>Waltz of Steel</x:v>
      </x:c>
      <x:c r="L123"/>
      <x:c r="M123" t="str">
        <x:v>通常札</x:v>
      </x:c>
      <x:c r="N123"/>
      <x:c r="O123"/>
      <x:c r="P123"/>
      <x:c r="Q123"/>
      <x:c r="R123" t="str">
        <x:v>行動</x:v>
      </x:c>
      <x:c r="S123"/>
      <x:c r="T123"/>
      <x:c r="U123"/>
      <x:c r="V123"/>
      <x:c r="W123"/>
      <x:c r="X123"/>
      <x:c r="Y123"/>
      <x:c r="Z123"/>
      <x:c r="AA123"/>
      <x:c r="AB123"/>
      <x:c r="AC123"/>
      <x:c r="AD123"/>
      <x:c r="AE123" s="438" t="str">
        <x:v>遠心
相手のフレアが3以上ならば、相フレア→自オーラ：2</x:v>
      </x:c>
      <x:c r="AF123" s="438"/>
      <x:c r="AG123" s="499" t="str">
        <x:v>远心 
若敌气中的樱花结晶的数目大于等于3，则：敌气→2→自装</x:v>
      </x:c>
      <x:c r="AH123" s="438"/>
      <x:c r="AI123" s="499" t="str">
        <x:v>远心 若敌气中的樱花结晶的数目大于3，则敌气（2）→自装</x:v>
      </x:c>
      <x:c r="AJ123" s="438"/>
      <x:c r="AK123" s="499" t="str">
        <x:v>원심 
상대의 플레어가 3 이상이라면、상대 플레어→자신 오라：2</x:v>
      </x:c>
      <x:c r="AL123" s="438"/>
      <x:c r="AM123" s="499" t="str">
        <x:v>Centrifuge
If your opponent has 3 or more Sakura tokens on their Flare:
Opponent's Flare (2)→ Your Aura</x:v>
      </x:c>
      <x:c r="AN123" s="438"/>
      <x:c r="AO123" s="438"/>
      <x:c r="AP123" s="438"/>
      <x:c r="AQ123" s="438"/>
      <x:c r="AR123" s="438"/>
      <x:c r="AS123" s="438"/>
      <x:c r="AT123" t="str">
        <x:f>IF(A123="", "","'"&amp;A123&amp;"': {megami: '"&amp;B123&amp;"'"&amp;IF(C123&lt;&gt;"",", anotherID: '"&amp;C123&amp;"', replace: '"&amp;D123&amp;"'","")&amp;", name: '"&amp;SUBSTITUTE(E123,"'","\'")&amp;"', nameEn: '"&amp;SUBSTITUTE(K123,"'","\'")&amp;"', nameZh: '"&amp;SUBSTITUTE(G123,"'","\'")&amp;"', nameZhG122: '"&amp;SUBSTITUTE(H123,"'","\'")&amp;"', nameKo: '"&amp;SUBSTITUTE(J123,"'","\'")&amp;"', ruby: '"&amp;F123&amp;"', rubyEn: '"&amp;L123&amp;IF(I123&lt;&gt;"", "', rubyZh: '"&amp;I123, "")&amp;"', baseType: '"&amp;IF(M123="通常札","normal",IF(M123="切札","special",IF(M123="追加札","extra",IF(M123="transform","transform",IF(M123="嵐","storm",IF(M123="兵員","troop",IF(M123="構想","plan",IF(M123="メインパーツ","mainParts",IF(M123="カスタムパーツ","customParts",IF(M123="運命","fate",IF(M123="仮想樹","virtualTree","")))))))))))&amp;"'"&amp;IF(N123="○",", extra: true","")&amp;IF(O123&lt;&gt;"",", extraFrom: '"&amp;O123&amp;"'","")&amp;IF(P123&lt;&gt;"",", exchangableTo: '"&amp;P123&amp;"'","")&amp;IF(Q123="○",", poison: true","")&amp;IF(R123&lt;&gt;"", ", type: '"&amp;IF(R123="攻撃","attack",IF(R123="行動","action",IF(R123="不定","variable",IF(R123="対応","reaction",IF(R123="全力","fullpower",IF(R123="付与","enhance",IF(R123="transform","transform","")))))))&amp;"'", "")&amp;IF(S123&lt;&gt;"",", subType: '"&amp;IF(S123="攻撃","attack",IF(S123="行動","action",IF(S123="不定","variable",IF(S123="対応","reaction",IF(S123="全力","fullpower",IF(S123="付与","enhance",IF(S123="transform","transform","")))))))&amp;"'","")&amp;""&amp;IF(T123&lt;&gt;"",", range: '"&amp;T123&amp;"'","")&amp;IF(V123&lt;&gt;"",", damage: '"&amp;V123&amp;"'","")&amp;IF(X123&lt;&gt;"",", capacity: '"&amp;X123&amp;"'","")&amp;IF(Y123&lt;&gt;"",", growth: "&amp;Y123&amp;"","")&amp;IF(Z123&lt;&gt;"",", cost: '"&amp;Z123&amp;"'","")&amp;", text: '"&amp;SUBSTITUTE(SUBSTITUTE(AE123, CHAR(13), ""),CHAR(10),"\n")&amp;IF(AF123&lt;&gt;"", "', textAdditional: '"&amp;SUBSTITUTE(SUBSTITUTE(AF123, CHAR(13), ""),CHAR(10),"\n"), "")&amp;"', textZh: '"&amp;SUBSTITUTE(SUBSTITUTE(SUBSTITUTE(AG123, CHAR(13), ""),CHAR(10),"\n"),"'","\'")&amp;"', textZhG122: '"&amp;SUBSTITUTE(SUBSTITUTE(SUBSTITUTE(AI123, CHAR(13), ""),CHAR(10),"\n"),"'","\'")&amp;IF(AH123&lt;&gt;"", "', textZhAdditional: '"&amp;SUBSTITUTE(SUBSTITUTE(AH123, CHAR(13), ""),CHAR(10),"\n"), "")&amp;IF(AK123&lt;&gt;"", "', textZhG122Additional: '"&amp;SUBSTITUTE(SUBSTITUTE(AK123, CHAR(13), ""),CHAR(10),"\n"), "")&amp;"', textKo: '"&amp;SUBSTITUTE(SUBSTITUTE(SUBSTITUTE(AM123, CHAR(13), ""),CHAR(10),"\n"),"'","\'")&amp;IF(AM123&lt;&gt;"", "', textKoAdditional: '"&amp;SUBSTITUTE(SUBSTITUTE(AM123, CHAR(13), ""),CHAR(10),"\n"), "")&amp;"', textEn: '"&amp;SUBSTITUTE(SUBSTITUTE(SUBSTITUTE(AM123, CHAR(13), ""),CHAR(10),"\n"),"'","\'")&amp;IF(AN123&lt;&gt;"", "', textEnAdditional: '"&amp;SUBSTITUTE(SUBSTITUTE(AN123, CHAR(13), ""),CHAR(10),"\n"), "")&amp;"'"&amp;IF(AB123="○",", sealable: true","")&amp;IF(AC123="○",", removable: true","")&amp;IF(AA123="○",", lie: true","")&amp;IF(AD123="○",", investable: true","")&amp;"},")</x:f>
        <x:v>'08-hagane-o-n-5': {megami: 'hagane', name: '円舞錬', nameEn: 'Waltz of Steel', nameZh: '圆舞链', nameZhG122: '圆舞链', nameKo: '원무련', ruby: 'えんぶれん', rubyEn: '', baseType: 'normal', type: 'action', text: '遠心\n相手のフレアが3以上ならば、相フレア→自オーラ：2', textZh: '远心 \n若敌气中的樱花结晶的数目大于等于3，则：敌气→2→自装', textZhG122: '远心 若敌气中的樱花结晶的数目大于3，则敌气（2）→自装', textZhG122Additional: '원심 \n상대의 플레어가 3 이상이라면、상대 플레어→자신 오라：2', textKo: 'Centrifuge\n\nIf your opponent has 3 or more Sakura tokens on their Flare:\nOpponent\'s Flare (2)→ Your Aura', textKoAdditional: 'Centrifuge\n\nIf your opponent has 3 or more Sakura tokens on their Flare:\nOpponent's Flare (2)→ Your Aura', textEn: 'Centrifuge\n\nIf your opponent has 3 or more Sakura tokens on their Flare:\nOpponent\'s Flare (2)→ Your Aura'},</x:v>
      </x:c>
      <x:c r="AU123" t="str">
        <x:f>IF($A123&lt;&gt;"", "    /** 《"&amp;$E123&amp;"》 */ export const "&amp;SUBSTITUTE(UPPER(IF(MID($A123, 3, 1)="-", RIGHT($A123,LEN($A123)-3), $A123)), "-", "_")&amp;": TCardId = '"&amp;$A123&amp;"';", "")</x:f>
        <x:v>    /** 《円舞錬》 */ export const HAGANE_O_N_5: TCardId = '08-hagane-o-n-5';</x:v>
      </x:c>
      <x:c r="AV123" t="str">
        <x:f>IF($A124&lt;&gt;"", "    | '"&amp;$A124&amp;"'", "")</x:f>
        <x:v>    | '08-hagane-o-n-6'</x:v>
      </x:c>
    </x:row>
    <x:row r="124" ht="113" customHeight="1">
      <x:c r="A124" t="str">
        <x:v>08-hagane-o-n-6</x:v>
      </x:c>
      <x:c r="B124" t="str">
        <x:v>hagane</x:v>
      </x:c>
      <x:c r="C124"/>
      <x:c r="D124"/>
      <x:c r="E124" t="str">
        <x:v>鐘鳴らし</x:v>
      </x:c>
      <x:c r="F124" t="str">
        <x:v>かねならし</x:v>
      </x:c>
      <x:c r="G124" t="str">
        <x:v>钟鸣响</x:v>
      </x:c>
      <x:c r="H124" t="str">
        <x:v>大鸣钟</x:v>
      </x:c>
      <x:c r="I124"/>
      <x:c r="J124" t="str">
        <x:v>종 울리기</x:v>
      </x:c>
      <x:c r="K124" t="str">
        <x:v>Sound the Bell</x:v>
      </x:c>
      <x:c r="L124"/>
      <x:c r="M124" t="str">
        <x:v>通常札</x:v>
      </x:c>
      <x:c r="N124"/>
      <x:c r="O124"/>
      <x:c r="P124"/>
      <x:c r="Q124"/>
      <x:c r="R124" t="str">
        <x:v>行動</x:v>
      </x:c>
      <x:c r="S124"/>
      <x:c r="T124"/>
      <x:c r="U124"/>
      <x:c r="V124"/>
      <x:c r="W124"/>
      <x:c r="X124"/>
      <x:c r="Y124"/>
      <x:c r="Z124"/>
      <x:c r="AA124"/>
      <x:c r="AB124"/>
      <x:c r="AC124"/>
      <x:c r="AD124"/>
      <x:c r="AE124" s="438" t="str">
        <x:v>遠心
以下から1つを選ぶ。このターンにあなたが次に行う《攻撃》にそれを与える。
・+1/+1
・対応不可（通常札）と距離拡大（遠1）</x:v>
      </x:c>
      <x:c r="AF124" s="438"/>
      <x:c r="AG124" s="499" t="str">
        <x:v>远心 
选择一项，本回合内，你的下一次《攻击》得所选效果：
●+2/+1
●不可被对应且距离扩大（远1）</x:v>
      </x:c>
      <x:c r="AH124" s="438"/>
      <x:c r="AI124" s="438"/>
      <x:c r="AJ124" s="438"/>
      <x:c r="AK124" s="499" t="str">
        <x:v>원심
아래에서 1가지를 선택한다. 이번 턴에 당신이 수행하는 다음번 《공격》은 그것을 얻는다.
・+2/+1
・대응불가와 거리확대(원1)</x:v>
      </x:c>
      <x:c r="AL124" s="438"/>
      <x:c r="AM124" s="499" t="str">
        <x:v>Centrifuge
Choose one. Your next attack this turn gains the chosen effect:
・+2/+1
・No Reactions and increase its Range in the distant direction by 1.</x:v>
      </x:c>
      <x:c r="AN124" s="438"/>
      <x:c r="AO124" s="438"/>
      <x:c r="AP124" s="438"/>
      <x:c r="AQ124" s="438"/>
      <x:c r="AR124" s="438"/>
      <x:c r="AS124" s="438"/>
      <x:c r="AT124" t="str">
        <x:f>IF(A124="", "","'"&amp;A124&amp;"': {megami: '"&amp;B124&amp;"'"&amp;IF(C124&lt;&gt;"",", anotherID: '"&amp;C124&amp;"', replace: '"&amp;D124&amp;"'","")&amp;", name: '"&amp;SUBSTITUTE(E124,"'","\'")&amp;"', nameEn: '"&amp;SUBSTITUTE(K124,"'","\'")&amp;"', nameZh: '"&amp;SUBSTITUTE(G124,"'","\'")&amp;"', nameZhG123: '"&amp;SUBSTITUTE(H124,"'","\'")&amp;"', nameKo: '"&amp;SUBSTITUTE(J124,"'","\'")&amp;"', ruby: '"&amp;F124&amp;"', rubyEn: '"&amp;L124&amp;IF(I124&lt;&gt;"", "', rubyZh: '"&amp;I124, "")&amp;"', baseType: '"&amp;IF(M124="通常札","normal",IF(M124="切札","special",IF(M124="追加札","extra",IF(M124="transform","transform",IF(M124="嵐","storm",IF(M124="兵員","troop",IF(M124="構想","plan",IF(M124="メインパーツ","mainParts",IF(M124="カスタムパーツ","customParts",IF(M124="運命","fate",IF(M124="仮想樹","virtualTree","")))))))))))&amp;"'"&amp;IF(N124="○",", extra: true","")&amp;IF(O124&lt;&gt;"",", extraFrom: '"&amp;O124&amp;"'","")&amp;IF(P124&lt;&gt;"",", exchangableTo: '"&amp;P124&amp;"'","")&amp;IF(Q124="○",", poison: true","")&amp;IF(R124&lt;&gt;"", ", type: '"&amp;IF(R124="攻撃","attack",IF(R124="行動","action",IF(R124="不定","variable",IF(R124="対応","reaction",IF(R124="全力","fullpower",IF(R124="付与","enhance",IF(R124="transform","transform","")))))))&amp;"'", "")&amp;IF(S124&lt;&gt;"",", subType: '"&amp;IF(S124="攻撃","attack",IF(S124="行動","action",IF(S124="不定","variable",IF(S124="対応","reaction",IF(S124="全力","fullpower",IF(S124="付与","enhance",IF(S124="transform","transform","")))))))&amp;"'","")&amp;""&amp;IF(T124&lt;&gt;"",", range: '"&amp;T124&amp;"'","")&amp;IF(V124&lt;&gt;"",", damage: '"&amp;V124&amp;"'","")&amp;IF(X124&lt;&gt;"",", capacity: '"&amp;X124&amp;"'","")&amp;IF(Y124&lt;&gt;"",", growth: "&amp;Y124&amp;"","")&amp;IF(Z124&lt;&gt;"",", cost: '"&amp;Z124&amp;"'","")&amp;", text: '"&amp;SUBSTITUTE(SUBSTITUTE(AE124, CHAR(13), ""),CHAR(10),"\n")&amp;IF(AF124&lt;&gt;"", "', textAdditional: '"&amp;SUBSTITUTE(SUBSTITUTE(AF124, CHAR(13), ""),CHAR(10),"\n"), "")&amp;"', textZh: '"&amp;SUBSTITUTE(SUBSTITUTE(SUBSTITUTE(AG124, CHAR(13), ""),CHAR(10),"\n"),"'","\'")&amp;"', textZhG123: '"&amp;SUBSTITUTE(SUBSTITUTE(SUBSTITUTE(AI124, CHAR(13), ""),CHAR(10),"\n"),"'","\'")&amp;IF(AH124&lt;&gt;"", "', textZhAdditional: '"&amp;SUBSTITUTE(SUBSTITUTE(AH124, CHAR(13), ""),CHAR(10),"\n"), "")&amp;IF(AK124&lt;&gt;"", "', textZhG123Additional: '"&amp;SUBSTITUTE(SUBSTITUTE(AK124, CHAR(13), ""),CHAR(10),"\n"), "")&amp;"', textKo: '"&amp;SUBSTITUTE(SUBSTITUTE(SUBSTITUTE(AM124, CHAR(13), ""),CHAR(10),"\n"),"'","\'")&amp;IF(AM124&lt;&gt;"", "', textKoAdditional: '"&amp;SUBSTITUTE(SUBSTITUTE(AM124, CHAR(13), ""),CHAR(10),"\n"), "")&amp;"', textEn: '"&amp;SUBSTITUTE(SUBSTITUTE(SUBSTITUTE(AM124, CHAR(13), ""),CHAR(10),"\n"),"'","\'")&amp;IF(AN124&lt;&gt;"", "', textEnAdditional: '"&amp;SUBSTITUTE(SUBSTITUTE(AN124, CHAR(13), ""),CHAR(10),"\n"), "")&amp;"'"&amp;IF(AB124="○",", sealable: true","")&amp;IF(AC124="○",", removable: true","")&amp;IF(AA124="○",", lie: true","")&amp;IF(AD124="○",", investable: true","")&amp;"},")</x:f>
        <x:v>'08-hagane-o-n-6': {megami: 'hagane', name: '鐘鳴らし', nameEn: 'Sound the Bell', nameZh: '钟鸣响', nameZhG123: '大鸣钟', nameKo: '종 울리기', ruby: 'かねならし', rubyEn: '', baseType: 'normal', type: 'action', text: '遠心\n以下から1つを選ぶ。このターンにあなたが次に行う《攻撃》にそれを与える。\n・+1/+1\n・対応不可（通常札）と距離拡大（遠1）', textZh: '远心 \n选择一项，本回合内，你的下一次《攻击》得所选效果：\n●+2/+1\n●不可被对应且距离扩大（远1）', textZhG123: '', textZhG123Additional: '원심\n아래에서 1가지를 선택한다. 이번 턴에 당신이 수행하는 다음번 《공격》은 그것을 얻는다.\n・+2/+1\n・대응불가와 거리확대(원1)', textKo: 'Centrifuge\n\nChoose one. Your next attack this turn gains the chosen effect:\n・+2/+1\n・No Reactions and increase its Range in the distant direction by 1.', textKoAdditional: 'Centrifuge\n\nChoose one. Your next attack this turn gains the chosen effect:\n・+2/+1\n・No Reactions and increase its Range in the distant direction by 1.', textEn: 'Centrifuge\n\nChoose one. Your next attack this turn gains the chosen effect:\n・+2/+1\n・No Reactions and increase its Range in the distant direction by 1.'},</x:v>
      </x:c>
      <x:c r="AU124" t="str">
        <x:f>IF($A124&lt;&gt;"", "    /** 《"&amp;$E124&amp;"》 */ export const "&amp;SUBSTITUTE(UPPER(IF(MID($A124, 3, 1)="-", RIGHT($A124,LEN($A124)-3), $A124)), "-", "_")&amp;": TCardId = '"&amp;$A124&amp;"';", "")</x:f>
        <x:v>    /** 《鐘鳴らし》 */ export const HAGANE_O_N_6: TCardId = '08-hagane-o-n-6';</x:v>
      </x:c>
      <x:c r="AV124" t="str">
        <x:f>IF($A125&lt;&gt;"", "    | '"&amp;$A125&amp;"'", "")</x:f>
        <x:v>    | '08-hagane-o-n-7'</x:v>
      </x:c>
    </x:row>
    <x:row r="125" ht="113" customHeight="1">
      <x:c r="A125" t="str">
        <x:v>08-hagane-o-n-7</x:v>
      </x:c>
      <x:c r="B125" t="str">
        <x:v>hagane</x:v>
      </x:c>
      <x:c r="C125"/>
      <x:c r="D125"/>
      <x:c r="E125" t="str">
        <x:v>引力場</x:v>
      </x:c>
      <x:c r="F125" t="str">
        <x:v>いんりょくば</x:v>
      </x:c>
      <x:c r="G125" t="str">
        <x:v>引力场</x:v>
      </x:c>
      <x:c r="H125" t="str">
        <x:v>引力场</x:v>
      </x:c>
      <x:c r="I125"/>
      <x:c r="J125" t="str">
        <x:v>인력장</x:v>
      </x:c>
      <x:c r="K125" t="str">
        <x:v>Gravity Well</x:v>
      </x:c>
      <x:c r="L125"/>
      <x:c r="M125" t="str">
        <x:v>通常札</x:v>
      </x:c>
      <x:c r="N125"/>
      <x:c r="O125"/>
      <x:c r="P125"/>
      <x:c r="Q125"/>
      <x:c r="R125" t="str">
        <x:v>付与</x:v>
      </x:c>
      <x:c r="S125" t="str">
        <x:v>対応</x:v>
      </x:c>
      <x:c r="T125"/>
      <x:c r="U125"/>
      <x:c r="V125"/>
      <x:c r="W125"/>
      <x:c r="X125" t="n">
        <x:v>2</x:v>
      </x:c>
      <x:c r="Y125"/>
      <x:c r="Z125"/>
      <x:c r="AA125"/>
      <x:c r="AB125"/>
      <x:c r="AC125"/>
      <x:c r="AD125"/>
      <x:c r="AE125" s="438" t="str">
        <x:v>【展開時】間合→自オーラ：1
【破棄時】自オーラ→間合：1</x:v>
      </x:c>
      <x:c r="AF125" s="438"/>
      <x:c r="AG125" s="499" t="str">
        <x:v>全力化：【常时】这张卡的箭头（→）移动的樱花结晶数增多1个。 
【展开时】距→1→自装 
【展开中】达人距离的值减小1。</x:v>
      </x:c>
      <x:c r="AH125" s="438"/>
      <x:c r="AI125" s="499" t="str">
        <x:v>全力化：【常时】因此牌上的箭头效果移动的樱花结晶的数目增大1。
【展开时】距（1）→自装
【展开中】达人距离减小1。</x:v>
      </x:c>
      <x:c r="AJ125" s="438"/>
      <x:c r="AK125" s="499" t="str">
        <x:v>	전력화 - 【상시】이 카드가 가지는 화살표 효과로 움직이는 벛꽃결정의 숫자가 1만큼 증가한다.
【전개시】간격→오라(자신) : 1
【전개중】달인의 간격이 1 감소한다.</x:v>
      </x:c>
      <x:c r="AL125" s="438"/>
      <x:c r="AM125" s="499" t="str">
        <x:v>All-Out - Forced: This card's arrow effect moves one additional Sakura token.
Initialize:
Distance (1)→ Your Aura
Ongoing: Decrease the size of the Mastery Zone by 1.</x:v>
      </x:c>
      <x:c r="AN125" s="438"/>
      <x:c r="AO125" s="438"/>
      <x:c r="AP125" s="438"/>
      <x:c r="AQ125" s="499" t="str">
        <x:v>    | '08-hagane-o-n-7'</x:v>
      </x:c>
      <x:c r="AR125" s="438"/>
      <x:c r="AS125" s="438"/>
      <x:c r="AT125" t="str">
        <x:f>IF(A125="", "","'"&amp;A125&amp;"': {megami: '"&amp;B125&amp;"'"&amp;IF(C125&lt;&gt;"",", anotherID: '"&amp;C125&amp;"', replace: '"&amp;D125&amp;"'","")&amp;", name: '"&amp;SUBSTITUTE(E125,"'","\'")&amp;"', nameEn: '"&amp;SUBSTITUTE(K125,"'","\'")&amp;"', nameZh: '"&amp;SUBSTITUTE(G125,"'","\'")&amp;"', nameZhG124: '"&amp;SUBSTITUTE(H125,"'","\'")&amp;"', nameKo: '"&amp;SUBSTITUTE(J125,"'","\'")&amp;"', ruby: '"&amp;F125&amp;"', rubyEn: '"&amp;L125&amp;IF(I125&lt;&gt;"", "', rubyZh: '"&amp;I125, "")&amp;"', baseType: '"&amp;IF(M125="通常札","normal",IF(M125="切札","special",IF(M125="追加札","extra",IF(M125="transform","transform",IF(M125="嵐","storm",IF(M125="兵員","troop",IF(M125="構想","plan",IF(M125="メインパーツ","mainParts",IF(M125="カスタムパーツ","customParts",IF(M125="運命","fate",IF(M125="仮想樹","virtualTree","")))))))))))&amp;"'"&amp;IF(N125="○",", extra: true","")&amp;IF(O125&lt;&gt;"",", extraFrom: '"&amp;O125&amp;"'","")&amp;IF(P125&lt;&gt;"",", exchangableTo: '"&amp;P125&amp;"'","")&amp;IF(Q125="○",", poison: true","")&amp;IF(R125&lt;&gt;"", ", type: '"&amp;IF(R125="攻撃","attack",IF(R125="行動","action",IF(R125="不定","variable",IF(R125="対応","reaction",IF(R125="全力","fullpower",IF(R125="付与","enhance",IF(R125="transform","transform","")))))))&amp;"'", "")&amp;IF(S125&lt;&gt;"",", subType: '"&amp;IF(S125="攻撃","attack",IF(S125="行動","action",IF(S125="不定","variable",IF(S125="対応","reaction",IF(S125="全力","fullpower",IF(S125="付与","enhance",IF(S125="transform","transform","")))))))&amp;"'","")&amp;""&amp;IF(T125&lt;&gt;"",", range: '"&amp;T125&amp;"'","")&amp;IF(V125&lt;&gt;"",", damage: '"&amp;V125&amp;"'","")&amp;IF(X125&lt;&gt;"",", capacity: '"&amp;X125&amp;"'","")&amp;IF(Y125&lt;&gt;"",", growth: "&amp;Y125&amp;"","")&amp;IF(Z125&lt;&gt;"",", cost: '"&amp;Z125&amp;"'","")&amp;", text: '"&amp;SUBSTITUTE(SUBSTITUTE(AE125, CHAR(13), ""),CHAR(10),"\n")&amp;IF(AF125&lt;&gt;"", "', textAdditional: '"&amp;SUBSTITUTE(SUBSTITUTE(AF125, CHAR(13), ""),CHAR(10),"\n"), "")&amp;"', textZh: '"&amp;SUBSTITUTE(SUBSTITUTE(SUBSTITUTE(AG125, CHAR(13), ""),CHAR(10),"\n"),"'","\'")&amp;"', textZhG124: '"&amp;SUBSTITUTE(SUBSTITUTE(SUBSTITUTE(AI125, CHAR(13), ""),CHAR(10),"\n"),"'","\'")&amp;IF(AH125&lt;&gt;"", "', textZhAdditional: '"&amp;SUBSTITUTE(SUBSTITUTE(AH125, CHAR(13), ""),CHAR(10),"\n"), "")&amp;IF(AK125&lt;&gt;"", "', textZhG124Additional: '"&amp;SUBSTITUTE(SUBSTITUTE(AK125, CHAR(13), ""),CHAR(10),"\n"), "")&amp;"', textKo: '"&amp;SUBSTITUTE(SUBSTITUTE(SUBSTITUTE(AM125, CHAR(13), ""),CHAR(10),"\n"),"'","\'")&amp;IF(AM125&lt;&gt;"", "', textKoAdditional: '"&amp;SUBSTITUTE(SUBSTITUTE(AM125, CHAR(13), ""),CHAR(10),"\n"), "")&amp;"', textEn: '"&amp;SUBSTITUTE(SUBSTITUTE(SUBSTITUTE(AM125, CHAR(13), ""),CHAR(10),"\n"),"'","\'")&amp;IF(AN125&lt;&gt;"", "', textEnAdditional: '"&amp;SUBSTITUTE(SUBSTITUTE(AN125, CHAR(13), ""),CHAR(10),"\n"), "")&amp;"'"&amp;IF(AB125="○",", sealable: true","")&amp;IF(AC125="○",", removable: true","")&amp;IF(AA125="○",", lie: true","")&amp;IF(AD125="○",", investable: true","")&amp;"},")</x:f>
        <x:v>'08-hagane-o-n-7': {megami: 'hagane', name: '引力場', nameEn: 'Gravity Well', nameZh: '引力场', nameZhG124: '引力场', nameKo: '인력장', ruby: 'いんりょくば', rubyEn: '', baseType: 'normal', type: 'enhance', subType: 'reaction', capacity: '2', text: '【展開時】間合→自オーラ：1\n【破棄時】自オーラ→間合：1', textZh: '全力化：【常时】这张卡的箭头（→）移动的樱花结晶数增多1个。 \n\n【展开时】距→1→自装 \n【展开中】达人距离的值减小1。', textZhG124: '全力化：【常时】因此牌上的箭头效果移动的樱花结晶的数目增大1。\n\n【展开时】距（1）→自装\n【展开中】达人距离减小1。', textZhG124Additional: '	전력화 - 【상시】이 카드가 가지는 화살표 효과로 움직이는 벛꽃결정의 숫자가 1만큼 증가한다.\n【전개시】간격→오라(자신) : 1\n【전개중】달인의 간격이 1 감소한다.', textKo: 'All-Out - Forced: This card\'s arrow effect moves one additional Sakura token.\n\nInitialize:\nDistance (1)→ Your Aura\n\nOngoing: Decrease the size of the Mastery Zone by 1.', textKoAdditional: 'All-Out - Forced: This card's arrow effect moves one additional Sakura token.\n\nInitialize:\nDistance (1)→ Your Aura\n\nOngoing: Decrease the size of the Mastery Zone by 1.', textEn: 'All-Out - Forced: This card\'s arrow effect moves one additional Sakura token.\n\nInitialize:\nDistance (1)→ Your Aura\n\nOngoing: Decrease the size of the Mastery Zone by 1.'},</x:v>
      </x:c>
      <x:c r="AU125" t="str">
        <x:f>IF($A125&lt;&gt;"", "    /** 《"&amp;$E125&amp;"》 */ export const "&amp;SUBSTITUTE(UPPER(IF(MID($A125, 3, 1)="-", RIGHT($A125,LEN($A125)-3), $A125)), "-", "_")&amp;": TCardId = '"&amp;$A125&amp;"';", "")</x:f>
        <x:v>    /** 《引力場》 */ export const HAGANE_O_N_7: TCardId = '08-hagane-o-n-7';</x:v>
      </x:c>
      <x:c r="AV125" t="str">
        <x:f>IF($A126&lt;&gt;"", "    | '"&amp;$A126&amp;"'", "")</x:f>
        <x:v>    | '08-hagane-o-s-1'</x:v>
      </x:c>
    </x:row>
    <x:row r="126" ht="83" customHeight="1">
      <x:c r="A126" t="str">
        <x:v>08-hagane-o-s-1</x:v>
      </x:c>
      <x:c r="B126" t="str">
        <x:v>hagane</x:v>
      </x:c>
      <x:c r="C126"/>
      <x:c r="D126"/>
      <x:c r="E126" t="str">
        <x:v>大天空クラッシュ</x:v>
      </x:c>
      <x:c r="F126" t="str">
        <x:v>だいてんくうクラッシュ</x:v>
      </x:c>
      <x:c r="G126" t="str">
        <x:v>大天空CRASH</x:v>
      </x:c>
      <x:c r="H126" t="str">
        <x:v>大天空·破限</x:v>
      </x:c>
      <x:c r="I126"/>
      <x:c r="J126" t="str">
        <x:v>대천공 크래시</x:v>
      </x:c>
      <x:c r="K126" t="str">
        <x:v>Grand Firmament Crash</x:v>
      </x:c>
      <x:c r="L126"/>
      <x:c r="M126" t="str">
        <x:v>切札</x:v>
      </x:c>
      <x:c r="N126"/>
      <x:c r="O126"/>
      <x:c r="P126"/>
      <x:c r="Q126"/>
      <x:c r="R126" t="str">
        <x:v>攻撃</x:v>
      </x:c>
      <x:c r="S126"/>
      <x:c r="T126" t="str">
        <x:v>0-10</x:v>
      </x:c>
      <x:c r="U126"/>
      <x:c r="V126" t="str">
        <x:v>X/Y</x:v>
      </x:c>
      <x:c r="W126"/>
      <x:c r="X126"/>
      <x:c r="Y126"/>
      <x:c r="Z126" t="n">
        <x:v>4</x:v>
      </x:c>
      <x:c r="AA126"/>
      <x:c r="AB126"/>
      <x:c r="AC126"/>
      <x:c r="AD126"/>
      <x:c r="AE126" s="438" t="str">
        <x:v>超克
【常時】Xは現在の間合がターン開始時の間合からどれだけ変化しているかに等しい。YはXの半分(切り上げ)に等しい。</x:v>
      </x:c>
      <x:c r="AF126" s="438"/>
      <x:c r="AG126" s="499" t="str">
        <x:v>超克 
【常时】X为当前距离与本回合开始时距离之差的绝对值，Y为X的一半（向上取整）。</x:v>
      </x:c>
      <x:c r="AH126" s="438"/>
      <x:c r="AI126" s="499" t="str">
        <x:v>超克 
【常时】X为当前距离与本回合开始时距离之差的绝对值，Y为X的一半（向上取整）。</x:v>
      </x:c>
      <x:c r="AJ126" s="438"/>
      <x:c r="AK126" s="499" t="str">
        <x:v>초극 
 【상시】X는 현재 간격이 턴 시작시의 간격에서 변화한 값과 같다. Y는 X의 절반(올림)과 같다.</x:v>
      </x:c>
      <x:c r="AL126" s="438"/>
      <x:c r="AM126" s="499" t="str">
        <x:v>Overwhelm
Forced: X is the difference between the current Distance and the Distance at the beginning of this turn. Y is half of X, rounded up.</x:v>
      </x:c>
      <x:c r="AN126" s="438"/>
      <x:c r="AO126" s="438"/>
      <x:c r="AP126" s="438"/>
      <x:c r="AQ126" s="438"/>
      <x:c r="AR126" s="438"/>
      <x:c r="AS126" s="438"/>
      <x:c r="AT126" t="str">
        <x:f>IF(A126="", "","'"&amp;A126&amp;"': {megami: '"&amp;B126&amp;"'"&amp;IF(C126&lt;&gt;"",", anotherID: '"&amp;C126&amp;"', replace: '"&amp;D126&amp;"'","")&amp;", name: '"&amp;SUBSTITUTE(E126,"'","\'")&amp;"', nameEn: '"&amp;SUBSTITUTE(K126,"'","\'")&amp;"', nameZh: '"&amp;SUBSTITUTE(G126,"'","\'")&amp;"', nameZhG125: '"&amp;SUBSTITUTE(H126,"'","\'")&amp;"', nameKo: '"&amp;SUBSTITUTE(J126,"'","\'")&amp;"', ruby: '"&amp;F126&amp;"', rubyEn: '"&amp;L126&amp;IF(I126&lt;&gt;"", "', rubyZh: '"&amp;I126, "")&amp;"', baseType: '"&amp;IF(M126="通常札","normal",IF(M126="切札","special",IF(M126="追加札","extra",IF(M126="transform","transform",IF(M126="嵐","storm",IF(M126="兵員","troop",IF(M126="構想","plan",IF(M126="メインパーツ","mainParts",IF(M126="カスタムパーツ","customParts",IF(M126="運命","fate",IF(M126="仮想樹","virtualTree","")))))))))))&amp;"'"&amp;IF(N126="○",", extra: true","")&amp;IF(O126&lt;&gt;"",", extraFrom: '"&amp;O126&amp;"'","")&amp;IF(P126&lt;&gt;"",", exchangableTo: '"&amp;P126&amp;"'","")&amp;IF(Q126="○",", poison: true","")&amp;IF(R126&lt;&gt;"", ", type: '"&amp;IF(R126="攻撃","attack",IF(R126="行動","action",IF(R126="不定","variable",IF(R126="対応","reaction",IF(R126="全力","fullpower",IF(R126="付与","enhance",IF(R126="transform","transform","")))))))&amp;"'", "")&amp;IF(S126&lt;&gt;"",", subType: '"&amp;IF(S126="攻撃","attack",IF(S126="行動","action",IF(S126="不定","variable",IF(S126="対応","reaction",IF(S126="全力","fullpower",IF(S126="付与","enhance",IF(S126="transform","transform","")))))))&amp;"'","")&amp;""&amp;IF(T126&lt;&gt;"",", range: '"&amp;T126&amp;"'","")&amp;IF(V126&lt;&gt;"",", damage: '"&amp;V126&amp;"'","")&amp;IF(X126&lt;&gt;"",", capacity: '"&amp;X126&amp;"'","")&amp;IF(Y126&lt;&gt;"",", growth: "&amp;Y126&amp;"","")&amp;IF(Z126&lt;&gt;"",", cost: '"&amp;Z126&amp;"'","")&amp;", text: '"&amp;SUBSTITUTE(SUBSTITUTE(AE126, CHAR(13), ""),CHAR(10),"\n")&amp;IF(AF126&lt;&gt;"", "', textAdditional: '"&amp;SUBSTITUTE(SUBSTITUTE(AF126, CHAR(13), ""),CHAR(10),"\n"), "")&amp;"', textZh: '"&amp;SUBSTITUTE(SUBSTITUTE(SUBSTITUTE(AG126, CHAR(13), ""),CHAR(10),"\n"),"'","\'")&amp;"', textZhG125: '"&amp;SUBSTITUTE(SUBSTITUTE(SUBSTITUTE(AI126, CHAR(13), ""),CHAR(10),"\n"),"'","\'")&amp;IF(AH126&lt;&gt;"", "', textZhAdditional: '"&amp;SUBSTITUTE(SUBSTITUTE(AH126, CHAR(13), ""),CHAR(10),"\n"), "")&amp;IF(AK126&lt;&gt;"", "', textZhG125Additional: '"&amp;SUBSTITUTE(SUBSTITUTE(AK126, CHAR(13), ""),CHAR(10),"\n"), "")&amp;"', textKo: '"&amp;SUBSTITUTE(SUBSTITUTE(SUBSTITUTE(AM126, CHAR(13), ""),CHAR(10),"\n"),"'","\'")&amp;IF(AM126&lt;&gt;"", "', textKoAdditional: '"&amp;SUBSTITUTE(SUBSTITUTE(AM126, CHAR(13), ""),CHAR(10),"\n"), "")&amp;"', textEn: '"&amp;SUBSTITUTE(SUBSTITUTE(SUBSTITUTE(AM126, CHAR(13), ""),CHAR(10),"\n"),"'","\'")&amp;IF(AN126&lt;&gt;"", "', textEnAdditional: '"&amp;SUBSTITUTE(SUBSTITUTE(AN126, CHAR(13), ""),CHAR(10),"\n"), "")&amp;"'"&amp;IF(AB126="○",", sealable: true","")&amp;IF(AC126="○",", removable: true","")&amp;IF(AA126="○",", lie: true","")&amp;IF(AD126="○",", investable: true","")&amp;"},")</x:f>
        <x:v>'08-hagane-o-s-1': {megami: 'hagane', name: '大天空クラッシュ', nameEn: 'Grand Firmament Crash', nameZh: '大天空CRASH', nameZhG125: '大天空·破限', nameKo: '대천공 크래시', ruby: 'だいてんくうクラッシュ', rubyEn: '', baseType: 'special', type: 'attack', range: '0-10', damage: 'X/Y', cost: '4', text: '超克\n【常時】Xは現在の間合がターン開始時の間合からどれだけ変化しているかに等しい。YはXの半分(切り上げ)に等しい。', textZh: '超克 \n【常时】X为当前距离与本回合开始时距离之差的绝对值，Y为X的一半（向上取整）。', textZhG125: '超克 \n【常时】X为当前距离与本回合开始时距离之差的绝对值，Y为X的一半（向上取整）。', textZhG125Additional: '초극 \n 【상시】X는 현재 간격이 턴 시작시의 간격에서 변화한 값과 같다. Y는 X의 절반(올림)과 같다.', textKo: 'Overwhelm\n\nForced: X is the difference between the current Distance and the Distance at the beginning of this turn. Y is half of X, rounded up.', textKoAdditional: 'Overwhelm\n\nForced: X is the difference between the current Distance and the Distance at the beginning of this turn. Y is half of X, rounded up.', textEn: 'Overwhelm\n\nForced: X is the difference between the current Distance and the Distance at the beginning of this turn. Y is half of X, rounded up.'},</x:v>
      </x:c>
      <x:c r="AU126" t="str">
        <x:f>IF($A126&lt;&gt;"", "    /** 《"&amp;$E126&amp;"》 */ export const "&amp;SUBSTITUTE(UPPER(IF(MID($A126, 3, 1)="-", RIGHT($A126,LEN($A126)-3), $A126)), "-", "_")&amp;": TCardId = '"&amp;$A126&amp;"';", "")</x:f>
        <x:v>    /** 《大天空クラッシュ》 */ export const HAGANE_O_S_1: TCardId = '08-hagane-o-s-1';</x:v>
      </x:c>
      <x:c r="AV126" t="str">
        <x:f>IF($A127&lt;&gt;"", "    | '"&amp;$A127&amp;"'", "")</x:f>
        <x:v>    | '08-hagane-o-s-2'</x:v>
      </x:c>
    </x:row>
    <x:row r="127" ht="53" customHeight="1">
      <x:c r="A127" t="str">
        <x:v>08-hagane-o-s-2</x:v>
      </x:c>
      <x:c r="B127" t="str">
        <x:v>hagane</x:v>
      </x:c>
      <x:c r="C127"/>
      <x:c r="D127"/>
      <x:c r="E127" t="str">
        <x:v>大破鐘メガロベル</x:v>
      </x:c>
      <x:c r="F127" t="str">
        <x:v>だいはがねメガロベル</x:v>
      </x:c>
      <x:c r="G127" t="str">
        <x:v>大破钟MEGALOBELL</x:v>
      </x:c>
      <x:c r="H127" t="str">
        <x:v>大破钟·断限</x:v>
      </x:c>
      <x:c r="I127"/>
      <x:c r="J127" t="str">
        <x:v>대파종 메갈로벨</x:v>
      </x:c>
      <x:c r="K127" t="str">
        <x:v>Grand Bourdon Peal</x:v>
      </x:c>
      <x:c r="L127"/>
      <x:c r="M127" t="str">
        <x:v>切札</x:v>
      </x:c>
      <x:c r="N127"/>
      <x:c r="O127"/>
      <x:c r="P127"/>
      <x:c r="Q127"/>
      <x:c r="R127" t="str">
        <x:v>行動</x:v>
      </x:c>
      <x:c r="S127" t="str">
        <x:v>対応</x:v>
      </x:c>
      <x:c r="T127"/>
      <x:c r="U127"/>
      <x:c r="V127"/>
      <x:c r="W127"/>
      <x:c r="X127"/>
      <x:c r="Y127"/>
      <x:c r="Z127" t="n">
        <x:v>2</x:v>
      </x:c>
      <x:c r="AA127"/>
      <x:c r="AB127"/>
      <x:c r="AC127"/>
      <x:c r="AD127"/>
      <x:c r="AE127" s="438" t="str">
        <x:v>あなたの他の切札が全て使用済ならば、
間合→自ライフ：1
このカードを取り除く。</x:v>
      </x:c>
      <x:c r="AF127" s="438"/>
      <x:c r="AG127" s="499" t="str">
        <x:v>若你的其他王牌均处于已使用状态，则虚→2→自命</x:v>
      </x:c>
      <x:c r="AH127" s="438"/>
      <x:c r="AI127" s="499" t="str">
        <x:v>若你的其他王牌均正面朝上，则虚（2）→自命</x:v>
      </x:c>
      <x:c r="AJ127" s="438"/>
      <x:c r="AK127" s="499" t="str">
        <x:v>당신의 다른 비장패가 모두 사용완료라면, 더스트→자신 라이프：2</x:v>
      </x:c>
      <x:c r="AL127" s="438"/>
      <x:c r="AM127" s="499" t="str">
        <x:v>If all your other Special cards are Devoted:
Shadow (2)→ Your Life</x:v>
      </x:c>
      <x:c r="AN127" s="438"/>
      <x:c r="AO127" s="438"/>
      <x:c r="AP127" s="438"/>
      <x:c r="AQ127" s="438"/>
      <x:c r="AR127" s="438"/>
      <x:c r="AS127" s="438"/>
      <x:c r="AT127" t="str">
        <x:f>IF(A127="", "","'"&amp;A127&amp;"': {megami: '"&amp;B127&amp;"'"&amp;IF(C127&lt;&gt;"",", anotherID: '"&amp;C127&amp;"', replace: '"&amp;D127&amp;"'","")&amp;", name: '"&amp;SUBSTITUTE(E127,"'","\'")&amp;"', nameEn: '"&amp;SUBSTITUTE(K127,"'","\'")&amp;"', nameZh: '"&amp;SUBSTITUTE(G127,"'","\'")&amp;"', nameZhG126: '"&amp;SUBSTITUTE(H127,"'","\'")&amp;"', nameKo: '"&amp;SUBSTITUTE(J127,"'","\'")&amp;"', ruby: '"&amp;F127&amp;"', rubyEn: '"&amp;L127&amp;IF(I127&lt;&gt;"", "', rubyZh: '"&amp;I127, "")&amp;"', baseType: '"&amp;IF(M127="通常札","normal",IF(M127="切札","special",IF(M127="追加札","extra",IF(M127="transform","transform",IF(M127="嵐","storm",IF(M127="兵員","troop",IF(M127="構想","plan",IF(M127="メインパーツ","mainParts",IF(M127="カスタムパーツ","customParts",IF(M127="運命","fate",IF(M127="仮想樹","virtualTree","")))))))))))&amp;"'"&amp;IF(N127="○",", extra: true","")&amp;IF(O127&lt;&gt;"",", extraFrom: '"&amp;O127&amp;"'","")&amp;IF(P127&lt;&gt;"",", exchangableTo: '"&amp;P127&amp;"'","")&amp;IF(Q127="○",", poison: true","")&amp;IF(R127&lt;&gt;"", ", type: '"&amp;IF(R127="攻撃","attack",IF(R127="行動","action",IF(R127="不定","variable",IF(R127="対応","reaction",IF(R127="全力","fullpower",IF(R127="付与","enhance",IF(R127="transform","transform","")))))))&amp;"'", "")&amp;IF(S127&lt;&gt;"",", subType: '"&amp;IF(S127="攻撃","attack",IF(S127="行動","action",IF(S127="不定","variable",IF(S127="対応","reaction",IF(S127="全力","fullpower",IF(S127="付与","enhance",IF(S127="transform","transform","")))))))&amp;"'","")&amp;""&amp;IF(T127&lt;&gt;"",", range: '"&amp;T127&amp;"'","")&amp;IF(V127&lt;&gt;"",", damage: '"&amp;V127&amp;"'","")&amp;IF(X127&lt;&gt;"",", capacity: '"&amp;X127&amp;"'","")&amp;IF(Y127&lt;&gt;"",", growth: "&amp;Y127&amp;"","")&amp;IF(Z127&lt;&gt;"",", cost: '"&amp;Z127&amp;"'","")&amp;", text: '"&amp;SUBSTITUTE(SUBSTITUTE(AE127, CHAR(13), ""),CHAR(10),"\n")&amp;IF(AF127&lt;&gt;"", "', textAdditional: '"&amp;SUBSTITUTE(SUBSTITUTE(AF127, CHAR(13), ""),CHAR(10),"\n"), "")&amp;"', textZh: '"&amp;SUBSTITUTE(SUBSTITUTE(SUBSTITUTE(AG127, CHAR(13), ""),CHAR(10),"\n"),"'","\'")&amp;"', textZhG126: '"&amp;SUBSTITUTE(SUBSTITUTE(SUBSTITUTE(AI127, CHAR(13), ""),CHAR(10),"\n"),"'","\'")&amp;IF(AH127&lt;&gt;"", "', textZhAdditional: '"&amp;SUBSTITUTE(SUBSTITUTE(AH127, CHAR(13), ""),CHAR(10),"\n"), "")&amp;IF(AK127&lt;&gt;"", "', textZhG126Additional: '"&amp;SUBSTITUTE(SUBSTITUTE(AK127, CHAR(13), ""),CHAR(10),"\n"), "")&amp;"', textKo: '"&amp;SUBSTITUTE(SUBSTITUTE(SUBSTITUTE(AM127, CHAR(13), ""),CHAR(10),"\n"),"'","\'")&amp;IF(AM127&lt;&gt;"", "', textKoAdditional: '"&amp;SUBSTITUTE(SUBSTITUTE(AM127, CHAR(13), ""),CHAR(10),"\n"), "")&amp;"', textEn: '"&amp;SUBSTITUTE(SUBSTITUTE(SUBSTITUTE(AM127, CHAR(13), ""),CHAR(10),"\n"),"'","\'")&amp;IF(AN127&lt;&gt;"", "', textEnAdditional: '"&amp;SUBSTITUTE(SUBSTITUTE(AN127, CHAR(13), ""),CHAR(10),"\n"), "")&amp;"'"&amp;IF(AB127="○",", sealable: true","")&amp;IF(AC127="○",", removable: true","")&amp;IF(AA127="○",", lie: true","")&amp;IF(AD127="○",", investable: true","")&amp;"},")</x:f>
        <x:v>'08-hagane-o-s-2': {megami: 'hagane', name: '大破鐘メガロベル', nameEn: 'Grand Bourdon Peal', nameZh: '大破钟MEGALOBELL', nameZhG126: '大破钟·断限', nameKo: '대파종 메갈로벨', ruby: 'だいはがねメガロベル', rubyEn: '', baseType: 'special', type: 'action', subType: 'reaction', cost: '2', text: 'あなたの他の切札が全て使用済ならば、\n間合→自ライフ：1\nこのカードを取り除く。', textZh: '若你的其他王牌均处于已使用状态，则虚→2→自命', textZhG126: '若你的其他王牌均正面朝上，则虚（2）→自命', textZhG126Additional: '당신의 다른 비장패가 모두 사용완료라면, 더스트→자신 라이프：2', textKo: 'If all your other Special cards are Devoted:\nShadow (2)→ Your Life', textKoAdditional: 'If all your other Special cards are Devoted:\nShadow (2)→ Your Life', textEn: 'If all your other Special cards are Devoted:\nShadow (2)→ Your Life'},</x:v>
      </x:c>
      <x:c r="AU127" t="str">
        <x:f>IF($A127&lt;&gt;"", "    /** 《"&amp;$E127&amp;"》 */ export const "&amp;SUBSTITUTE(UPPER(IF(MID($A127, 3, 1)="-", RIGHT($A127,LEN($A127)-3), $A127)), "-", "_")&amp;": TCardId = '"&amp;$A127&amp;"';", "")</x:f>
        <x:v>    /** 《大破鐘メガロベル》 */ export const HAGANE_O_S_2: TCardId = '08-hagane-o-s-2';</x:v>
      </x:c>
      <x:c r="AV127" t="str">
        <x:f>IF($A128&lt;&gt;"", "    | '"&amp;$A128&amp;"'", "")</x:f>
        <x:v>    | '08-hagane-o-s-3'</x:v>
      </x:c>
    </x:row>
    <x:row r="128" ht="68" customHeight="1">
      <x:c r="A128" t="str">
        <x:v>08-hagane-o-s-3</x:v>
      </x:c>
      <x:c r="B128" t="str">
        <x:v>hagane</x:v>
      </x:c>
      <x:c r="C128"/>
      <x:c r="D128"/>
      <x:c r="E128" t="str">
        <x:v>大重力アトラクト</x:v>
      </x:c>
      <x:c r="F128" t="str">
        <x:v>だいじゅうりょくアトラクト</x:v>
      </x:c>
      <x:c r="G128" t="str">
        <x:v>大重力ATTRACT</x:v>
      </x:c>
      <x:c r="H128" t="str">
        <x:v>大重力·无限</x:v>
      </x:c>
      <x:c r="I128"/>
      <x:c r="J128" t="str">
        <x:v>대중력 어트랙트</x:v>
      </x:c>
      <x:c r="K128" t="str">
        <x:v>Grand Gravity Attract</x:v>
      </x:c>
      <x:c r="L128"/>
      <x:c r="M128" t="str">
        <x:v>切札</x:v>
      </x:c>
      <x:c r="N128"/>
      <x:c r="O128"/>
      <x:c r="P128"/>
      <x:c r="Q128"/>
      <x:c r="R128" t="str">
        <x:v>行動</x:v>
      </x:c>
      <x:c r="S128"/>
      <x:c r="T128"/>
      <x:c r="U128"/>
      <x:c r="V128"/>
      <x:c r="W128"/>
      <x:c r="X128"/>
      <x:c r="Y128"/>
      <x:c r="Z128" t="n">
        <x:v>5</x:v>
      </x:c>
      <x:c r="AA128"/>
      <x:c r="AB128"/>
      <x:c r="AC128"/>
      <x:c r="AD128"/>
      <x:c r="AE128" s="438" t="str">
        <x:v>間合→自フレア：3
再起:このターンにあなたが遠心を持つカードを使用しており、このカードを使用していない。</x:v>
      </x:c>
      <x:c r="AF128" s="438"/>
      <x:c r="AG128" s="499" t="str">
        <x:v>距→3→自气
----
【再起】本回合内你使用了具远心关键字的牌，且没有使用此牌。</x:v>
      </x:c>
      <x:c r="AH128" s="438"/>
      <x:c r="AI128" s="499" t="str">
        <x:v>距（3）→自气
----
【再起】本回合内你使用了具远心关键字的牌，且没有使用此牌。</x:v>
      </x:c>
      <x:c r="AJ128" s="438"/>
      <x:c r="AK128" s="499" t="str">
        <x:v>간격→자신 플레어：3 
 ----
 【재기】이 턴에 당신이 원심을 갖는 카드를 사용하고, 이 카드를 사용하지 않았다.</x:v>
      </x:c>
      <x:c r="AL128" s="438"/>
      <x:c r="AM128" s="499" t="str">
        <x:v>Distance (3)→ Your Flare
Resurgence: You played a card with Centrifuge this turn, and this card was not played this turn.</x:v>
      </x:c>
      <x:c r="AN128" s="438"/>
      <x:c r="AO128" s="438"/>
      <x:c r="AP128" s="438"/>
      <x:c r="AQ128" s="438"/>
      <x:c r="AR128" s="438"/>
      <x:c r="AS128" s="438"/>
      <x:c r="AT128" t="str">
        <x:f>IF(A128="", "","'"&amp;A128&amp;"': {megami: '"&amp;B128&amp;"'"&amp;IF(C128&lt;&gt;"",", anotherID: '"&amp;C128&amp;"', replace: '"&amp;D128&amp;"'","")&amp;", name: '"&amp;SUBSTITUTE(E128,"'","\'")&amp;"', nameEn: '"&amp;SUBSTITUTE(K128,"'","\'")&amp;"', nameZh: '"&amp;SUBSTITUTE(G128,"'","\'")&amp;"', nameZhG127: '"&amp;SUBSTITUTE(H128,"'","\'")&amp;"', nameKo: '"&amp;SUBSTITUTE(J128,"'","\'")&amp;"', ruby: '"&amp;F128&amp;"', rubyEn: '"&amp;L128&amp;IF(I128&lt;&gt;"", "', rubyZh: '"&amp;I128, "")&amp;"', baseType: '"&amp;IF(M128="通常札","normal",IF(M128="切札","special",IF(M128="追加札","extra",IF(M128="transform","transform",IF(M128="嵐","storm",IF(M128="兵員","troop",IF(M128="構想","plan",IF(M128="メインパーツ","mainParts",IF(M128="カスタムパーツ","customParts",IF(M128="運命","fate",IF(M128="仮想樹","virtualTree","")))))))))))&amp;"'"&amp;IF(N128="○",", extra: true","")&amp;IF(O128&lt;&gt;"",", extraFrom: '"&amp;O128&amp;"'","")&amp;IF(P128&lt;&gt;"",", exchangableTo: '"&amp;P128&amp;"'","")&amp;IF(Q128="○",", poison: true","")&amp;IF(R128&lt;&gt;"", ", type: '"&amp;IF(R128="攻撃","attack",IF(R128="行動","action",IF(R128="不定","variable",IF(R128="対応","reaction",IF(R128="全力","fullpower",IF(R128="付与","enhance",IF(R128="transform","transform","")))))))&amp;"'", "")&amp;IF(S128&lt;&gt;"",", subType: '"&amp;IF(S128="攻撃","attack",IF(S128="行動","action",IF(S128="不定","variable",IF(S128="対応","reaction",IF(S128="全力","fullpower",IF(S128="付与","enhance",IF(S128="transform","transform","")))))))&amp;"'","")&amp;""&amp;IF(T128&lt;&gt;"",", range: '"&amp;T128&amp;"'","")&amp;IF(V128&lt;&gt;"",", damage: '"&amp;V128&amp;"'","")&amp;IF(X128&lt;&gt;"",", capacity: '"&amp;X128&amp;"'","")&amp;IF(Y128&lt;&gt;"",", growth: "&amp;Y128&amp;"","")&amp;IF(Z128&lt;&gt;"",", cost: '"&amp;Z128&amp;"'","")&amp;", text: '"&amp;SUBSTITUTE(SUBSTITUTE(AE128, CHAR(13), ""),CHAR(10),"\n")&amp;IF(AF128&lt;&gt;"", "', textAdditional: '"&amp;SUBSTITUTE(SUBSTITUTE(AF128, CHAR(13), ""),CHAR(10),"\n"), "")&amp;"', textZh: '"&amp;SUBSTITUTE(SUBSTITUTE(SUBSTITUTE(AG128, CHAR(13), ""),CHAR(10),"\n"),"'","\'")&amp;"', textZhG127: '"&amp;SUBSTITUTE(SUBSTITUTE(SUBSTITUTE(AI128, CHAR(13), ""),CHAR(10),"\n"),"'","\'")&amp;IF(AH128&lt;&gt;"", "', textZhAdditional: '"&amp;SUBSTITUTE(SUBSTITUTE(AH128, CHAR(13), ""),CHAR(10),"\n"), "")&amp;IF(AK128&lt;&gt;"", "', textZhG127Additional: '"&amp;SUBSTITUTE(SUBSTITUTE(AK128, CHAR(13), ""),CHAR(10),"\n"), "")&amp;"', textKo: '"&amp;SUBSTITUTE(SUBSTITUTE(SUBSTITUTE(AM128, CHAR(13), ""),CHAR(10),"\n"),"'","\'")&amp;IF(AM128&lt;&gt;"", "', textKoAdditional: '"&amp;SUBSTITUTE(SUBSTITUTE(AM128, CHAR(13), ""),CHAR(10),"\n"), "")&amp;"', textEn: '"&amp;SUBSTITUTE(SUBSTITUTE(SUBSTITUTE(AM128, CHAR(13), ""),CHAR(10),"\n"),"'","\'")&amp;IF(AN128&lt;&gt;"", "', textEnAdditional: '"&amp;SUBSTITUTE(SUBSTITUTE(AN128, CHAR(13), ""),CHAR(10),"\n"), "")&amp;"'"&amp;IF(AB128="○",", sealable: true","")&amp;IF(AC128="○",", removable: true","")&amp;IF(AA128="○",", lie: true","")&amp;IF(AD128="○",", investable: true","")&amp;"},")</x:f>
        <x:v>'08-hagane-o-s-3': {megami: 'hagane', name: '大重力アトラクト', nameEn: 'Grand Gravity Attract', nameZh: '大重力ATTRACT', nameZhG127: '大重力·无限', nameKo: '대중력 어트랙트', ruby: 'だいじゅうりょくアトラクト', rubyEn: '', baseType: 'special', type: 'action', cost: '5', text: '間合→自フレア：3\n再起:このターンにあなたが遠心を持つカードを使用しており、このカードを使用していない。', textZh: '距→3→自气\n----\n【再起】本回合内你使用了具远心关键字的牌，且没有使用此牌。', textZhG127: '距（3）→自气\n----\n【再起】本回合内你使用了具远心关键字的牌，且没有使用此牌。', textZhG127Additional: '간격→자신 플레어：3 \n ----\n 【재기】이 턴에 당신이 원심을 갖는 카드를 사용하고, 이 카드를 사용하지 않았다.', textKo: 'Distance (3)→ Your Flare\n\nResurgence: You played a card with Centrifuge this turn, and this card was not played this turn.', textKoAdditional: 'Distance (3)→ Your Flare\n\nResurgence: You played a card with Centrifuge this turn, and this card was not played this turn.', textEn: 'Distance (3)→ Your Flare\n\nResurgence: You played a card with Centrifuge this turn, and this card was not played this turn.'},</x:v>
      </x:c>
      <x:c r="AU128" t="str">
        <x:f>IF($A128&lt;&gt;"", "    /** 《"&amp;$E128&amp;"》 */ export const "&amp;SUBSTITUTE(UPPER(IF(MID($A128, 3, 1)="-", RIGHT($A128,LEN($A128)-3), $A128)), "-", "_")&amp;": TCardId = '"&amp;$A128&amp;"';", "")</x:f>
        <x:v>    /** 《大重力アトラクト》 */ export const HAGANE_O_S_3: TCardId = '08-hagane-o-s-3';</x:v>
      </x:c>
      <x:c r="AV128" t="str">
        <x:f>IF($A129&lt;&gt;"", "    | '"&amp;$A129&amp;"'", "")</x:f>
        <x:v>    | '08-hagane-o-s-4'</x:v>
      </x:c>
    </x:row>
    <x:row r="129" ht="83" customHeight="1">
      <x:c r="A129" t="str">
        <x:v>08-hagane-o-s-4</x:v>
      </x:c>
      <x:c r="B129" t="str">
        <x:v>hagane</x:v>
      </x:c>
      <x:c r="C129"/>
      <x:c r="D129"/>
      <x:c r="E129" t="str">
        <x:v>大山脈リスペクト</x:v>
      </x:c>
      <x:c r="F129" t="str">
        <x:v>だいさんみゃくリスペクト</x:v>
      </x:c>
      <x:c r="G129" t="str">
        <x:v>大山脉RESPECT</x:v>
      </x:c>
      <x:c r="H129" t="str">
        <x:v>大山脉·转限</x:v>
      </x:c>
      <x:c r="I129"/>
      <x:c r="J129" t="str">
        <x:v>대산맥 리스펙트</x:v>
      </x:c>
      <x:c r="K129" t="str">
        <x:v>Grand Sierra Respect</x:v>
      </x:c>
      <x:c r="L129"/>
      <x:c r="M129" t="str">
        <x:v>切札</x:v>
      </x:c>
      <x:c r="N129"/>
      <x:c r="O129"/>
      <x:c r="P129"/>
      <x:c r="Q129"/>
      <x:c r="R129" t="str">
        <x:v>行動</x:v>
      </x:c>
      <x:c r="S129"/>
      <x:c r="T129"/>
      <x:c r="U129"/>
      <x:c r="V129"/>
      <x:c r="W129"/>
      <x:c r="X129"/>
      <x:c r="Y129"/>
      <x:c r="Z129" t="n">
        <x:v>3</x:v>
      </x:c>
      <x:c r="AA129"/>
      <x:c r="AB129"/>
      <x:c r="AC129"/>
      <x:c r="AD129"/>
      <x:c r="AE129" s="438" t="str">
        <x:v>遠心
以下を2回まで選ぶ。同じものを複数回選んでもよい。
・あなたの山札を全て捨て札にする。
・あなたの捨て札にある《全力》でないカードを1枚選び、それを使用する。この方法で使用した《付与》でないカードが捨て札になるならば、代わりに伏せ札にする。</x:v>
      </x:c>
      <x:c r="AF129" s="438"/>
      <x:c r="AG129" s="499" t="str">
        <x:v>远心
选择进行以下效果最多2次，相同效果可重复选择：
●弃掉你的全部牌库。
●选择并使用你弃牌中非《全力》的一张牌。以此法使用的非《付于》的牌若将置入弃牌，改为盖伏。</x:v>
      </x:c>
      <x:c r="AH129" s="438"/>
      <x:c r="AI129" s="438"/>
      <x:c r="AJ129" s="438"/>
      <x:c r="AK129" s="499" t="str">
        <x:v>원심
아래에서 2번까지 선택한다. 같은 것을 여러번 선택해도 된다.
・당신의 패산을 전부 버림패로 만든다.
・당신의 버림패에 있는 《전력》이 아닌 카드를 선택해 사용한다. 이 방법으로 사용한 부여가 아닌 카드가 버림패가 된다면, 대신 덮음패로 만든다.</x:v>
      </x:c>
      <x:c r="AL129" s="438"/>
      <x:c r="AM129" s="438"/>
      <x:c r="AN129" s="438"/>
      <x:c r="AO129" s="438"/>
      <x:c r="AP129" s="438"/>
      <x:c r="AQ129" s="438"/>
      <x:c r="AR129" s="438"/>
      <x:c r="AS129" s="438"/>
      <x:c r="AT129" t="str">
        <x:f>IF(A129="", "","'"&amp;A129&amp;"': {megami: '"&amp;B129&amp;"'"&amp;IF(C129&lt;&gt;"",", anotherID: '"&amp;C129&amp;"', replace: '"&amp;D129&amp;"'","")&amp;", name: '"&amp;SUBSTITUTE(E129,"'","\'")&amp;"', nameEn: '"&amp;SUBSTITUTE(K129,"'","\'")&amp;"', nameZh: '"&amp;SUBSTITUTE(G129,"'","\'")&amp;"', nameZhG128: '"&amp;SUBSTITUTE(H129,"'","\'")&amp;"', nameKo: '"&amp;SUBSTITUTE(J129,"'","\'")&amp;"', ruby: '"&amp;F129&amp;"', rubyEn: '"&amp;L129&amp;IF(I129&lt;&gt;"", "', rubyZh: '"&amp;I129, "")&amp;"', baseType: '"&amp;IF(M129="通常札","normal",IF(M129="切札","special",IF(M129="追加札","extra",IF(M129="transform","transform",IF(M129="嵐","storm",IF(M129="兵員","troop",IF(M129="構想","plan",IF(M129="メインパーツ","mainParts",IF(M129="カスタムパーツ","customParts",IF(M129="運命","fate",IF(M129="仮想樹","virtualTree","")))))))))))&amp;"'"&amp;IF(N129="○",", extra: true","")&amp;IF(O129&lt;&gt;"",", extraFrom: '"&amp;O129&amp;"'","")&amp;IF(P129&lt;&gt;"",", exchangableTo: '"&amp;P129&amp;"'","")&amp;IF(Q129="○",", poison: true","")&amp;IF(R129&lt;&gt;"", ", type: '"&amp;IF(R129="攻撃","attack",IF(R129="行動","action",IF(R129="不定","variable",IF(R129="対応","reaction",IF(R129="全力","fullpower",IF(R129="付与","enhance",IF(R129="transform","transform","")))))))&amp;"'", "")&amp;IF(S129&lt;&gt;"",", subType: '"&amp;IF(S129="攻撃","attack",IF(S129="行動","action",IF(S129="不定","variable",IF(S129="対応","reaction",IF(S129="全力","fullpower",IF(S129="付与","enhance",IF(S129="transform","transform","")))))))&amp;"'","")&amp;""&amp;IF(T129&lt;&gt;"",", range: '"&amp;T129&amp;"'","")&amp;IF(V129&lt;&gt;"",", damage: '"&amp;V129&amp;"'","")&amp;IF(X129&lt;&gt;"",", capacity: '"&amp;X129&amp;"'","")&amp;IF(Y129&lt;&gt;"",", growth: "&amp;Y129&amp;"","")&amp;IF(Z129&lt;&gt;"",", cost: '"&amp;Z129&amp;"'","")&amp;", text: '"&amp;SUBSTITUTE(SUBSTITUTE(AE129, CHAR(13), ""),CHAR(10),"\n")&amp;IF(AF129&lt;&gt;"", "', textAdditional: '"&amp;SUBSTITUTE(SUBSTITUTE(AF129, CHAR(13), ""),CHAR(10),"\n"), "")&amp;"', textZh: '"&amp;SUBSTITUTE(SUBSTITUTE(SUBSTITUTE(AG129, CHAR(13), ""),CHAR(10),"\n"),"'","\'")&amp;"', textZhG128: '"&amp;SUBSTITUTE(SUBSTITUTE(SUBSTITUTE(AI129, CHAR(13), ""),CHAR(10),"\n"),"'","\'")&amp;IF(AH129&lt;&gt;"", "', textZhAdditional: '"&amp;SUBSTITUTE(SUBSTITUTE(AH129, CHAR(13), ""),CHAR(10),"\n"), "")&amp;IF(AK129&lt;&gt;"", "', textZhG128Additional: '"&amp;SUBSTITUTE(SUBSTITUTE(AK129, CHAR(13), ""),CHAR(10),"\n"), "")&amp;"', textKo: '"&amp;SUBSTITUTE(SUBSTITUTE(SUBSTITUTE(AM129, CHAR(13), ""),CHAR(10),"\n"),"'","\'")&amp;IF(AM129&lt;&gt;"", "', textKoAdditional: '"&amp;SUBSTITUTE(SUBSTITUTE(AM129, CHAR(13), ""),CHAR(10),"\n"), "")&amp;"', textEn: '"&amp;SUBSTITUTE(SUBSTITUTE(SUBSTITUTE(AM129, CHAR(13), ""),CHAR(10),"\n"),"'","\'")&amp;IF(AN129&lt;&gt;"", "', textEnAdditional: '"&amp;SUBSTITUTE(SUBSTITUTE(AN129, CHAR(13), ""),CHAR(10),"\n"), "")&amp;"'"&amp;IF(AB129="○",", sealable: true","")&amp;IF(AC129="○",", removable: true","")&amp;IF(AA129="○",", lie: true","")&amp;IF(AD129="○",", investable: true","")&amp;"},")</x:f>
        <x:v>'08-hagane-o-s-4': {megami: 'hagane', name: '大山脈リスペクト', nameEn: 'Grand Sierra Respect', nameZh: '大山脉RESPECT', nameZhG128: '大山脉·转限', nameKo: '대산맥 리스펙트', ruby: 'だいさんみゃくリスペクト', rubyEn: '', baseType: 'special', type: 'action', cost: '3', text: '遠心\n以下を2回まで選ぶ。同じものを複数回選んでもよい。\n・あなたの山札を全て捨て札にする。\n・あなたの捨て札にある《全力》でないカードを1枚選び、それを使用する。この方法で使用した《付与》でないカードが捨て札になるならば、代わりに伏せ札にする。', textZh: '远心\n选择进行以下效果最多2次，相同效果可重复选择：\n●弃掉你的全部牌库。\n●选择并使用你弃牌中非《全力》的一张牌。以此法使用的非《付于》的牌若将置入弃牌，改为盖伏。', textZhG128: '', textZhG128Additional: '원심\n아래에서 2번까지 선택한다. 같은 것을 여러번 선택해도 된다.\n・당신의 패산을 전부 버림패로 만든다.\n・당신의 버림패에 있는 《전력》이 아닌 카드를 선택해 사용한다. 이 방법으로 사용한 부여가 아닌 카드가 버림패가 된다면, 대신 덮음패로 만든다.', textKo: '', textEn: ''},</x:v>
      </x:c>
      <x:c r="AU129" t="str">
        <x:f>IF($A129&lt;&gt;"", "    /** 《"&amp;$E129&amp;"》 */ export const "&amp;SUBSTITUTE(UPPER(IF(MID($A129, 3, 1)="-", RIGHT($A129,LEN($A129)-3), $A129)), "-", "_")&amp;": TCardId = '"&amp;$A129&amp;"';", "")</x:f>
        <x:v>    /** 《大山脈リスペクト》 */ export const HAGANE_O_S_4: TCardId = '08-hagane-o-s-4';</x:v>
      </x:c>
      <x:c r="AV129" t="str">
        <x:f>IF($A130&lt;&gt;"", "    | '"&amp;$A130&amp;"'", "")</x:f>
        <x:v>    | '08-hagane-A1-n-1'</x:v>
      </x:c>
    </x:row>
    <x:row r="130" ht="53" customHeight="1">
      <x:c r="A130" t="str">
        <x:v>08-hagane-A1-n-1</x:v>
      </x:c>
      <x:c r="B130" t="str">
        <x:v>hagane</x:v>
      </x:c>
      <x:c r="C130" t="str">
        <x:v>A1</x:v>
      </x:c>
      <x:c r="D130" t="str">
        <x:v>08-hagane-o-n-1</x:v>
      </x:c>
      <x:c r="E130" t="str">
        <x:v>炉火</x:v>
      </x:c>
      <x:c r="F130" t="str">
        <x:v>ろび</x:v>
      </x:c>
      <x:c r="G130" t="str">
        <x:v>炉火</x:v>
      </x:c>
      <x:c r="H130" t="str">
        <x:v>炉火</x:v>
      </x:c>
      <x:c r="I130"/>
      <x:c r="J130" t="str">
        <x:v>화롯불</x:v>
      </x:c>
      <x:c r="K130" t="str">
        <x:v>Hearthfire</x:v>
      </x:c>
      <x:c r="L130"/>
      <x:c r="M130" t="str">
        <x:v>通常札</x:v>
      </x:c>
      <x:c r="N130"/>
      <x:c r="O130"/>
      <x:c r="P130"/>
      <x:c r="Q130"/>
      <x:c r="R130" t="str">
        <x:v>行動</x:v>
      </x:c>
      <x:c r="S130"/>
      <x:c r="T130"/>
      <x:c r="U130"/>
      <x:c r="V130"/>
      <x:c r="W130"/>
      <x:c r="X130"/>
      <x:c r="Y130"/>
      <x:c r="Z130"/>
      <x:c r="AA130"/>
      <x:c r="AB130"/>
      <x:c r="AC130"/>
      <x:c r="AD130"/>
      <x:c r="AE130" s="438" t="str">
        <x:v>現在の間合が3以上ならば、間合→自フレア：1 間合→相フレア：1</x:v>
      </x:c>
      <x:c r="AF130" s="438"/>
      <x:c r="AG130" s="499" t="str">
        <x:v>若当前距离大于等于3，则：
距→1→自气
距→1→敌气</x:v>
      </x:c>
      <x:c r="AH130" s="438"/>
      <x:c r="AI130" s="499" t="str">
        <x:v>若当前距离大于等于3，则
距（1）→自气
距（1）→敌气</x:v>
      </x:c>
      <x:c r="AJ130" s="438"/>
      <x:c r="AK130" s="499" t="str">
        <x:v>현재 간격이 3 이상이라면,
간격 → 자신 플레어: 1
간격 → 상대 플레어: 1</x:v>
      </x:c>
      <x:c r="AL130" s="438"/>
      <x:c r="AM130" s="499" t="str">
        <x:v>If the current Distance is 3 or more:
Distance (1)→ Your Flare
Distance (1)→ Opponent's Flare</x:v>
      </x:c>
      <x:c r="AN130" s="438"/>
      <x:c r="AO130" s="438"/>
      <x:c r="AP130" s="438"/>
      <x:c r="AQ130" s="438"/>
      <x:c r="AR130" s="438"/>
      <x:c r="AS130" s="438"/>
      <x:c r="AT130" t="str">
        <x:f>IF(A130="", "","'"&amp;A130&amp;"': {megami: '"&amp;B130&amp;"'"&amp;IF(C130&lt;&gt;"",", anotherID: '"&amp;C130&amp;"', replace: '"&amp;D130&amp;"'","")&amp;", name: '"&amp;SUBSTITUTE(E130,"'","\'")&amp;"', nameEn: '"&amp;SUBSTITUTE(K130,"'","\'")&amp;"', nameZh: '"&amp;SUBSTITUTE(G130,"'","\'")&amp;"', nameZhG129: '"&amp;SUBSTITUTE(H130,"'","\'")&amp;"', nameKo: '"&amp;SUBSTITUTE(J130,"'","\'")&amp;"', ruby: '"&amp;F130&amp;"', rubyEn: '"&amp;L130&amp;IF(I130&lt;&gt;"", "', rubyZh: '"&amp;I130, "")&amp;"', baseType: '"&amp;IF(M130="通常札","normal",IF(M130="切札","special",IF(M130="追加札","extra",IF(M130="transform","transform",IF(M130="嵐","storm",IF(M130="兵員","troop",IF(M130="構想","plan",IF(M130="メインパーツ","mainParts",IF(M130="カスタムパーツ","customParts",IF(M130="運命","fate",IF(M130="仮想樹","virtualTree","")))))))))))&amp;"'"&amp;IF(N130="○",", extra: true","")&amp;IF(O130&lt;&gt;"",", extraFrom: '"&amp;O130&amp;"'","")&amp;IF(P130&lt;&gt;"",", exchangableTo: '"&amp;P130&amp;"'","")&amp;IF(Q130="○",", poison: true","")&amp;IF(R130&lt;&gt;"", ", type: '"&amp;IF(R130="攻撃","attack",IF(R130="行動","action",IF(R130="不定","variable",IF(R130="対応","reaction",IF(R130="全力","fullpower",IF(R130="付与","enhance",IF(R130="transform","transform","")))))))&amp;"'", "")&amp;IF(S130&lt;&gt;"",", subType: '"&amp;IF(S130="攻撃","attack",IF(S130="行動","action",IF(S130="不定","variable",IF(S130="対応","reaction",IF(S130="全力","fullpower",IF(S130="付与","enhance",IF(S130="transform","transform","")))))))&amp;"'","")&amp;""&amp;IF(T130&lt;&gt;"",", range: '"&amp;T130&amp;"'","")&amp;IF(V130&lt;&gt;"",", damage: '"&amp;V130&amp;"'","")&amp;IF(X130&lt;&gt;"",", capacity: '"&amp;X130&amp;"'","")&amp;IF(Y130&lt;&gt;"",", growth: "&amp;Y130&amp;"","")&amp;IF(Z130&lt;&gt;"",", cost: '"&amp;Z130&amp;"'","")&amp;", text: '"&amp;SUBSTITUTE(SUBSTITUTE(AE130, CHAR(13), ""),CHAR(10),"\n")&amp;IF(AF130&lt;&gt;"", "', textAdditional: '"&amp;SUBSTITUTE(SUBSTITUTE(AF130, CHAR(13), ""),CHAR(10),"\n"), "")&amp;"', textZh: '"&amp;SUBSTITUTE(SUBSTITUTE(SUBSTITUTE(AG130, CHAR(13), ""),CHAR(10),"\n"),"'","\'")&amp;"', textZhG129: '"&amp;SUBSTITUTE(SUBSTITUTE(SUBSTITUTE(AI130, CHAR(13), ""),CHAR(10),"\n"),"'","\'")&amp;IF(AH130&lt;&gt;"", "', textZhAdditional: '"&amp;SUBSTITUTE(SUBSTITUTE(AH130, CHAR(13), ""),CHAR(10),"\n"), "")&amp;IF(AK130&lt;&gt;"", "', textZhG129Additional: '"&amp;SUBSTITUTE(SUBSTITUTE(AK130, CHAR(13), ""),CHAR(10),"\n"), "")&amp;"', textKo: '"&amp;SUBSTITUTE(SUBSTITUTE(SUBSTITUTE(AM130, CHAR(13), ""),CHAR(10),"\n"),"'","\'")&amp;IF(AM130&lt;&gt;"", "', textKoAdditional: '"&amp;SUBSTITUTE(SUBSTITUTE(AM130, CHAR(13), ""),CHAR(10),"\n"), "")&amp;"', textEn: '"&amp;SUBSTITUTE(SUBSTITUTE(SUBSTITUTE(AM130, CHAR(13), ""),CHAR(10),"\n"),"'","\'")&amp;IF(AN130&lt;&gt;"", "', textEnAdditional: '"&amp;SUBSTITUTE(SUBSTITUTE(AN130, CHAR(13), ""),CHAR(10),"\n"), "")&amp;"'"&amp;IF(AB130="○",", sealable: true","")&amp;IF(AC130="○",", removable: true","")&amp;IF(AA130="○",", lie: true","")&amp;IF(AD130="○",", investable: true","")&amp;"},")</x:f>
        <x:v>'08-hagane-A1-n-1': {megami: 'hagane', anotherID: 'A1', replace: '08-hagane-o-n-1', name: '炉火', nameEn: 'Hearthfire', nameZh: '炉火', nameZhG129: '炉火', nameKo: '화롯불', ruby: 'ろび', rubyEn: '', baseType: 'normal', type: 'action', text: '現在の間合が3以上ならば、間合→自フレア：1 間合→相フレア：1', textZh: '若当前距离大于等于3，则：\n距→1→自气\n距→1→敌气', textZhG129: '若当前距离大于等于3，则\n距（1）→自气\n距（1）→敌气', textZhG129Additional: '현재 간격이 3 이상이라면,\n간격 → 자신 플레어: 1\n간격 → 상대 플레어: 1', textKo: 'If the current Distance is 3 or more:\nDistance (1)→ Your Flare\nDistance (1)→ Opponent\'s Flare', textKoAdditional: 'If the current Distance is 3 or more:\nDistance (1)→ Your Flare\nDistance (1)→ Opponent's Flare', textEn: 'If the current Distance is 3 or more:\nDistance (1)→ Your Flare\nDistance (1)→ Opponent\'s Flare'},</x:v>
      </x:c>
      <x:c r="AU130" t="str">
        <x:f>IF($A130&lt;&gt;"", "    /** 《"&amp;$E130&amp;"》 */ export const "&amp;SUBSTITUTE(UPPER(IF(MID($A130, 3, 1)="-", RIGHT($A130,LEN($A130)-3), $A130)), "-", "_")&amp;": TCardId = '"&amp;$A130&amp;"';", "")</x:f>
        <x:v>    /** 《炉火》 */ export const HAGANE_A1_N_1: TCardId = '08-hagane-A1-n-1';</x:v>
      </x:c>
      <x:c r="AV130" t="str">
        <x:f>IF($A131&lt;&gt;"", "    | '"&amp;$A131&amp;"'", "")</x:f>
        <x:v>    | '08-hagane-A1-n-7'</x:v>
      </x:c>
    </x:row>
    <x:row r="131" ht="53" customHeight="1">
      <x:c r="A131" t="str">
        <x:v>08-hagane-A1-n-7</x:v>
      </x:c>
      <x:c r="B131" t="str">
        <x:v>hagane</x:v>
      </x:c>
      <x:c r="C131" t="str">
        <x:v>A1</x:v>
      </x:c>
      <x:c r="D131" t="str">
        <x:v>08-hagane-o-n-7</x:v>
      </x:c>
      <x:c r="E131" t="str">
        <x:v>旋回起</x:v>
      </x:c>
      <x:c r="F131" t="str">
        <x:v>せんかいき</x:v>
      </x:c>
      <x:c r="G131" t="str">
        <x:v>旋回起</x:v>
      </x:c>
      <x:c r="H131" t="str">
        <x:v>旋回起</x:v>
      </x:c>
      <x:c r="I131"/>
      <x:c r="J131" t="str">
        <x:v>선회기</x:v>
      </x:c>
      <x:c r="K131" t="str">
        <x:v>Whirling Ascent</x:v>
      </x:c>
      <x:c r="L131"/>
      <x:c r="M131" t="str">
        <x:v>通常札</x:v>
      </x:c>
      <x:c r="N131"/>
      <x:c r="O131"/>
      <x:c r="P131"/>
      <x:c r="Q131"/>
      <x:c r="R131" t="str">
        <x:v>行動</x:v>
      </x:c>
      <x:c r="S131"/>
      <x:c r="T131"/>
      <x:c r="U131"/>
      <x:c r="V131"/>
      <x:c r="W131"/>
      <x:c r="X131"/>
      <x:c r="Y131"/>
      <x:c r="Z131"/>
      <x:c r="AA131"/>
      <x:c r="AB131"/>
      <x:c r="AC131"/>
      <x:c r="AD131"/>
      <x:c r="AE131" s="438" t="str">
        <x:v>現在の間合がターン開始時の間合から2以上変化しているならば、カードを1枚引き、あなたは集中力を1得る。</x:v>
      </x:c>
      <x:c r="AF131" s="438"/>
      <x:c r="AG131" s="499" t="str">
        <x:v>若当前距离与本回合开始时距离比相差2或者以上，则抓1张牌且你获得1点集中力。</x:v>
      </x:c>
      <x:c r="AH131" s="438"/>
      <x:c r="AI131" s="499" t="str">
        <x:v>若当前距离与本回合开始时距离之差的绝对值大于等于2，则你抓1张牌并获得1点集中力。</x:v>
      </x:c>
      <x:c r="AJ131" s="438"/>
      <x:c r="AK131" s="499" t="str">
        <x:v>현재 간격이 턴 시작시 간격에서 2 이상 변화했다면, 카드를 1장 뽑고, 당신은 집중력을 1 얻는다.</x:v>
      </x:c>
      <x:c r="AL131" s="438"/>
      <x:c r="AM131" s="499" t="str">
        <x:v>If the difference between the current Distance and the Distance at the beginning of this turn is 2 or more, draw a card and gain 1 Vigor.</x:v>
      </x:c>
      <x:c r="AN131" s="438"/>
      <x:c r="AO131" s="438"/>
      <x:c r="AP131" s="438"/>
      <x:c r="AQ131" s="438"/>
      <x:c r="AR131" s="438"/>
      <x:c r="AS131" s="438"/>
      <x:c r="AT131" t="str">
        <x:f>IF(A131="", "","'"&amp;A131&amp;"': {megami: '"&amp;B131&amp;"'"&amp;IF(C131&lt;&gt;"",", anotherID: '"&amp;C131&amp;"', replace: '"&amp;D131&amp;"'","")&amp;", name: '"&amp;SUBSTITUTE(E131,"'","\'")&amp;"', nameEn: '"&amp;SUBSTITUTE(K131,"'","\'")&amp;"', nameZh: '"&amp;SUBSTITUTE(G131,"'","\'")&amp;"', nameZhG130: '"&amp;SUBSTITUTE(H131,"'","\'")&amp;"', nameKo: '"&amp;SUBSTITUTE(J131,"'","\'")&amp;"', ruby: '"&amp;F131&amp;"', rubyEn: '"&amp;L131&amp;IF(I131&lt;&gt;"", "', rubyZh: '"&amp;I131, "")&amp;"', baseType: '"&amp;IF(M131="通常札","normal",IF(M131="切札","special",IF(M131="追加札","extra",IF(M131="transform","transform",IF(M131="嵐","storm",IF(M131="兵員","troop",IF(M131="構想","plan",IF(M131="メインパーツ","mainParts",IF(M131="カスタムパーツ","customParts",IF(M131="運命","fate",IF(M131="仮想樹","virtualTree","")))))))))))&amp;"'"&amp;IF(N131="○",", extra: true","")&amp;IF(O131&lt;&gt;"",", extraFrom: '"&amp;O131&amp;"'","")&amp;IF(P131&lt;&gt;"",", exchangableTo: '"&amp;P131&amp;"'","")&amp;IF(Q131="○",", poison: true","")&amp;IF(R131&lt;&gt;"", ", type: '"&amp;IF(R131="攻撃","attack",IF(R131="行動","action",IF(R131="不定","variable",IF(R131="対応","reaction",IF(R131="全力","fullpower",IF(R131="付与","enhance",IF(R131="transform","transform","")))))))&amp;"'", "")&amp;IF(S131&lt;&gt;"",", subType: '"&amp;IF(S131="攻撃","attack",IF(S131="行動","action",IF(S131="不定","variable",IF(S131="対応","reaction",IF(S131="全力","fullpower",IF(S131="付与","enhance",IF(S131="transform","transform","")))))))&amp;"'","")&amp;""&amp;IF(T131&lt;&gt;"",", range: '"&amp;T131&amp;"'","")&amp;IF(V131&lt;&gt;"",", damage: '"&amp;V131&amp;"'","")&amp;IF(X131&lt;&gt;"",", capacity: '"&amp;X131&amp;"'","")&amp;IF(Y131&lt;&gt;"",", growth: "&amp;Y131&amp;"","")&amp;IF(Z131&lt;&gt;"",", cost: '"&amp;Z131&amp;"'","")&amp;", text: '"&amp;SUBSTITUTE(SUBSTITUTE(AE131, CHAR(13), ""),CHAR(10),"\n")&amp;IF(AF131&lt;&gt;"", "', textAdditional: '"&amp;SUBSTITUTE(SUBSTITUTE(AF131, CHAR(13), ""),CHAR(10),"\n"), "")&amp;"', textZh: '"&amp;SUBSTITUTE(SUBSTITUTE(SUBSTITUTE(AG131, CHAR(13), ""),CHAR(10),"\n"),"'","\'")&amp;"', textZhG130: '"&amp;SUBSTITUTE(SUBSTITUTE(SUBSTITUTE(AI131, CHAR(13), ""),CHAR(10),"\n"),"'","\'")&amp;IF(AH131&lt;&gt;"", "', textZhAdditional: '"&amp;SUBSTITUTE(SUBSTITUTE(AH131, CHAR(13), ""),CHAR(10),"\n"), "")&amp;IF(AK131&lt;&gt;"", "', textZhG130Additional: '"&amp;SUBSTITUTE(SUBSTITUTE(AK131, CHAR(13), ""),CHAR(10),"\n"), "")&amp;"', textKo: '"&amp;SUBSTITUTE(SUBSTITUTE(SUBSTITUTE(AM131, CHAR(13), ""),CHAR(10),"\n"),"'","\'")&amp;IF(AM131&lt;&gt;"", "', textKoAdditional: '"&amp;SUBSTITUTE(SUBSTITUTE(AM131, CHAR(13), ""),CHAR(10),"\n"), "")&amp;"', textEn: '"&amp;SUBSTITUTE(SUBSTITUTE(SUBSTITUTE(AM131, CHAR(13), ""),CHAR(10),"\n"),"'","\'")&amp;IF(AN131&lt;&gt;"", "', textEnAdditional: '"&amp;SUBSTITUTE(SUBSTITUTE(AN131, CHAR(13), ""),CHAR(10),"\n"), "")&amp;"'"&amp;IF(AB131="○",", sealable: true","")&amp;IF(AC131="○",", removable: true","")&amp;IF(AA131="○",", lie: true","")&amp;IF(AD131="○",", investable: true","")&amp;"},")</x:f>
        <x:v>'08-hagane-A1-n-7': {megami: 'hagane', anotherID: 'A1', replace: '08-hagane-o-n-7', name: '旋回起', nameEn: 'Whirling Ascent', nameZh: '旋回起', nameZhG130: '旋回起', nameKo: '선회기', ruby: 'せんかいき', rubyEn: '', baseType: 'normal', type: 'action', text: '現在の間合がターン開始時の間合から2以上変化しているならば、カードを1枚引き、あなたは集中力を1得る。', textZh: '若当前距离与本回合开始时距离比相差2或者以上，则抓1张牌且你获得1点集中力。', textZhG130: '若当前距离与本回合开始时距离之差的绝对值大于等于2，则你抓1张牌并获得1点集中力。', textZhG130Additional: '현재 간격이 턴 시작시 간격에서 2 이상 변화했다면, 카드를 1장 뽑고, 당신은 집중력을 1 얻는다.', textKo: 'If the difference between the current Distance and the Distance at the beginning of this turn is 2 or more, draw a card and gain 1 Vigor.', textKoAdditional: 'If the difference between the current Distance and the Distance at the beginning of this turn is 2 or more, draw a card and gain 1 Vigor.', textEn: 'If the difference between the current Distance and the Distance at the beginning of this turn is 2 or more, draw a card and gain 1 Vigor.'},</x:v>
      </x:c>
      <x:c r="AU131" t="str">
        <x:f>IF($A131&lt;&gt;"", "    /** 《"&amp;$E131&amp;"》 */ export const "&amp;SUBSTITUTE(UPPER(IF(MID($A131, 3, 1)="-", RIGHT($A131,LEN($A131)-3), $A131)), "-", "_")&amp;": TCardId = '"&amp;$A131&amp;"';", "")</x:f>
        <x:v>    /** 《旋回起》 */ export const HAGANE_A1_N_7: TCardId = '08-hagane-A1-n-7';</x:v>
      </x:c>
      <x:c r="AV131" t="str">
        <x:f>IF($A132&lt;&gt;"", "    | '"&amp;$A132&amp;"'", "")</x:f>
        <x:v>    | '08-hagane-A1-s-1'</x:v>
      </x:c>
    </x:row>
    <x:row r="132" ht="173" customHeight="1">
      <x:c r="A132" t="str">
        <x:v>08-hagane-A1-s-1</x:v>
      </x:c>
      <x:c r="B132" t="str">
        <x:v>hagane</x:v>
      </x:c>
      <x:c r="C132" t="str">
        <x:v>A1</x:v>
      </x:c>
      <x:c r="D132" t="str">
        <x:v>08-hagane-o-s-1</x:v>
      </x:c>
      <x:c r="E132" t="str">
        <x:v>大錬成マテリアル</x:v>
      </x:c>
      <x:c r="F132" t="str">
        <x:v>だいれんせいマテリアル</x:v>
      </x:c>
      <x:c r="G132" t="str">
        <x:v>大炼成MATERIAL</x:v>
      </x:c>
      <x:c r="H132" t="str">
        <x:v>大炼成·原限</x:v>
      </x:c>
      <x:c r="I132"/>
      <x:c r="J132" t="str">
        <x:v>대연성 마테리얼</x:v>
      </x:c>
      <x:c r="K132" t="str">
        <x:v>Grand Refinement Material</x:v>
      </x:c>
      <x:c r="L132"/>
      <x:c r="M132" t="str">
        <x:v>切札</x:v>
      </x:c>
      <x:c r="N132"/>
      <x:c r="O132"/>
      <x:c r="P132"/>
      <x:c r="Q132"/>
      <x:c r="R132" t="str">
        <x:v>行動</x:v>
      </x:c>
      <x:c r="S132"/>
      <x:c r="T132"/>
      <x:c r="U132"/>
      <x:c r="V132"/>
      <x:c r="W132"/>
      <x:c r="X132"/>
      <x:c r="Y132"/>
      <x:c r="Z132" t="n">
        <x:v>1</x:v>
      </x:c>
      <x:c r="AA132"/>
      <x:c r="AB132"/>
      <x:c r="AC132"/>
      <x:c r="AD132"/>
      <x:c r="AE132" s="438" t="str">
        <x:v>終端
このカードがあなたのカードならば、以下の効果を解決する。
金床にカードがあるならばダストから金床に桜花結晶を1つ置く。金床にカードがないならば、手札から他のメガミの《攻撃》カードを1枚選び金床に置いてもよい。
あなたの追加札から「錬成攻撃」を山札の底に置く。
再起:このターンにあなたが「錬成攻撃」を使用している。</x:v>
      </x:c>
      <x:c r="AF132" s="438"/>
      <x:c r="AG132" s="499" t="str">
        <x:v>终端。
此牌是你的牌的话，结算下述效果。
铁砧上有牌的话将1个樱花结晶从虚放到铁砧上。铁砧上没有牌的话，你可以选手牌的一张其他女神的《攻击》牌并将其放置到铁砧上。
从追加牌区中将1张『炼成攻击』置于你的牌库底。
----
【再起】这个回合你使用了『炼成攻击』。</x:v>
      </x:c>
      <x:c r="AH132" s="438"/>
      <x:c r="AI132" s="499" t="str">
        <x:v>终端
若此牌为你的牌，则结算以下效果。
若铁砧中有牌，则将1个樱花结晶从虚移至铁砧上。若铁砧中没有牌，则你可以从手牌中选择1张其他女神的《攻击》牌置于铁砧中。
将1张『炼成攻击』从追加区移至你的牌库底。
----
【再起】本回合内你使用了『炼成攻击』。</x:v>
      </x:c>
      <x:c r="AJ132" s="438"/>
      <x:c r="AK132" s="499" t="str">
        <x:v>종단
이 카드가 당신의 카드라면 아래의 효과를 해결한다.
모루에 카드가 있다면, 더스트에서 벚꽃결정 1개를 모루에 놓는다. 모루에 카드가 없다면, 손패에서 다른 여신의 《공격》 카드를 1장 선택하여 모루에 놓을 수 있다.
당신의 추가패에서 「연성공격」을 1장 패산 아래에 넣는다.
【재기】이번 턴에 당신이 「연성공격」을 사용했다.</x:v>
      </x:c>
      <x:c r="AL132" s="438"/>
      <x:c r="AM132" s="499" t="str">
        <x:v>Terminal
If you own this card, resolve the following effects.
If there is a card on your Anvil, move 1 Sakura token from Shadow to your Anvil. If there is no card on your Anvil, you may choose a non-Hagane Attack card from your hand and put it there.
Put one of your set aside "Tempered Attack" on the bottom of your deck.
Resurgence: You played a "Tempered Attack" this turn.</x:v>
      </x:c>
      <x:c r="AN132" s="438"/>
      <x:c r="AO132" s="438"/>
      <x:c r="AP132" s="438"/>
      <x:c r="AQ132" s="438"/>
      <x:c r="AR132" s="438"/>
      <x:c r="AS132" s="438"/>
      <x:c r="AT132" t="str">
        <x:f>IF(A132="", "","'"&amp;A132&amp;"': {megami: '"&amp;B132&amp;"'"&amp;IF(C132&lt;&gt;"",", anotherID: '"&amp;C132&amp;"', replace: '"&amp;D132&amp;"'","")&amp;", name: '"&amp;SUBSTITUTE(E132,"'","\'")&amp;"', nameEn: '"&amp;SUBSTITUTE(K132,"'","\'")&amp;"', nameZh: '"&amp;SUBSTITUTE(G132,"'","\'")&amp;"', nameZhG131: '"&amp;SUBSTITUTE(H132,"'","\'")&amp;"', nameKo: '"&amp;SUBSTITUTE(J132,"'","\'")&amp;"', ruby: '"&amp;F132&amp;"', rubyEn: '"&amp;L132&amp;IF(I132&lt;&gt;"", "', rubyZh: '"&amp;I132, "")&amp;"', baseType: '"&amp;IF(M132="通常札","normal",IF(M132="切札","special",IF(M132="追加札","extra",IF(M132="transform","transform",IF(M132="嵐","storm",IF(M132="兵員","troop",IF(M132="構想","plan",IF(M132="メインパーツ","mainParts",IF(M132="カスタムパーツ","customParts",IF(M132="運命","fate",IF(M132="仮想樹","virtualTree","")))))))))))&amp;"'"&amp;IF(N132="○",", extra: true","")&amp;IF(O132&lt;&gt;"",", extraFrom: '"&amp;O132&amp;"'","")&amp;IF(P132&lt;&gt;"",", exchangableTo: '"&amp;P132&amp;"'","")&amp;IF(Q132="○",", poison: true","")&amp;IF(R132&lt;&gt;"", ", type: '"&amp;IF(R132="攻撃","attack",IF(R132="行動","action",IF(R132="不定","variable",IF(R132="対応","reaction",IF(R132="全力","fullpower",IF(R132="付与","enhance",IF(R132="transform","transform","")))))))&amp;"'", "")&amp;IF(S132&lt;&gt;"",", subType: '"&amp;IF(S132="攻撃","attack",IF(S132="行動","action",IF(S132="不定","variable",IF(S132="対応","reaction",IF(S132="全力","fullpower",IF(S132="付与","enhance",IF(S132="transform","transform","")))))))&amp;"'","")&amp;""&amp;IF(T132&lt;&gt;"",", range: '"&amp;T132&amp;"'","")&amp;IF(V132&lt;&gt;"",", damage: '"&amp;V132&amp;"'","")&amp;IF(X132&lt;&gt;"",", capacity: '"&amp;X132&amp;"'","")&amp;IF(Y132&lt;&gt;"",", growth: "&amp;Y132&amp;"","")&amp;IF(Z132&lt;&gt;"",", cost: '"&amp;Z132&amp;"'","")&amp;", text: '"&amp;SUBSTITUTE(SUBSTITUTE(AE132, CHAR(13), ""),CHAR(10),"\n")&amp;IF(AF132&lt;&gt;"", "', textAdditional: '"&amp;SUBSTITUTE(SUBSTITUTE(AF132, CHAR(13), ""),CHAR(10),"\n"), "")&amp;"', textZh: '"&amp;SUBSTITUTE(SUBSTITUTE(SUBSTITUTE(AG132, CHAR(13), ""),CHAR(10),"\n"),"'","\'")&amp;"', textZhG131: '"&amp;SUBSTITUTE(SUBSTITUTE(SUBSTITUTE(AI132, CHAR(13), ""),CHAR(10),"\n"),"'","\'")&amp;IF(AH132&lt;&gt;"", "', textZhAdditional: '"&amp;SUBSTITUTE(SUBSTITUTE(AH132, CHAR(13), ""),CHAR(10),"\n"), "")&amp;IF(AK132&lt;&gt;"", "', textZhG131Additional: '"&amp;SUBSTITUTE(SUBSTITUTE(AK132, CHAR(13), ""),CHAR(10),"\n"), "")&amp;"', textKo: '"&amp;SUBSTITUTE(SUBSTITUTE(SUBSTITUTE(AM132, CHAR(13), ""),CHAR(10),"\n"),"'","\'")&amp;IF(AM132&lt;&gt;"", "', textKoAdditional: '"&amp;SUBSTITUTE(SUBSTITUTE(AM132, CHAR(13), ""),CHAR(10),"\n"), "")&amp;"', textEn: '"&amp;SUBSTITUTE(SUBSTITUTE(SUBSTITUTE(AM132, CHAR(13), ""),CHAR(10),"\n"),"'","\'")&amp;IF(AN132&lt;&gt;"", "', textEnAdditional: '"&amp;SUBSTITUTE(SUBSTITUTE(AN132, CHAR(13), ""),CHAR(10),"\n"), "")&amp;"'"&amp;IF(AB132="○",", sealable: true","")&amp;IF(AC132="○",", removable: true","")&amp;IF(AA132="○",", lie: true","")&amp;IF(AD132="○",", investable: true","")&amp;"},")</x:f>
        <x:v>'08-hagane-A1-s-1': {megami: 'hagane', anotherID: 'A1', replace: '08-hagane-o-s-1', name: '大錬成マテリアル', nameEn: 'Grand Refinement Material', nameZh: '大炼成MATERIAL', nameZhG131: '大炼成·原限', nameKo: '대연성 마테리얼', ruby: 'だいれんせいマテリアル', rubyEn: '', baseType: 'special', type: 'action', cost: '1', text: '終端\nこのカードがあなたのカードならば、以下の効果を解決する。\n金床にカードがあるならばダストから金床に桜花結晶を1つ置く。金床にカードがないならば、手札から他のメガミの《攻撃》カードを1枚選び金床に置いてもよい。\nあなたの追加札から「錬成攻撃」を山札の底に置く。\n再起:このターンにあなたが「錬成攻撃」を使用している。', textZh: '终端。\n此牌是你的牌的话，结算下述效果。\n铁砧上有牌的话将1个樱花结晶从虚放到铁砧上。铁砧上没有牌的话，你可以选手牌的一张其他女神的《攻击》牌并将其放置到铁砧上。\n从追加牌区中将1张『炼成攻击』置于你的牌库底。\n----\n【再起】这个回合你使用了『炼成攻击』。', textZhG131: '终端\n若此牌为你的牌，则结算以下效果。\n若铁砧中有牌，则将1个樱花结晶从虚移至铁砧上。若铁砧中没有牌，则你可以从手牌中选择1张其他女神的《攻击》牌置于铁砧中。\n将1张『炼成攻击』从追加区移至你的牌库底。\n----\n【再起】本回合内你使用了『炼成攻击』。', textZhG131Additional: '종단\n이 카드가 당신의 카드라면 아래의 효과를 해결한다.\n모루에 카드가 있다면, 더스트에서 벚꽃결정 1개를 모루에 놓는다. 모루에 카드가 없다면, 손패에서 다른 여신의 《공격》 카드를 1장 선택하여 모루에 놓을 수 있다.\n당신의 추가패에서 「연성공격」을 1장 패산 아래에 넣는다.\n【재기】이번 턴에 당신이 「연성공격」을 사용했다.', textKo: 'Terminal\n\nIf you own this card, resolve the following effects.\nIf there is a card on your Anvil, move 1 Sakura token from Shadow to your Anvil. If there is no card on your Anvil, you may choose a non-Hagane Attack card from your hand and put it there.\nPut one of your set aside "Tempered Attack" on the bottom of your deck.\n\nResurgence: You played a "Tempered Attack" this turn.', textKoAdditional: 'Terminal\n\nIf you own this card, resolve the following effects.\nIf there is a card on your Anvil, move 1 Sakura token from Shadow to your Anvil. If there is no card on your Anvil, you may choose a non-Hagane Attack card from your hand and put it there.\nPut one of your set aside "Tempered Attack" on the bottom of your deck.\n\nResurgence: You played a "Tempered Attack" this turn.', textEn: 'Terminal\n\nIf you own this card, resolve the following effects.\nIf there is a card on your Anvil, move 1 Sakura token from Shadow to your Anvil. If there is no card on your Anvil, you may choose a non-Hagane Attack card from your hand and put it there.\nPut one of your set aside "Tempered Attack" on the bottom of your deck.\n\nResurgence: You played a "Tempered Attack" this turn.'},</x:v>
      </x:c>
      <x:c r="AU132" t="str">
        <x:f>IF($A132&lt;&gt;"", "    /** 《"&amp;$E132&amp;"》 */ export const "&amp;SUBSTITUTE(UPPER(IF(MID($A132, 3, 1)="-", RIGHT($A132,LEN($A132)-3), $A132)), "-", "_")&amp;": TCardId = '"&amp;$A132&amp;"';", "")</x:f>
        <x:v>    /** 《大錬成マテリアル》 */ export const HAGANE_A1_S_1: TCardId = '08-hagane-A1-s-1';</x:v>
      </x:c>
      <x:c r="AV132" t="str">
        <x:f>IF($A133&lt;&gt;"", "    | '"&amp;$A133&amp;"'", "")</x:f>
        <x:v>    | '08-hagane-A1-s-1-ex1'</x:v>
      </x:c>
    </x:row>
    <x:row r="133" ht="180" customHeight="1">
      <x:c r="A133" t="str">
        <x:v>08-hagane-A1-s-1-ex1</x:v>
      </x:c>
      <x:c r="B133" t="str">
        <x:v>hagane</x:v>
      </x:c>
      <x:c r="C133"/>
      <x:c r="D133"/>
      <x:c r="E133" t="str">
        <x:v>錬成攻撃</x:v>
      </x:c>
      <x:c r="F133" t="str">
        <x:v>れんせいこうげき</x:v>
      </x:c>
      <x:c r="G133" t="str">
        <x:v>炼成攻击</x:v>
      </x:c>
      <x:c r="H133" t="str">
        <x:v>炼成攻击</x:v>
      </x:c>
      <x:c r="I133"/>
      <x:c r="J133" t="str">
        <x:v>연성공격</x:v>
      </x:c>
      <x:c r="K133" t="str">
        <x:v>Tempered Attack</x:v>
      </x:c>
      <x:c r="L133"/>
      <x:c r="M133" t="str">
        <x:v>通常札</x:v>
      </x:c>
      <x:c r="N133" t="str">
        <x:v>○</x:v>
      </x:c>
      <x:c r="O133" t="str">
        <x:v>08-hagane-A1-s-1</x:v>
      </x:c>
      <x:c r="P133"/>
      <x:c r="Q133"/>
      <x:c r="R133" t="str">
        <x:v>不定</x:v>
      </x:c>
      <x:c r="S133" t="str">
        <x:v>不定</x:v>
      </x:c>
      <x:c r="T133"/>
      <x:c r="U133"/>
      <x:c r="V133"/>
      <x:c r="W133"/>
      <x:c r="X133"/>
      <x:c r="Y133"/>
      <x:c r="Z133"/>
      <x:c r="AA133"/>
      <x:c r="AB133"/>
      <x:c r="AC133"/>
      <x:c r="AD133"/>
      <x:c r="AE133" s="438" t="str">
        <x:v>【常時】このカードは名前、使用者とこの効果を除き金床にあるカードの複製になる。このカードは封印されず、手札にあるなら相手の効果で相手によって選ばれず、手札か伏せ札にないなら山札の再構成以外で山札や手札に戻らない。金床にある桜花結晶の個数に応じて以下の効果を得る。
0以上…+1/+0となり、距離拡大（遠1）を得る。
1以上…+0/+1となり、距離拡大（遠1）を得る。
2以上…+1/+1となり、距離拡大（遠1）を得て、打ち消されない。</x:v>
      </x:c>
      <x:c r="AF133" s="438"/>
      <x:c r="AG133" s="499" t="str">
        <x:v>【常时】此牌成为铁砧上的牌的复制但是保留名字、使用者以及这个效果。此牌在手牌中时无法被对手的效果选中；不在手牌或者盖牌的话就不能以再构成以外的方式返回手牌或者牌库。此牌无法被封印。根据铁砧上放置的樱花结晶的个数获得以下效果：
0或以上…得+1/+0、距离扩大(远1)。 
1或以上…得+1/+1、距离扩大(远1)。 
2或以上…得+1/+1、距离扩大(远1)、无法被打消。</x:v>
      </x:c>
      <x:c r="AH133" s="438"/>
      <x:c r="AI133" s="499" t="str">
        <x:v>【常时】此牌为铁砧上的牌之复制，但其名称、使用者与此效果保持不变。若此牌在手牌中，则此牌不可被对手的效果选择为目标。若此牌不在手牌与盖牌区中，则无法由重铸牌库以外的效果移至牌库或手牌。此牌不可被封印。根据铁砧上的樱花结晶的数目，获得以下效果：
0以上……+1/+0和距离扩大（远1）
1以上……+1/+1和距离扩大（远1）
2以上……+1/+1、距离扩大（远1）和不可被打消。</x:v>
      </x:c>
      <x:c r="AJ133" s="438"/>
      <x:c r="AK133" s="499" t="str">
        <x:v>【상시】 이 카드는 이름, 사용자와 이 효과를 제외한 모루에 있는 카드의 복제가 된다. 이 카드가 손패에 있다면, 상대의 효과로 선택할 수 없고, 손패 또는 덮은패에 있지 않다면 재구성 이외의 방법으로 패산이나 손패로 돌아가지 않는다. 이 카드는 봉인되지 않는다. 모루에 있는 벚꽃결정 개수에 따라 아래 효과를 얻는다.
0이상…+1/+0이 되고, 거리확대(원1)을 얻는다.
1이상…+1/+1이 되고, 거리확대(원1)을 얻는다.
2이상…+1/+1이 되고, 거리확대(원1)을 얻고, 무효화되지 않는다.</x:v>
      </x:c>
      <x:c r="AL133" s="438"/>
      <x:c r="AM133" s="499" t="str">
        <x:v>Forced: This copies the card on your Anvil, except its name, this effect, and its owning Megami. If the original effect referred to a "non-[Megami] Megami", this refers to a "non-Hagane Megami". This cannot be chosen by your opponent’s effects while it’s in your hand, If this is not in your hand or discard pile, it cannot be put into your hand or deck except by reshuffling. This cannot be sealed. Based on the number of Sakura tokens on your Anvil, this gains:
0 or more: +1/+0 and increased Range (far, 1)
1 or more: +1/+1 and increased Range (far, 1)
2 or more: +1/+1, increased Range (far, 1), and cannot be cancelled</x:v>
      </x:c>
      <x:c r="AN133" s="438"/>
      <x:c r="AO133" s="438"/>
      <x:c r="AP133" s="438"/>
      <x:c r="AQ133" s="438"/>
      <x:c r="AR133" s="438"/>
      <x:c r="AS133" s="438"/>
      <x:c r="AT133" t="str">
        <x:f>IF(A133="", "","'"&amp;A133&amp;"': {megami: '"&amp;B133&amp;"'"&amp;IF(C133&lt;&gt;"",", anotherID: '"&amp;C133&amp;"', replace: '"&amp;D133&amp;"'","")&amp;", name: '"&amp;SUBSTITUTE(E133,"'","\'")&amp;"', nameEn: '"&amp;SUBSTITUTE(K133,"'","\'")&amp;"', nameZh: '"&amp;SUBSTITUTE(G133,"'","\'")&amp;"', nameZhG132: '"&amp;SUBSTITUTE(H133,"'","\'")&amp;"', nameKo: '"&amp;SUBSTITUTE(J133,"'","\'")&amp;"', ruby: '"&amp;F133&amp;"', rubyEn: '"&amp;L133&amp;IF(I133&lt;&gt;"", "', rubyZh: '"&amp;I133, "")&amp;"', baseType: '"&amp;IF(M133="通常札","normal",IF(M133="切札","special",IF(M133="追加札","extra",IF(M133="transform","transform",IF(M133="嵐","storm",IF(M133="兵員","troop",IF(M133="構想","plan",IF(M133="メインパーツ","mainParts",IF(M133="カスタムパーツ","customParts",IF(M133="運命","fate",IF(M133="仮想樹","virtualTree","")))))))))))&amp;"'"&amp;IF(N133="○",", extra: true","")&amp;IF(O133&lt;&gt;"",", extraFrom: '"&amp;O133&amp;"'","")&amp;IF(P133&lt;&gt;"",", exchangableTo: '"&amp;P133&amp;"'","")&amp;IF(Q133="○",", poison: true","")&amp;IF(R133&lt;&gt;"", ", type: '"&amp;IF(R133="攻撃","attack",IF(R133="行動","action",IF(R133="不定","variable",IF(R133="対応","reaction",IF(R133="全力","fullpower",IF(R133="付与","enhance",IF(R133="transform","transform","")))))))&amp;"'", "")&amp;IF(S133&lt;&gt;"",", subType: '"&amp;IF(S133="攻撃","attack",IF(S133="行動","action",IF(S133="不定","variable",IF(S133="対応","reaction",IF(S133="全力","fullpower",IF(S133="付与","enhance",IF(S133="transform","transform","")))))))&amp;"'","")&amp;""&amp;IF(T133&lt;&gt;"",", range: '"&amp;T133&amp;"'","")&amp;IF(V133&lt;&gt;"",", damage: '"&amp;V133&amp;"'","")&amp;IF(X133&lt;&gt;"",", capacity: '"&amp;X133&amp;"'","")&amp;IF(Y133&lt;&gt;"",", growth: "&amp;Y133&amp;"","")&amp;IF(Z133&lt;&gt;"",", cost: '"&amp;Z133&amp;"'","")&amp;", text: '"&amp;SUBSTITUTE(SUBSTITUTE(AE133, CHAR(13), ""),CHAR(10),"\n")&amp;IF(AF133&lt;&gt;"", "', textAdditional: '"&amp;SUBSTITUTE(SUBSTITUTE(AF133, CHAR(13), ""),CHAR(10),"\n"), "")&amp;"', textZh: '"&amp;SUBSTITUTE(SUBSTITUTE(SUBSTITUTE(AG133, CHAR(13), ""),CHAR(10),"\n"),"'","\'")&amp;"', textZhG132: '"&amp;SUBSTITUTE(SUBSTITUTE(SUBSTITUTE(AI133, CHAR(13), ""),CHAR(10),"\n"),"'","\'")&amp;IF(AH133&lt;&gt;"", "', textZhAdditional: '"&amp;SUBSTITUTE(SUBSTITUTE(AH133, CHAR(13), ""),CHAR(10),"\n"), "")&amp;IF(AK133&lt;&gt;"", "', textZhG132Additional: '"&amp;SUBSTITUTE(SUBSTITUTE(AK133, CHAR(13), ""),CHAR(10),"\n"), "")&amp;"', textKo: '"&amp;SUBSTITUTE(SUBSTITUTE(SUBSTITUTE(AM133, CHAR(13), ""),CHAR(10),"\n"),"'","\'")&amp;IF(AM133&lt;&gt;"", "', textKoAdditional: '"&amp;SUBSTITUTE(SUBSTITUTE(AM133, CHAR(13), ""),CHAR(10),"\n"), "")&amp;"', textEn: '"&amp;SUBSTITUTE(SUBSTITUTE(SUBSTITUTE(AM133, CHAR(13), ""),CHAR(10),"\n"),"'","\'")&amp;IF(AN133&lt;&gt;"", "', textEnAdditional: '"&amp;SUBSTITUTE(SUBSTITUTE(AN133, CHAR(13), ""),CHAR(10),"\n"), "")&amp;"'"&amp;IF(AB133="○",", sealable: true","")&amp;IF(AC133="○",", removable: true","")&amp;IF(AA133="○",", lie: true","")&amp;IF(AD133="○",", investable: true","")&amp;"},")</x:f>
        <x:v>'08-hagane-A1-s-1-ex1': {megami: 'hagane', name: '錬成攻撃', nameEn: 'Tempered Attack', nameZh: '炼成攻击', nameZhG132: '炼成攻击', nameKo: '연성공격', ruby: 'れんせいこうげき', rubyEn: '', baseType: 'normal', extra: true, extraFrom: '08-hagane-A1-s-1', type: 'variable', subType: 'variable', text: '【常時】このカードは名前、使用者とこの効果を除き金床にあるカードの複製になる。このカードは封印されず、手札にあるなら相手の効果で相手によって選ばれず、手札か伏せ札にないなら山札の再構成以外で山札や手札に戻らない。金床にある桜花結晶の個数に応じて以下の効果を得る。\n0以上…+1/+0となり、距離拡大（遠1）を得る。\n1以上…+0/+1となり、距離拡大（遠1）を得る。\n2以上…+1/+1となり、距離拡大（遠1）を得て、打ち消されない。', textZh: '【常时】此牌成为铁砧上的牌的复制但是保留名字、使用者以及这个效果。此牌在手牌中时无法被对手的效果选中；不在手牌或者盖牌的话就不能以再构成以外的方式返回手牌或者牌库。此牌无法被封印。根据铁砧上放置的樱花结晶的个数获得以下效果：\n0或以上…得+1/+0、距离扩大(远1)。 \n1或以上…得+1/+1、距离扩大(远1)。 \n2或以上…得+1/+1、距离扩大(远1)、无法被打消。', textZhG132: '【常时】此牌为铁砧上的牌之复制，但其名称、使用者与此效果保持不变。若此牌在手牌中，则此牌不可被对手的效果选择为目标。若此牌不在手牌与盖牌区中，则无法由重铸牌库以外的效果移至牌库或手牌。此牌不可被封印。根据铁砧上的樱花结晶的数目，获得以下效果：\n0以上……+1/+0和距离扩大（远1）\n1以上……+1/+1和距离扩大（远1）\n2以上……+1/+1、距离扩大（远1）和不可被打消。', textZhG132Additional: '【상시】 이 카드는 이름, 사용자와 이 효과를 제외한 모루에 있는 카드의 복제가 된다. 이 카드가 손패에 있다면, 상대의 효과로 선택할 수 없고, 손패 또는 덮은패에 있지 않다면 재구성 이외의 방법으로 패산이나 손패로 돌아가지 않는다. 이 카드는 봉인되지 않는다. 모루에 있는 벚꽃결정 개수에 따라 아래 효과를 얻는다.\n0이상…+1/+0이 되고, 거리확대(원1)을 얻는다.\n1이상…+1/+1이 되고, 거리확대(원1)을 얻는다.\n2이상…+1/+1이 되고, 거리확대(원1)을 얻고, 무효화되지 않는다.', textKo: 'Forced: This copies the card on your Anvil, except its name, this effect, and its owning Megami. If the original effect referred to a "non-[Megami] Megami", this refers to a "non-Hagane Megami". This cannot be chosen by your opponent’s effects while it’s in your hand, If this is not in your hand or discard pile, it cannot be put into your hand or deck except by reshuffling. This cannot be sealed. Based on the number of Sakura tokens on your Anvil, this gains:\n0 or more: +1/+0 and increased Range (far, 1)\n1 or more: +1/+1 and increased Range (far, 1)\n2 or more: +1/+1, increased Range (far, 1), and cannot be cancelled', textKoAdditional: 'Forced: This copies the card on your Anvil, except its name, this effect, and its owning Megami. If the original effect referred to a "non-[Megami] Megami", this refers to a "non-Hagane Megami". This cannot be chosen by your opponent’s effects while it’s in your hand, If this is not in your hand or discard pile, it cannot be put into your hand or deck except by reshuffling. This cannot be sealed. Based on the number of Sakura tokens on your Anvil, this gains:\n0 or more: +1/+0 and increased Range (far, 1)\n1 or more: +1/+1 and increased Range (far, 1)\n2 or more: +1/+1, increased Range (far, 1), and cannot be cancelled', textEn: 'Forced: This copies the card on your Anvil, except its name, this effect, and its owning Megami. If the original effect referred to a "non-[Megami] Megami", this refers to a "non-Hagane Megami". This cannot be chosen by your opponent’s effects while it’s in your hand, If this is not in your hand or discard pile, it cannot be put into your hand or deck except by reshuffling. This cannot be sealed. Based on the number of Sakura tokens on your Anvil, this gains:\n0 or more: +1/+0 and increased Range (far, 1)\n1 or more: +1/+1 and increased Range (far, 1)\n2 or more: +1/+1, increased Range (far, 1), and cannot be cancelled'},</x:v>
      </x:c>
      <x:c r="AU133" t="str">
        <x:f>IF($A133&lt;&gt;"", "    /** 《"&amp;$E133&amp;"》 */ export const "&amp;SUBSTITUTE(UPPER(IF(MID($A133, 3, 1)="-", RIGHT($A133,LEN($A133)-3), $A133)), "-", "_")&amp;": TCardId = '"&amp;$A133&amp;"';", "")</x:f>
        <x:v>    /** 《錬成攻撃》 */ export const HAGANE_A1_S_1_EX1: TCardId = '08-hagane-A1-s-1-ex1';</x:v>
      </x:c>
      <x:c r="AV133" t="str">
        <x:f>IF($A134&lt;&gt;"", "    | '"&amp;$A134&amp;"'", "")</x:f>
        <x:v>    | '09-chikage-o-n-1'</x:v>
      </x:c>
    </x:row>
    <x:row r="134" ht="30" customHeight="1">
      <x:c r="A134" t="str">
        <x:v>09-chikage-o-n-1</x:v>
      </x:c>
      <x:c r="B134" t="str">
        <x:v>chikage</x:v>
      </x:c>
      <x:c r="C134"/>
      <x:c r="D134"/>
      <x:c r="E134" t="str">
        <x:v>飛苦無</x:v>
      </x:c>
      <x:c r="F134" t="str">
        <x:v>とびくない</x:v>
      </x:c>
      <x:c r="G134" t="str">
        <x:v>飞苦无</x:v>
      </x:c>
      <x:c r="H134" t="str">
        <x:v>飞苦无</x:v>
      </x:c>
      <x:c r="I134"/>
      <x:c r="J134" t="str">
        <x:v>쿠나이 던지기</x:v>
      </x:c>
      <x:c r="K134" t="str">
        <x:v>Kunai Throw</x:v>
      </x:c>
      <x:c r="L134"/>
      <x:c r="M134" t="str">
        <x:v>通常札</x:v>
      </x:c>
      <x:c r="N134"/>
      <x:c r="O134"/>
      <x:c r="P134"/>
      <x:c r="Q134"/>
      <x:c r="R134" t="str">
        <x:v>攻撃</x:v>
      </x:c>
      <x:c r="S134"/>
      <x:c r="T134" t="str">
        <x:v>4-5</x:v>
      </x:c>
      <x:c r="U134"/>
      <x:c r="V134" t="str">
        <x:v>2/2</x:v>
      </x:c>
      <x:c r="W134"/>
      <x:c r="X134"/>
      <x:c r="Y134"/>
      <x:c r="Z134"/>
      <x:c r="AA134"/>
      <x:c r="AB134"/>
      <x:c r="AC134"/>
      <x:c r="AD134"/>
      <x:c r="AE134" s="438"/>
      <x:c r="AF134" s="438"/>
      <x:c r="AG134" s="438"/>
      <x:c r="AH134" s="438"/>
      <x:c r="AI134" s="438"/>
      <x:c r="AJ134" s="438"/>
      <x:c r="AK134" s="438"/>
      <x:c r="AL134" s="438"/>
      <x:c r="AM134" s="438"/>
      <x:c r="AN134" s="438"/>
      <x:c r="AO134" s="438"/>
      <x:c r="AP134" s="438"/>
      <x:c r="AQ134" s="438"/>
      <x:c r="AR134" s="438"/>
      <x:c r="AS134" s="438"/>
      <x:c r="AT134" t="str">
        <x:f>IF(A134="", "","'"&amp;A134&amp;"': {megami: '"&amp;B134&amp;"'"&amp;IF(C134&lt;&gt;"",", anotherID: '"&amp;C134&amp;"', replace: '"&amp;D134&amp;"'","")&amp;", name: '"&amp;SUBSTITUTE(E134,"'","\'")&amp;"', nameEn: '"&amp;SUBSTITUTE(K134,"'","\'")&amp;"', nameZh: '"&amp;SUBSTITUTE(G134,"'","\'")&amp;"', nameZhG133: '"&amp;SUBSTITUTE(H134,"'","\'")&amp;"', nameKo: '"&amp;SUBSTITUTE(J134,"'","\'")&amp;"', ruby: '"&amp;F134&amp;"', rubyEn: '"&amp;L134&amp;IF(I134&lt;&gt;"", "', rubyZh: '"&amp;I134, "")&amp;"', baseType: '"&amp;IF(M134="通常札","normal",IF(M134="切札","special",IF(M134="追加札","extra",IF(M134="transform","transform",IF(M134="嵐","storm",IF(M134="兵員","troop",IF(M134="構想","plan",IF(M134="メインパーツ","mainParts",IF(M134="カスタムパーツ","customParts",IF(M134="運命","fate",IF(M134="仮想樹","virtualTree","")))))))))))&amp;"'"&amp;IF(N134="○",", extra: true","")&amp;IF(O134&lt;&gt;"",", extraFrom: '"&amp;O134&amp;"'","")&amp;IF(P134&lt;&gt;"",", exchangableTo: '"&amp;P134&amp;"'","")&amp;IF(Q134="○",", poison: true","")&amp;IF(R134&lt;&gt;"", ", type: '"&amp;IF(R134="攻撃","attack",IF(R134="行動","action",IF(R134="不定","variable",IF(R134="対応","reaction",IF(R134="全力","fullpower",IF(R134="付与","enhance",IF(R134="transform","transform","")))))))&amp;"'", "")&amp;IF(S134&lt;&gt;"",", subType: '"&amp;IF(S134="攻撃","attack",IF(S134="行動","action",IF(S134="不定","variable",IF(S134="対応","reaction",IF(S134="全力","fullpower",IF(S134="付与","enhance",IF(S134="transform","transform","")))))))&amp;"'","")&amp;""&amp;IF(T134&lt;&gt;"",", range: '"&amp;T134&amp;"'","")&amp;IF(V134&lt;&gt;"",", damage: '"&amp;V134&amp;"'","")&amp;IF(X134&lt;&gt;"",", capacity: '"&amp;X134&amp;"'","")&amp;IF(Y134&lt;&gt;"",", growth: "&amp;Y134&amp;"","")&amp;IF(Z134&lt;&gt;"",", cost: '"&amp;Z134&amp;"'","")&amp;", text: '"&amp;SUBSTITUTE(SUBSTITUTE(AE134, CHAR(13), ""),CHAR(10),"\n")&amp;IF(AF134&lt;&gt;"", "', textAdditional: '"&amp;SUBSTITUTE(SUBSTITUTE(AF134, CHAR(13), ""),CHAR(10),"\n"), "")&amp;"', textZh: '"&amp;SUBSTITUTE(SUBSTITUTE(SUBSTITUTE(AG134, CHAR(13), ""),CHAR(10),"\n"),"'","\'")&amp;"', textZhG133: '"&amp;SUBSTITUTE(SUBSTITUTE(SUBSTITUTE(AI134, CHAR(13), ""),CHAR(10),"\n"),"'","\'")&amp;IF(AH134&lt;&gt;"", "', textZhAdditional: '"&amp;SUBSTITUTE(SUBSTITUTE(AH134, CHAR(13), ""),CHAR(10),"\n"), "")&amp;IF(AK134&lt;&gt;"", "', textZhG133Additional: '"&amp;SUBSTITUTE(SUBSTITUTE(AK134, CHAR(13), ""),CHAR(10),"\n"), "")&amp;"', textKo: '"&amp;SUBSTITUTE(SUBSTITUTE(SUBSTITUTE(AM134, CHAR(13), ""),CHAR(10),"\n"),"'","\'")&amp;IF(AM134&lt;&gt;"", "', textKoAdditional: '"&amp;SUBSTITUTE(SUBSTITUTE(AM134, CHAR(13), ""),CHAR(10),"\n"), "")&amp;"', textEn: '"&amp;SUBSTITUTE(SUBSTITUTE(SUBSTITUTE(AM134, CHAR(13), ""),CHAR(10),"\n"),"'","\'")&amp;IF(AN134&lt;&gt;"", "', textEnAdditional: '"&amp;SUBSTITUTE(SUBSTITUTE(AN134, CHAR(13), ""),CHAR(10),"\n"), "")&amp;"'"&amp;IF(AB134="○",", sealable: true","")&amp;IF(AC134="○",", removable: true","")&amp;IF(AA134="○",", lie: true","")&amp;IF(AD134="○",", investable: true","")&amp;"},")</x:f>
        <x:v>'09-chikage-o-n-1': {megami: 'chikage', name: '飛苦無', nameEn: 'Kunai Throw', nameZh: '飞苦无', nameZhG133: '飞苦无', nameKo: '쿠나이 던지기', ruby: 'とびくない', rubyEn: '', baseType: 'normal', type: 'attack', range: '4-5', damage: '2/2', text: '', textZh: '', textZhG133: '', textKo: '', textEn: ''},</x:v>
      </x:c>
      <x:c r="AU134" t="str">
        <x:f>IF($A134&lt;&gt;"", "    /** 《"&amp;$E134&amp;"》 */ export const "&amp;SUBSTITUTE(UPPER(IF(MID($A134, 3, 1)="-", RIGHT($A134,LEN($A134)-3), $A134)), "-", "_")&amp;": TCardId = '"&amp;$A134&amp;"';", "")</x:f>
        <x:v>    /** 《飛苦無》 */ export const CHIKAGE_O_N_1: TCardId = '09-chikage-o-n-1';</x:v>
      </x:c>
      <x:c r="AV134" t="str">
        <x:f>IF($A135&lt;&gt;"", "    | '"&amp;$A135&amp;"'", "")</x:f>
        <x:v>    | '09-chikage-o-n-2'</x:v>
      </x:c>
    </x:row>
    <x:row r="135" ht="53" customHeight="1">
      <x:c r="A135" t="str">
        <x:v>09-chikage-o-n-2</x:v>
      </x:c>
      <x:c r="B135" t="str">
        <x:v>chikage</x:v>
      </x:c>
      <x:c r="C135"/>
      <x:c r="D135"/>
      <x:c r="E135" t="str">
        <x:v>毒針</x:v>
      </x:c>
      <x:c r="F135" t="str">
        <x:v>どくばり</x:v>
      </x:c>
      <x:c r="G135" t="str">
        <x:v>毒针</x:v>
      </x:c>
      <x:c r="H135" t="str">
        <x:v>毒针</x:v>
      </x:c>
      <x:c r="I135"/>
      <x:c r="J135" t="str">
        <x:v>독침</x:v>
      </x:c>
      <x:c r="K135" t="str">
        <x:v>Poison Needle</x:v>
      </x:c>
      <x:c r="L135"/>
      <x:c r="M135" t="str">
        <x:v>通常札</x:v>
      </x:c>
      <x:c r="N135"/>
      <x:c r="O135"/>
      <x:c r="P135"/>
      <x:c r="Q135"/>
      <x:c r="R135" t="str">
        <x:v>攻撃</x:v>
      </x:c>
      <x:c r="S135"/>
      <x:c r="T135" t="str">
        <x:v>4</x:v>
      </x:c>
      <x:c r="U135"/>
      <x:c r="V135" t="str">
        <x:v>1/1</x:v>
      </x:c>
      <x:c r="W135"/>
      <x:c r="X135"/>
      <x:c r="Y135"/>
      <x:c r="Z135"/>
      <x:c r="AA135"/>
      <x:c r="AB135"/>
      <x:c r="AC135"/>
      <x:c r="AD135"/>
      <x:c r="AE135" s="438" t="str">
        <x:v>【攻撃後】毒袋から「麻痺毒」「幻覚毒」「弛緩毒」のいずれか1枚を選び、そのカードを相手の山札の一番上に置く。</x:v>
      </x:c>
      <x:c r="AF135" s="438"/>
      <x:c r="AG135" s="438" t="str">
        <x:v>【攻击后】从毒袋中选择『麻痹毒』『幻觉毒』『迟缓毒』中的1张，将其置于对手的牌库顶。</x:v>
      </x:c>
      <x:c r="AH135" s="438"/>
      <x:c r="AI135" s="438" t="str">
        <x:v>【攻击后】从毒袋中选择麻痹毒、幻觉毒、迟缓毒中的1张，将其置于对手的牌库顶。</x:v>
      </x:c>
      <x:c r="AJ135" s="438"/>
      <x:c r="AK135" s="438" t="str">
        <x:v>【공격후】독주머니에서「마비독」「환각독」「이완독」중 한 장을 고르고, 그 카드를 상대의 패산 맨 위에 둔다.</x:v>
      </x:c>
      <x:c r="AL135" s="438"/>
      <x:c r="AM135" s="438" t="str">
        <x:v>After Attack: Choose a "Numbing Agent", "Hallucinogen", or "Muscle Relaxant" in your pouch. Put it on top of your opponent's deck.</x:v>
      </x:c>
      <x:c r="AN135" s="438"/>
      <x:c r="AO135" s="438"/>
      <x:c r="AP135" s="438"/>
      <x:c r="AQ135" s="438"/>
      <x:c r="AR135" s="438"/>
      <x:c r="AS135" s="438"/>
      <x:c r="AT135" t="str">
        <x:f>IF(A135="", "","'"&amp;A135&amp;"': {megami: '"&amp;B135&amp;"'"&amp;IF(C135&lt;&gt;"",", anotherID: '"&amp;C135&amp;"', replace: '"&amp;D135&amp;"'","")&amp;", name: '"&amp;SUBSTITUTE(E135,"'","\'")&amp;"', nameEn: '"&amp;SUBSTITUTE(K135,"'","\'")&amp;"', nameZh: '"&amp;SUBSTITUTE(G135,"'","\'")&amp;"', nameZhG134: '"&amp;SUBSTITUTE(H135,"'","\'")&amp;"', nameKo: '"&amp;SUBSTITUTE(J135,"'","\'")&amp;"', ruby: '"&amp;F135&amp;"', rubyEn: '"&amp;L135&amp;IF(I135&lt;&gt;"", "', rubyZh: '"&amp;I135, "")&amp;"', baseType: '"&amp;IF(M135="通常札","normal",IF(M135="切札","special",IF(M135="追加札","extra",IF(M135="transform","transform",IF(M135="嵐","storm",IF(M135="兵員","troop",IF(M135="構想","plan",IF(M135="メインパーツ","mainParts",IF(M135="カスタムパーツ","customParts",IF(M135="運命","fate",IF(M135="仮想樹","virtualTree","")))))))))))&amp;"'"&amp;IF(N135="○",", extra: true","")&amp;IF(O135&lt;&gt;"",", extraFrom: '"&amp;O135&amp;"'","")&amp;IF(P135&lt;&gt;"",", exchangableTo: '"&amp;P135&amp;"'","")&amp;IF(Q135="○",", poison: true","")&amp;IF(R135&lt;&gt;"", ", type: '"&amp;IF(R135="攻撃","attack",IF(R135="行動","action",IF(R135="不定","variable",IF(R135="対応","reaction",IF(R135="全力","fullpower",IF(R135="付与","enhance",IF(R135="transform","transform","")))))))&amp;"'", "")&amp;IF(S135&lt;&gt;"",", subType: '"&amp;IF(S135="攻撃","attack",IF(S135="行動","action",IF(S135="不定","variable",IF(S135="対応","reaction",IF(S135="全力","fullpower",IF(S135="付与","enhance",IF(S135="transform","transform","")))))))&amp;"'","")&amp;""&amp;IF(T135&lt;&gt;"",", range: '"&amp;T135&amp;"'","")&amp;IF(V135&lt;&gt;"",", damage: '"&amp;V135&amp;"'","")&amp;IF(X135&lt;&gt;"",", capacity: '"&amp;X135&amp;"'","")&amp;IF(Y135&lt;&gt;"",", growth: "&amp;Y135&amp;"","")&amp;IF(Z135&lt;&gt;"",", cost: '"&amp;Z135&amp;"'","")&amp;", text: '"&amp;SUBSTITUTE(SUBSTITUTE(AE135, CHAR(13), ""),CHAR(10),"\n")&amp;IF(AF135&lt;&gt;"", "', textAdditional: '"&amp;SUBSTITUTE(SUBSTITUTE(AF135, CHAR(13), ""),CHAR(10),"\n"), "")&amp;"', textZh: '"&amp;SUBSTITUTE(SUBSTITUTE(SUBSTITUTE(AG135, CHAR(13), ""),CHAR(10),"\n"),"'","\'")&amp;"', textZhG134: '"&amp;SUBSTITUTE(SUBSTITUTE(SUBSTITUTE(AI135, CHAR(13), ""),CHAR(10),"\n"),"'","\'")&amp;IF(AH135&lt;&gt;"", "', textZhAdditional: '"&amp;SUBSTITUTE(SUBSTITUTE(AH135, CHAR(13), ""),CHAR(10),"\n"), "")&amp;IF(AK135&lt;&gt;"", "', textZhG134Additional: '"&amp;SUBSTITUTE(SUBSTITUTE(AK135, CHAR(13), ""),CHAR(10),"\n"), "")&amp;"', textKo: '"&amp;SUBSTITUTE(SUBSTITUTE(SUBSTITUTE(AM135, CHAR(13), ""),CHAR(10),"\n"),"'","\'")&amp;IF(AM135&lt;&gt;"", "', textKoAdditional: '"&amp;SUBSTITUTE(SUBSTITUTE(AM135, CHAR(13), ""),CHAR(10),"\n"), "")&amp;"', textEn: '"&amp;SUBSTITUTE(SUBSTITUTE(SUBSTITUTE(AM135, CHAR(13), ""),CHAR(10),"\n"),"'","\'")&amp;IF(AN135&lt;&gt;"", "', textEnAdditional: '"&amp;SUBSTITUTE(SUBSTITUTE(AN135, CHAR(13), ""),CHAR(10),"\n"), "")&amp;"'"&amp;IF(AB135="○",", sealable: true","")&amp;IF(AC135="○",", removable: true","")&amp;IF(AA135="○",", lie: true","")&amp;IF(AD135="○",", investable: true","")&amp;"},")</x:f>
        <x:v>'09-chikage-o-n-2': {megami: 'chikage', name: '毒針', nameEn: 'Poison Needle', nameZh: '毒针', nameZhG134: '毒针', nameKo: '독침', ruby: 'どくばり', rubyEn: '', baseType: 'normal', type: 'attack', range: '4', damage: '1/1', text: '【攻撃後】毒袋から「麻痺毒」「幻覚毒」「弛緩毒」のいずれか1枚を選び、そのカードを相手の山札の一番上に置く。', textZh: '【攻击后】从毒袋中选择『麻痹毒』『幻觉毒』『迟缓毒』中的1张，将其置于对手的牌库顶。', textZhG134: '【攻击后】从毒袋中选择麻痹毒、幻觉毒、迟缓毒中的1张，将其置于对手的牌库顶。', textZhG134Additional: '【공격후】독주머니에서「마비독」「환각독」「이완독」중 한 장을 고르고, 그 카드를 상대의 패산 맨 위에 둔다.', textKo: 'After Attack: Choose a "Numbing Agent", "Hallucinogen", or "Muscle Relaxant" in your pouch. Put it on top of your opponent\'s deck.', textKoAdditional: 'After Attack: Choose a "Numbing Agent", "Hallucinogen", or "Muscle Relaxant" in your pouch. Put it on top of your opponent's deck.', textEn: 'After Attack: Choose a "Numbing Agent", "Hallucinogen", or "Muscle Relaxant" in your pouch. Put it on top of your opponent\'s deck.'},</x:v>
      </x:c>
      <x:c r="AU135" t="str">
        <x:f>IF($A135&lt;&gt;"", "    /** 《"&amp;$E135&amp;"》 */ export const "&amp;SUBSTITUTE(UPPER(IF(MID($A135, 3, 1)="-", RIGHT($A135,LEN($A135)-3), $A135)), "-", "_")&amp;": TCardId = '"&amp;$A135&amp;"';", "")</x:f>
        <x:v>    /** 《毒針》 */ export const CHIKAGE_O_N_2: TCardId = '09-chikage-o-n-2';</x:v>
      </x:c>
      <x:c r="AV135" t="str">
        <x:f>IF($A136&lt;&gt;"", "    | '"&amp;$A136&amp;"'", "")</x:f>
        <x:v>    | '09-chikage-o-n-3'</x:v>
      </x:c>
    </x:row>
    <x:row r="136" ht="98" customHeight="1">
      <x:c r="A136" t="str">
        <x:v>09-chikage-o-n-3</x:v>
      </x:c>
      <x:c r="B136" t="str">
        <x:v>chikage</x:v>
      </x:c>
      <x:c r="C136"/>
      <x:c r="D136"/>
      <x:c r="E136" t="str">
        <x:v>遁術</x:v>
      </x:c>
      <x:c r="F136" t="str">
        <x:v>とんじゅつ</x:v>
      </x:c>
      <x:c r="G136" t="str">
        <x:v>遁术</x:v>
      </x:c>
      <x:c r="H136" t="str">
        <x:v>遁术</x:v>
      </x:c>
      <x:c r="I136"/>
      <x:c r="J136" t="str">
        <x:v>둔술</x:v>
      </x:c>
      <x:c r="K136" t="str">
        <x:v>Concealment</x:v>
      </x:c>
      <x:c r="L136"/>
      <x:c r="M136" t="str">
        <x:v>通常札</x:v>
      </x:c>
      <x:c r="N136"/>
      <x:c r="O136"/>
      <x:c r="P136"/>
      <x:c r="Q136"/>
      <x:c r="R136" t="str">
        <x:v>攻撃</x:v>
      </x:c>
      <x:c r="S136" t="str">
        <x:v>対応</x:v>
      </x:c>
      <x:c r="T136" t="str">
        <x:v>1-3</x:v>
      </x:c>
      <x:c r="U136"/>
      <x:c r="V136" t="str">
        <x:v>1/-</x:v>
      </x:c>
      <x:c r="W136"/>
      <x:c r="X136"/>
      <x:c r="Y136"/>
      <x:c r="Z136"/>
      <x:c r="AA136"/>
      <x:c r="AB136"/>
      <x:c r="AC136"/>
      <x:c r="AD136"/>
      <x:c r="AE136" s="438" t="str">
        <x:v>【攻撃後】自オーラ→間合：1 ダスト→間合：1
【攻撃後】このターン中、相手は基本動作《前進》を行えない。</x:v>
      </x:c>
      <x:c r="AF136" s="438"/>
      <x:c r="AG136" s="499" t="str">
        <x:v>【攻击后】自装→1→距 虚→1→距
【攻击后】本回合内对手不能执行基本动作《前进》。</x:v>
      </x:c>
      <x:c r="AH136" s="438"/>
      <x:c r="AI136" s="499" t="str">
        <x:v>【攻击后】自装（1）→距，虚（1）→距
【攻击后】本回合内对手不能执行基本动作《前进》。</x:v>
      </x:c>
      <x:c r="AJ136" s="438"/>
      <x:c r="AK136" s="499" t="str">
        <x:v>【공격후】자신 오라→간격：1　더스트→간격：1 
【공격후】이 턴 동안, 상대는 기본 동작 《전진》을 할 수 없다.</x:v>
      </x:c>
      <x:c r="AL136" s="438"/>
      <x:c r="AM136" s="499" t="str">
        <x:v>After Attack:
Your Aura (1)→ Distance
Shadow (1)→ Distance
After Attack: Your opponent cannot perform the Forward Movement basic action for the rest of the turn.</x:v>
      </x:c>
      <x:c r="AN136" s="438"/>
      <x:c r="AO136" s="438"/>
      <x:c r="AP136" s="438"/>
      <x:c r="AQ136" s="438"/>
      <x:c r="AR136" s="438"/>
      <x:c r="AS136" s="438"/>
      <x:c r="AT136" t="str">
        <x:f>IF(A136="", "","'"&amp;A136&amp;"': {megami: '"&amp;B136&amp;"'"&amp;IF(C136&lt;&gt;"",", anotherID: '"&amp;C136&amp;"', replace: '"&amp;D136&amp;"'","")&amp;", name: '"&amp;SUBSTITUTE(E136,"'","\'")&amp;"', nameEn: '"&amp;SUBSTITUTE(K136,"'","\'")&amp;"', nameZh: '"&amp;SUBSTITUTE(G136,"'","\'")&amp;"', nameZhG135: '"&amp;SUBSTITUTE(H136,"'","\'")&amp;"', nameKo: '"&amp;SUBSTITUTE(J136,"'","\'")&amp;"', ruby: '"&amp;F136&amp;"', rubyEn: '"&amp;L136&amp;IF(I136&lt;&gt;"", "', rubyZh: '"&amp;I136, "")&amp;"', baseType: '"&amp;IF(M136="通常札","normal",IF(M136="切札","special",IF(M136="追加札","extra",IF(M136="transform","transform",IF(M136="嵐","storm",IF(M136="兵員","troop",IF(M136="構想","plan",IF(M136="メインパーツ","mainParts",IF(M136="カスタムパーツ","customParts",IF(M136="運命","fate",IF(M136="仮想樹","virtualTree","")))))))))))&amp;"'"&amp;IF(N136="○",", extra: true","")&amp;IF(O136&lt;&gt;"",", extraFrom: '"&amp;O136&amp;"'","")&amp;IF(P136&lt;&gt;"",", exchangableTo: '"&amp;P136&amp;"'","")&amp;IF(Q136="○",", poison: true","")&amp;IF(R136&lt;&gt;"", ", type: '"&amp;IF(R136="攻撃","attack",IF(R136="行動","action",IF(R136="不定","variable",IF(R136="対応","reaction",IF(R136="全力","fullpower",IF(R136="付与","enhance",IF(R136="transform","transform","")))))))&amp;"'", "")&amp;IF(S136&lt;&gt;"",", subType: '"&amp;IF(S136="攻撃","attack",IF(S136="行動","action",IF(S136="不定","variable",IF(S136="対応","reaction",IF(S136="全力","fullpower",IF(S136="付与","enhance",IF(S136="transform","transform","")))))))&amp;"'","")&amp;""&amp;IF(T136&lt;&gt;"",", range: '"&amp;T136&amp;"'","")&amp;IF(V136&lt;&gt;"",", damage: '"&amp;V136&amp;"'","")&amp;IF(X136&lt;&gt;"",", capacity: '"&amp;X136&amp;"'","")&amp;IF(Y136&lt;&gt;"",", growth: "&amp;Y136&amp;"","")&amp;IF(Z136&lt;&gt;"",", cost: '"&amp;Z136&amp;"'","")&amp;", text: '"&amp;SUBSTITUTE(SUBSTITUTE(AE136, CHAR(13), ""),CHAR(10),"\n")&amp;IF(AF136&lt;&gt;"", "', textAdditional: '"&amp;SUBSTITUTE(SUBSTITUTE(AF136, CHAR(13), ""),CHAR(10),"\n"), "")&amp;"', textZh: '"&amp;SUBSTITUTE(SUBSTITUTE(SUBSTITUTE(AG136, CHAR(13), ""),CHAR(10),"\n"),"'","\'")&amp;"', textZhG135: '"&amp;SUBSTITUTE(SUBSTITUTE(SUBSTITUTE(AI136, CHAR(13), ""),CHAR(10),"\n"),"'","\'")&amp;IF(AH136&lt;&gt;"", "', textZhAdditional: '"&amp;SUBSTITUTE(SUBSTITUTE(AH136, CHAR(13), ""),CHAR(10),"\n"), "")&amp;IF(AK136&lt;&gt;"", "', textZhG135Additional: '"&amp;SUBSTITUTE(SUBSTITUTE(AK136, CHAR(13), ""),CHAR(10),"\n"), "")&amp;"', textKo: '"&amp;SUBSTITUTE(SUBSTITUTE(SUBSTITUTE(AM136, CHAR(13), ""),CHAR(10),"\n"),"'","\'")&amp;IF(AM136&lt;&gt;"", "', textKoAdditional: '"&amp;SUBSTITUTE(SUBSTITUTE(AM136, CHAR(13), ""),CHAR(10),"\n"), "")&amp;"', textEn: '"&amp;SUBSTITUTE(SUBSTITUTE(SUBSTITUTE(AM136, CHAR(13), ""),CHAR(10),"\n"),"'","\'")&amp;IF(AN136&lt;&gt;"", "', textEnAdditional: '"&amp;SUBSTITUTE(SUBSTITUTE(AN136, CHAR(13), ""),CHAR(10),"\n"), "")&amp;"'"&amp;IF(AB136="○",", sealable: true","")&amp;IF(AC136="○",", removable: true","")&amp;IF(AA136="○",", lie: true","")&amp;IF(AD136="○",", investable: true","")&amp;"},")</x:f>
        <x:v>'09-chikage-o-n-3': {megami: 'chikage', name: '遁術', nameEn: 'Concealment', nameZh: '遁术', nameZhG135: '遁术', nameKo: '둔술', ruby: 'とんじゅつ', rubyEn: '', baseType: 'normal', type: 'attack', subType: 'reaction', range: '1-3', damage: '1/-', text: '【攻撃後】自オーラ→間合：1 ダスト→間合：1\n【攻撃後】このターン中、相手は基本動作《前進》を行えない。', textZh: '【攻击后】自装→1→距 虚→1→距\n【攻击后】本回合内对手不能执行基本动作《前进》。', textZhG135: '【攻击后】自装（1）→距，虚（1）→距\n【攻击后】本回合内对手不能执行基本动作《前进》。', textZhG135Additional: '【공격후】자신 오라→간격：1　더스트→간격：1 \n【공격후】이 턴 동안, 상대는 기본 동작 《전진》을 할 수 없다.', textKo: 'After Attack:\nYour Aura (1)→ Distance\nShadow (1)→ Distance\n\nAfter Attack: Your opponent cannot perform the Forward Movement basic action for the rest of the turn.', textKoAdditional: 'After Attack:\nYour Aura (1)→ Distance\nShadow (1)→ Distance\n\nAfter Attack: Your opponent cannot perform the Forward Movement basic action for the rest of the turn.', textEn: 'After Attack:\nYour Aura (1)→ Distance\nShadow (1)→ Distance\n\nAfter Attack: Your opponent cannot perform the Forward Movement basic action for the rest of the turn.'},</x:v>
      </x:c>
      <x:c r="AU136" t="str">
        <x:f>IF($A136&lt;&gt;"", "    /** 《"&amp;$E136&amp;"》 */ export const "&amp;SUBSTITUTE(UPPER(IF(MID($A136, 3, 1)="-", RIGHT($A136,LEN($A136)-3), $A136)), "-", "_")&amp;": TCardId = '"&amp;$A136&amp;"';", "")</x:f>
        <x:v>    /** 《遁術》 */ export const CHIKAGE_O_N_3: TCardId = '09-chikage-o-n-3';</x:v>
      </x:c>
      <x:c r="AV136" t="str">
        <x:f>IF($A137&lt;&gt;"", "    | '"&amp;$A137&amp;"'", "")</x:f>
        <x:v>    | '09-chikage-o-n-4'</x:v>
      </x:c>
    </x:row>
    <x:row r="137" ht="128" customHeight="1">
      <x:c r="A137" t="str">
        <x:v>09-chikage-o-n-4</x:v>
      </x:c>
      <x:c r="B137" t="str">
        <x:v>chikage</x:v>
      </x:c>
      <x:c r="C137"/>
      <x:c r="D137"/>
      <x:c r="E137" t="str">
        <x:v>暗器</x:v>
      </x:c>
      <x:c r="F137" t="str">
        <x:v>あんき</x:v>
      </x:c>
      <x:c r="G137" t="str">
        <x:v>暗器</x:v>
      </x:c>
      <x:c r="H137"/>
      <x:c r="I137"/>
      <x:c r="J137" t="str">
        <x:v>암기</x:v>
      </x:c>
      <x:c r="K137" t="str">
        <x:v>Concealed Weapon</x:v>
      </x:c>
      <x:c r="L137"/>
      <x:c r="M137" t="str">
        <x:v>通常札</x:v>
      </x:c>
      <x:c r="N137"/>
      <x:c r="O137"/>
      <x:c r="P137"/>
      <x:c r="Q137"/>
      <x:c r="R137" t="str">
        <x:v>攻撃</x:v>
      </x:c>
      <x:c r="S137" t="str">
        <x:v>対応</x:v>
      </x:c>
      <x:c r="T137" t="str">
        <x:v>1-5</x:v>
      </x:c>
      <x:c r="U137"/>
      <x:c r="V137" t="str">
        <x:v>1/1</x:v>
      </x:c>
      <x:c r="W137"/>
      <x:c r="X137"/>
      <x:c r="Y137"/>
      <x:c r="Z137"/>
      <x:c r="AA137"/>
      <x:c r="AB137"/>
      <x:c r="AC137"/>
      <x:c r="AD137"/>
      <x:c r="AE137" s="438" t="str">
        <x:v>全力化:【常時】この《攻撃》は+1/+2となる。
全力化:【攻撃後】相手はあなたの毒袋を見てその中から1枚を選び、それを相手の手札に加える。
【攻撃後】相手の手札に毒カードがあるならば、基本動作《纏い》を1回行う。</x:v>
      </x:c>
      <x:c r="AF137" s="438" t="str">
        <x:v>（毒袋領域を右クリックすることで、相手に毒袋の中身を見せることが可能）</x:v>
      </x:c>
      <x:c r="AG137" s="499" t="str">
        <x:v>全力化：【常时】此《攻击》得+1/+2。
全力化：【攻击后】对手查看你的毒袋并从中选择1张加入手牌。
【攻击后】对手手牌中有毒牌的话，进行1次基本动作《装附》。</x:v>
      </x:c>
      <x:c r="AH137" s="499" t="str">
        <x:v>（在毒袋区域右键可以让对手查看毒袋）</x:v>
      </x:c>
      <x:c r="AI137" s="438"/>
      <x:c r="AJ137" s="438"/>
      <x:c r="AK137" s="499" t="str">
        <x:v>전력화: 【상시】 이 《공격》은 +1/+2 된다.
전력화: 【공격후】 상대는 당신의 독주머니를 보고 그 중에서 1장을 골라 그것을 상대의 손패에 추가한다.
【공격후】 상대의 손패에 독 카드가 있다면, 기본동작 《휘감기》를 1회 수행한다.</x:v>
      </x:c>
      <x:c r="AL137" s="438"/>
      <x:c r="AM137" s="499" t="str">
        <x:v>All-Out: Forced: This Attack gains +1/+2.
All-Out: After Attack: Your opponent looks at your Poison pouch and chooses 1 card from it, then puts it into their hand.
After Attack: If your opponent has a Poison card in their hand, perform the Recover basic action once.</x:v>
      </x:c>
      <x:c r="AN137" s="438"/>
      <x:c r="AO137" s="438"/>
      <x:c r="AP137" s="438"/>
      <x:c r="AQ137" s="438"/>
      <x:c r="AR137" s="438"/>
      <x:c r="AS137" s="438"/>
      <x:c r="AT137" t="str">
        <x:f>IF(A137="", "","'"&amp;A137&amp;"': {megami: '"&amp;B137&amp;"'"&amp;IF(C137&lt;&gt;"",", anotherID: '"&amp;C137&amp;"', replace: '"&amp;D137&amp;"'","")&amp;", name: '"&amp;SUBSTITUTE(E137,"'","\'")&amp;"', nameEn: '"&amp;SUBSTITUTE(K137,"'","\'")&amp;"', nameZh: '"&amp;SUBSTITUTE(G137,"'","\'")&amp;"', nameZhG136: '"&amp;SUBSTITUTE(H137,"'","\'")&amp;"', nameKo: '"&amp;SUBSTITUTE(J137,"'","\'")&amp;"', ruby: '"&amp;F137&amp;"', rubyEn: '"&amp;L137&amp;IF(I137&lt;&gt;"", "', rubyZh: '"&amp;I137, "")&amp;"', baseType: '"&amp;IF(M137="通常札","normal",IF(M137="切札","special",IF(M137="追加札","extra",IF(M137="transform","transform",IF(M137="嵐","storm",IF(M137="兵員","troop",IF(M137="構想","plan",IF(M137="メインパーツ","mainParts",IF(M137="カスタムパーツ","customParts",IF(M137="運命","fate",IF(M137="仮想樹","virtualTree","")))))))))))&amp;"'"&amp;IF(N137="○",", extra: true","")&amp;IF(O137&lt;&gt;"",", extraFrom: '"&amp;O137&amp;"'","")&amp;IF(P137&lt;&gt;"",", exchangableTo: '"&amp;P137&amp;"'","")&amp;IF(Q137="○",", poison: true","")&amp;IF(R137&lt;&gt;"", ", type: '"&amp;IF(R137="攻撃","attack",IF(R137="行動","action",IF(R137="不定","variable",IF(R137="対応","reaction",IF(R137="全力","fullpower",IF(R137="付与","enhance",IF(R137="transform","transform","")))))))&amp;"'", "")&amp;IF(S137&lt;&gt;"",", subType: '"&amp;IF(S137="攻撃","attack",IF(S137="行動","action",IF(S137="不定","variable",IF(S137="対応","reaction",IF(S137="全力","fullpower",IF(S137="付与","enhance",IF(S137="transform","transform","")))))))&amp;"'","")&amp;""&amp;IF(T137&lt;&gt;"",", range: '"&amp;T137&amp;"'","")&amp;IF(V137&lt;&gt;"",", damage: '"&amp;V137&amp;"'","")&amp;IF(X137&lt;&gt;"",", capacity: '"&amp;X137&amp;"'","")&amp;IF(Y137&lt;&gt;"",", growth: "&amp;Y137&amp;"","")&amp;IF(Z137&lt;&gt;"",", cost: '"&amp;Z137&amp;"'","")&amp;", text: '"&amp;SUBSTITUTE(SUBSTITUTE(AE137, CHAR(13), ""),CHAR(10),"\n")&amp;IF(AF137&lt;&gt;"", "', textAdditional: '"&amp;SUBSTITUTE(SUBSTITUTE(AF137, CHAR(13), ""),CHAR(10),"\n"), "")&amp;"', textZh: '"&amp;SUBSTITUTE(SUBSTITUTE(SUBSTITUTE(AG137, CHAR(13), ""),CHAR(10),"\n"),"'","\'")&amp;"', textZhG136: '"&amp;SUBSTITUTE(SUBSTITUTE(SUBSTITUTE(AI137, CHAR(13), ""),CHAR(10),"\n"),"'","\'")&amp;IF(AH137&lt;&gt;"", "', textZhAdditional: '"&amp;SUBSTITUTE(SUBSTITUTE(AH137, CHAR(13), ""),CHAR(10),"\n"), "")&amp;IF(AK137&lt;&gt;"", "', textZhG136Additional: '"&amp;SUBSTITUTE(SUBSTITUTE(AK137, CHAR(13), ""),CHAR(10),"\n"), "")&amp;"', textKo: '"&amp;SUBSTITUTE(SUBSTITUTE(SUBSTITUTE(AM137, CHAR(13), ""),CHAR(10),"\n"),"'","\'")&amp;IF(AM137&lt;&gt;"", "', textKoAdditional: '"&amp;SUBSTITUTE(SUBSTITUTE(AM137, CHAR(13), ""),CHAR(10),"\n"), "")&amp;"', textEn: '"&amp;SUBSTITUTE(SUBSTITUTE(SUBSTITUTE(AM137, CHAR(13), ""),CHAR(10),"\n"),"'","\'")&amp;IF(AN137&lt;&gt;"", "', textEnAdditional: '"&amp;SUBSTITUTE(SUBSTITUTE(AN137, CHAR(13), ""),CHAR(10),"\n"), "")&amp;"'"&amp;IF(AB137="○",", sealable: true","")&amp;IF(AC137="○",", removable: true","")&amp;IF(AA137="○",", lie: true","")&amp;IF(AD137="○",", investable: true","")&amp;"},")</x:f>
        <x:v>'09-chikage-o-n-4': {megami: 'chikage', name: '暗器', nameEn: 'Concealed Weapon', nameZh: '暗器', nameZhG136: '', nameKo: '암기', ruby: 'あんき', rubyEn: '', baseType: 'normal', type: 'attack', subType: 'reaction', range: '1-5', damage: '1/1', text: '全力化:【常時】この《攻撃》は+1/+2となる。\n全力化:【攻撃後】相手はあなたの毒袋を見てその中から1枚を選び、それを相手の手札に加える。\n【攻撃後】相手の手札に毒カードがあるならば、基本動作《纏い》を1回行う。', textAdditional: '（毒袋領域を右クリックすることで、相手に毒袋の中身を見せることが可能）', textZh: '全力化：【常时】此《攻击》得+1/+2。\n全力化：【攻击后】对手查看你的毒袋并从中选择1张加入手牌。\n【攻击后】对手手牌中有毒牌的话，进行1次基本动作《装附》。', textZhG136: '', textZhAdditional: '（在毒袋区域右键可以让对手查看毒袋）', textZhG136Additional: '전력화: 【상시】 이 《공격》은 +1/+2 된다.\n전력화: 【공격후】 상대는 당신의 독주머니를 보고 그 중에서 1장을 골라 그것을 상대의 손패에 추가한다.\n【공격후】 상대의 손패에 독 카드가 있다면, 기본동작 《휘감기》를 1회 수행한다.', textKo: 'All-Out: Forced: This Attack gains +1/+2.\n\nAll-Out: After Attack: Your opponent looks at your Poison pouch and chooses 1 card from it, then puts it into their hand.\n\nAfter Attack: If your opponent has a Poison card in their hand, perform the Recover basic action once.', textKoAdditional: 'All-Out: Forced: This Attack gains +1/+2.\n\nAll-Out: After Attack: Your opponent looks at your Poison pouch and chooses 1 card from it, then puts it into their hand.\n\nAfter Attack: If your opponent has a Poison card in their hand, perform the Recover basic action once.', textEn: 'All-Out: Forced: This Attack gains +1/+2.\n\nAll-Out: After Attack: Your opponent looks at your Poison pouch and chooses 1 card from it, then puts it into their hand.\n\nAfter Attack: If your opponent has a Poison card in their hand, perform the Recover basic action once.'},</x:v>
      </x:c>
      <x:c r="AU137" t="str">
        <x:f>IF($A137&lt;&gt;"", "    /** 《"&amp;$E137&amp;"》 */ export const "&amp;SUBSTITUTE(UPPER(IF(MID($A137, 3, 1)="-", RIGHT($A137,LEN($A137)-3), $A137)), "-", "_")&amp;": TCardId = '"&amp;$A137&amp;"';", "")</x:f>
        <x:v>    /** 《暗器》 */ export const CHIKAGE_O_N_4: TCardId = '09-chikage-o-n-4';</x:v>
      </x:c>
      <x:c r="AV137" t="str">
        <x:f>IF($A138&lt;&gt;"", "    | '"&amp;$A138&amp;"'", "")</x:f>
        <x:v>    | '09-chikage-o-n-5'</x:v>
      </x:c>
    </x:row>
    <x:row r="138" ht="53" customHeight="1">
      <x:c r="A138" t="str">
        <x:v>09-chikage-o-n-5</x:v>
      </x:c>
      <x:c r="B138" t="str">
        <x:v>chikage</x:v>
      </x:c>
      <x:c r="C138"/>
      <x:c r="D138"/>
      <x:c r="E138" t="str">
        <x:v>毒霧</x:v>
      </x:c>
      <x:c r="F138" t="str">
        <x:v>どくぎり</x:v>
      </x:c>
      <x:c r="G138" t="str">
        <x:v>毒雾</x:v>
      </x:c>
      <x:c r="H138" t="str">
        <x:v>毒雾</x:v>
      </x:c>
      <x:c r="I138"/>
      <x:c r="J138" t="str">
        <x:v>독안개</x:v>
      </x:c>
      <x:c r="K138" t="str">
        <x:v>Miasma</x:v>
      </x:c>
      <x:c r="L138"/>
      <x:c r="M138" t="str">
        <x:v>通常札</x:v>
      </x:c>
      <x:c r="N138"/>
      <x:c r="O138"/>
      <x:c r="P138"/>
      <x:c r="Q138"/>
      <x:c r="R138" t="str">
        <x:v>行動</x:v>
      </x:c>
      <x:c r="S138"/>
      <x:c r="T138"/>
      <x:c r="U138"/>
      <x:c r="V138"/>
      <x:c r="W138"/>
      <x:c r="X138"/>
      <x:c r="Y138"/>
      <x:c r="Z138"/>
      <x:c r="AA138"/>
      <x:c r="AB138"/>
      <x:c r="AC138"/>
      <x:c r="AD138"/>
      <x:c r="AE138" s="438" t="str">
        <x:v>毒袋から「麻痺毒」「幻覚毒」「弛緩毒」のいずれか1枚を選び、そのカードを相手の手札に加える。</x:v>
      </x:c>
      <x:c r="AF138" s="438"/>
      <x:c r="AG138" s="438" t="str">
        <x:v>从毒袋中选择『麻痹毒』『幻觉毒』『迟缓毒』中的1张，将其置入对手的手牌。</x:v>
      </x:c>
      <x:c r="AH138" s="438"/>
      <x:c r="AI138" s="438" t="str">
        <x:v>从毒袋中选择麻痹毒、幻觉毒、迟缓毒中的一张，将其置入对手的手牌。</x:v>
      </x:c>
      <x:c r="AJ138" s="438"/>
      <x:c r="AK138" s="438" t="str">
        <x:v>독주머니에서「마비독」「환각독」「이완독」중 한 장을 골라, 그 카드를 상대의 손패에 추가한다.</x:v>
      </x:c>
      <x:c r="AL138" s="438"/>
      <x:c r="AM138" s="438" t="str">
        <x:v>Choose a "Numbing Agent", "Hallucinogen", or "Muscle Relaxant" in your pouch. Put it into your opponent's hand.</x:v>
      </x:c>
      <x:c r="AN138" s="438"/>
      <x:c r="AO138" s="438"/>
      <x:c r="AP138" s="438"/>
      <x:c r="AQ138" s="438"/>
      <x:c r="AR138" s="438"/>
      <x:c r="AS138" s="438"/>
      <x:c r="AT138" t="str">
        <x:f>IF(A138="", "","'"&amp;A138&amp;"': {megami: '"&amp;B138&amp;"'"&amp;IF(C138&lt;&gt;"",", anotherID: '"&amp;C138&amp;"', replace: '"&amp;D138&amp;"'","")&amp;", name: '"&amp;SUBSTITUTE(E138,"'","\'")&amp;"', nameEn: '"&amp;SUBSTITUTE(K138,"'","\'")&amp;"', nameZh: '"&amp;SUBSTITUTE(G138,"'","\'")&amp;"', nameZhG137: '"&amp;SUBSTITUTE(H138,"'","\'")&amp;"', nameKo: '"&amp;SUBSTITUTE(J138,"'","\'")&amp;"', ruby: '"&amp;F138&amp;"', rubyEn: '"&amp;L138&amp;IF(I138&lt;&gt;"", "', rubyZh: '"&amp;I138, "")&amp;"', baseType: '"&amp;IF(M138="通常札","normal",IF(M138="切札","special",IF(M138="追加札","extra",IF(M138="transform","transform",IF(M138="嵐","storm",IF(M138="兵員","troop",IF(M138="構想","plan",IF(M138="メインパーツ","mainParts",IF(M138="カスタムパーツ","customParts",IF(M138="運命","fate",IF(M138="仮想樹","virtualTree","")))))))))))&amp;"'"&amp;IF(N138="○",", extra: true","")&amp;IF(O138&lt;&gt;"",", extraFrom: '"&amp;O138&amp;"'","")&amp;IF(P138&lt;&gt;"",", exchangableTo: '"&amp;P138&amp;"'","")&amp;IF(Q138="○",", poison: true","")&amp;IF(R138&lt;&gt;"", ", type: '"&amp;IF(R138="攻撃","attack",IF(R138="行動","action",IF(R138="不定","variable",IF(R138="対応","reaction",IF(R138="全力","fullpower",IF(R138="付与","enhance",IF(R138="transform","transform","")))))))&amp;"'", "")&amp;IF(S138&lt;&gt;"",", subType: '"&amp;IF(S138="攻撃","attack",IF(S138="行動","action",IF(S138="不定","variable",IF(S138="対応","reaction",IF(S138="全力","fullpower",IF(S138="付与","enhance",IF(S138="transform","transform","")))))))&amp;"'","")&amp;""&amp;IF(T138&lt;&gt;"",", range: '"&amp;T138&amp;"'","")&amp;IF(V138&lt;&gt;"",", damage: '"&amp;V138&amp;"'","")&amp;IF(X138&lt;&gt;"",", capacity: '"&amp;X138&amp;"'","")&amp;IF(Y138&lt;&gt;"",", growth: "&amp;Y138&amp;"","")&amp;IF(Z138&lt;&gt;"",", cost: '"&amp;Z138&amp;"'","")&amp;", text: '"&amp;SUBSTITUTE(SUBSTITUTE(AE138, CHAR(13), ""),CHAR(10),"\n")&amp;IF(AF138&lt;&gt;"", "', textAdditional: '"&amp;SUBSTITUTE(SUBSTITUTE(AF138, CHAR(13), ""),CHAR(10),"\n"), "")&amp;"', textZh: '"&amp;SUBSTITUTE(SUBSTITUTE(SUBSTITUTE(AG138, CHAR(13), ""),CHAR(10),"\n"),"'","\'")&amp;"', textZhG137: '"&amp;SUBSTITUTE(SUBSTITUTE(SUBSTITUTE(AI138, CHAR(13), ""),CHAR(10),"\n"),"'","\'")&amp;IF(AH138&lt;&gt;"", "', textZhAdditional: '"&amp;SUBSTITUTE(SUBSTITUTE(AH138, CHAR(13), ""),CHAR(10),"\n"), "")&amp;IF(AK138&lt;&gt;"", "', textZhG137Additional: '"&amp;SUBSTITUTE(SUBSTITUTE(AK138, CHAR(13), ""),CHAR(10),"\n"), "")&amp;"', textKo: '"&amp;SUBSTITUTE(SUBSTITUTE(SUBSTITUTE(AM138, CHAR(13), ""),CHAR(10),"\n"),"'","\'")&amp;IF(AM138&lt;&gt;"", "', textKoAdditional: '"&amp;SUBSTITUTE(SUBSTITUTE(AM138, CHAR(13), ""),CHAR(10),"\n"), "")&amp;"', textEn: '"&amp;SUBSTITUTE(SUBSTITUTE(SUBSTITUTE(AM138, CHAR(13), ""),CHAR(10),"\n"),"'","\'")&amp;IF(AN138&lt;&gt;"", "', textEnAdditional: '"&amp;SUBSTITUTE(SUBSTITUTE(AN138, CHAR(13), ""),CHAR(10),"\n"), "")&amp;"'"&amp;IF(AB138="○",", sealable: true","")&amp;IF(AC138="○",", removable: true","")&amp;IF(AA138="○",", lie: true","")&amp;IF(AD138="○",", investable: true","")&amp;"},")</x:f>
        <x:v>'09-chikage-o-n-5': {megami: 'chikage', name: '毒霧', nameEn: 'Miasma', nameZh: '毒雾', nameZhG137: '毒雾', nameKo: '독안개', ruby: 'どくぎり', rubyEn: '', baseType: 'normal', type: 'action', text: '毒袋から「麻痺毒」「幻覚毒」「弛緩毒」のいずれか1枚を選び、そのカードを相手の手札に加える。', textZh: '从毒袋中选择『麻痹毒』『幻觉毒』『迟缓毒』中的1张，将其置入对手的手牌。', textZhG137: '从毒袋中选择麻痹毒、幻觉毒、迟缓毒中的一张，将其置入对手的手牌。', textZhG137Additional: '독주머니에서「마비독」「환각독」「이완독」중 한 장을 골라, 그 카드를 상대의 손패에 추가한다.', textKo: 'Choose a "Numbing Agent", "Hallucinogen", or "Muscle Relaxant" in your pouch. Put it into your opponent\'s hand.', textKoAdditional: 'Choose a "Numbing Agent", "Hallucinogen", or "Muscle Relaxant" in your pouch. Put it into your opponent's hand.', textEn: 'Choose a "Numbing Agent", "Hallucinogen", or "Muscle Relaxant" in your pouch. Put it into your opponent\'s hand.'},</x:v>
      </x:c>
      <x:c r="AU138" t="str">
        <x:f>IF($A138&lt;&gt;"", "    /** 《"&amp;$E138&amp;"》 */ export const "&amp;SUBSTITUTE(UPPER(IF(MID($A138, 3, 1)="-", RIGHT($A138,LEN($A138)-3), $A138)), "-", "_")&amp;": TCardId = '"&amp;$A138&amp;"';", "")</x:f>
        <x:v>    /** 《毒霧》 */ export const CHIKAGE_O_N_5: TCardId = '09-chikage-o-n-5';</x:v>
      </x:c>
      <x:c r="AV138" t="str">
        <x:f>IF($A139&lt;&gt;"", "    | '"&amp;$A139&amp;"'", "")</x:f>
        <x:v>    | '09-chikage-o-n-6'</x:v>
      </x:c>
    </x:row>
    <x:row r="139" ht="68" customHeight="1">
      <x:c r="A139" t="str">
        <x:v>09-chikage-o-n-6</x:v>
      </x:c>
      <x:c r="B139" t="str">
        <x:v>chikage</x:v>
      </x:c>
      <x:c r="C139"/>
      <x:c r="D139"/>
      <x:c r="E139" t="str">
        <x:v>抜き足</x:v>
      </x:c>
      <x:c r="F139" t="str">
        <x:v>ぬきあし</x:v>
      </x:c>
      <x:c r="G139" t="str">
        <x:v>蹑足</x:v>
      </x:c>
      <x:c r="H139" t="str">
        <x:v>奔跑</x:v>
      </x:c>
      <x:c r="I139"/>
      <x:c r="J139" t="str">
        <x:v>까치발 걸음</x:v>
      </x:c>
      <x:c r="K139" t="str">
        <x:v>Silent Approach</x:v>
      </x:c>
      <x:c r="L139"/>
      <x:c r="M139" t="str">
        <x:v>通常札</x:v>
      </x:c>
      <x:c r="N139"/>
      <x:c r="O139"/>
      <x:c r="P139"/>
      <x:c r="Q139"/>
      <x:c r="R139" t="str">
        <x:v>付与</x:v>
      </x:c>
      <x:c r="S139"/>
      <x:c r="T139"/>
      <x:c r="U139"/>
      <x:c r="V139"/>
      <x:c r="W139"/>
      <x:c r="X139" t="n">
        <x:v>4</x:v>
      </x:c>
      <x:c r="Y139"/>
      <x:c r="Z139"/>
      <x:c r="AA139"/>
      <x:c r="AB139"/>
      <x:c r="AC139"/>
      <x:c r="AD139"/>
      <x:c r="AE139" s="438" t="str">
        <x:v>隙
【展開中】現在の間合は2減少する。</x:v>
      </x:c>
      <x:c r="AF139" s="438"/>
      <x:c r="AG139" s="499" t="str">
        <x:v>破绽
【展开中】当前距离减小2。
（距离不会为负）</x:v>
      </x:c>
      <x:c r="AH139" s="438"/>
      <x:c r="AI139" s="499" t="str">
        <x:v>破绽
【展开中】当前距离减小2（距离不会为负）。</x:v>
      </x:c>
      <x:c r="AJ139" s="438"/>
      <x:c r="AK139" s="499" t="str">
        <x:v>빈틈 
 【전개중】현재 간격은 2 감소한다.
 (간격은 0 미만이 되지 않는다.)</x:v>
      </x:c>
      <x:c r="AL139" s="438"/>
      <x:c r="AM139" s="499" t="str">
        <x:v>Unguarded
Ongoing: Decrease the current Distance by 2 (to a minimum of 0).</x:v>
      </x:c>
      <x:c r="AN139" s="438"/>
      <x:c r="AO139" s="438"/>
      <x:c r="AP139" s="438"/>
      <x:c r="AQ139" s="438"/>
      <x:c r="AR139" s="438"/>
      <x:c r="AS139" s="438"/>
      <x:c r="AT139" t="str">
        <x:f>IF(A139="", "","'"&amp;A139&amp;"': {megami: '"&amp;B139&amp;"'"&amp;IF(C139&lt;&gt;"",", anotherID: '"&amp;C139&amp;"', replace: '"&amp;D139&amp;"'","")&amp;", name: '"&amp;SUBSTITUTE(E139,"'","\'")&amp;"', nameEn: '"&amp;SUBSTITUTE(K139,"'","\'")&amp;"', nameZh: '"&amp;SUBSTITUTE(G139,"'","\'")&amp;"', nameZhG138: '"&amp;SUBSTITUTE(H139,"'","\'")&amp;"', nameKo: '"&amp;SUBSTITUTE(J139,"'","\'")&amp;"', ruby: '"&amp;F139&amp;"', rubyEn: '"&amp;L139&amp;IF(I139&lt;&gt;"", "', rubyZh: '"&amp;I139, "")&amp;"', baseType: '"&amp;IF(M139="通常札","normal",IF(M139="切札","special",IF(M139="追加札","extra",IF(M139="transform","transform",IF(M139="嵐","storm",IF(M139="兵員","troop",IF(M139="構想","plan",IF(M139="メインパーツ","mainParts",IF(M139="カスタムパーツ","customParts",IF(M139="運命","fate",IF(M139="仮想樹","virtualTree","")))))))))))&amp;"'"&amp;IF(N139="○",", extra: true","")&amp;IF(O139&lt;&gt;"",", extraFrom: '"&amp;O139&amp;"'","")&amp;IF(P139&lt;&gt;"",", exchangableTo: '"&amp;P139&amp;"'","")&amp;IF(Q139="○",", poison: true","")&amp;IF(R139&lt;&gt;"", ", type: '"&amp;IF(R139="攻撃","attack",IF(R139="行動","action",IF(R139="不定","variable",IF(R139="対応","reaction",IF(R139="全力","fullpower",IF(R139="付与","enhance",IF(R139="transform","transform","")))))))&amp;"'", "")&amp;IF(S139&lt;&gt;"",", subType: '"&amp;IF(S139="攻撃","attack",IF(S139="行動","action",IF(S139="不定","variable",IF(S139="対応","reaction",IF(S139="全力","fullpower",IF(S139="付与","enhance",IF(S139="transform","transform","")))))))&amp;"'","")&amp;""&amp;IF(T139&lt;&gt;"",", range: '"&amp;T139&amp;"'","")&amp;IF(V139&lt;&gt;"",", damage: '"&amp;V139&amp;"'","")&amp;IF(X139&lt;&gt;"",", capacity: '"&amp;X139&amp;"'","")&amp;IF(Y139&lt;&gt;"",", growth: "&amp;Y139&amp;"","")&amp;IF(Z139&lt;&gt;"",", cost: '"&amp;Z139&amp;"'","")&amp;", text: '"&amp;SUBSTITUTE(SUBSTITUTE(AE139, CHAR(13), ""),CHAR(10),"\n")&amp;IF(AF139&lt;&gt;"", "', textAdditional: '"&amp;SUBSTITUTE(SUBSTITUTE(AF139, CHAR(13), ""),CHAR(10),"\n"), "")&amp;"', textZh: '"&amp;SUBSTITUTE(SUBSTITUTE(SUBSTITUTE(AG139, CHAR(13), ""),CHAR(10),"\n"),"'","\'")&amp;"', textZhG138: '"&amp;SUBSTITUTE(SUBSTITUTE(SUBSTITUTE(AI139, CHAR(13), ""),CHAR(10),"\n"),"'","\'")&amp;IF(AH139&lt;&gt;"", "', textZhAdditional: '"&amp;SUBSTITUTE(SUBSTITUTE(AH139, CHAR(13), ""),CHAR(10),"\n"), "")&amp;IF(AK139&lt;&gt;"", "', textZhG138Additional: '"&amp;SUBSTITUTE(SUBSTITUTE(AK139, CHAR(13), ""),CHAR(10),"\n"), "")&amp;"', textKo: '"&amp;SUBSTITUTE(SUBSTITUTE(SUBSTITUTE(AM139, CHAR(13), ""),CHAR(10),"\n"),"'","\'")&amp;IF(AM139&lt;&gt;"", "', textKoAdditional: '"&amp;SUBSTITUTE(SUBSTITUTE(AM139, CHAR(13), ""),CHAR(10),"\n"), "")&amp;"', textEn: '"&amp;SUBSTITUTE(SUBSTITUTE(SUBSTITUTE(AM139, CHAR(13), ""),CHAR(10),"\n"),"'","\'")&amp;IF(AN139&lt;&gt;"", "', textEnAdditional: '"&amp;SUBSTITUTE(SUBSTITUTE(AN139, CHAR(13), ""),CHAR(10),"\n"), "")&amp;"'"&amp;IF(AB139="○",", sealable: true","")&amp;IF(AC139="○",", removable: true","")&amp;IF(AA139="○",", lie: true","")&amp;IF(AD139="○",", investable: true","")&amp;"},")</x:f>
        <x:v>'09-chikage-o-n-6': {megami: 'chikage', name: '抜き足', nameEn: 'Silent Approach', nameZh: '蹑足', nameZhG138: '奔跑', nameKo: '까치발 걸음', ruby: 'ぬきあし', rubyEn: '', baseType: 'normal', type: 'enhance', capacity: '4', text: '隙\n【展開中】現在の間合は2減少する。', textZh: '破绽\n【展开中】当前距离减小2。\n（距离不会为负）', textZhG138: '破绽\n【展开中】当前距离减小2（距离不会为负）。', textZhG138Additional: '빈틈 \n 【전개중】현재 간격은 2 감소한다.\n (간격은 0 미만이 되지 않는다.)', textKo: 'Unguarded\n\nOngoing: Decrease the current Distance by 2 (to a minimum of 0).', textKoAdditional: 'Unguarded\n\nOngoing: Decrease the current Distance by 2 (to a minimum of 0).', textEn: 'Unguarded\n\nOngoing: Decrease the current Distance by 2 (to a minimum of 0).'},</x:v>
      </x:c>
      <x:c r="AU139" t="str">
        <x:f>IF($A139&lt;&gt;"", "    /** 《"&amp;$E139&amp;"》 */ export const "&amp;SUBSTITUTE(UPPER(IF(MID($A139, 3, 1)="-", RIGHT($A139,LEN($A139)-3), $A139)), "-", "_")&amp;": TCardId = '"&amp;$A139&amp;"';", "")</x:f>
        <x:v>    /** 《抜き足》 */ export const CHIKAGE_O_N_6: TCardId = '09-chikage-o-n-6';</x:v>
      </x:c>
      <x:c r="AV139" t="str">
        <x:f>IF($A140&lt;&gt;"", "    | '"&amp;$A140&amp;"'", "")</x:f>
        <x:v>    | '09-chikage-o-n-7'</x:v>
      </x:c>
    </x:row>
    <x:row r="140" ht="38" customHeight="1">
      <x:c r="A140" t="str">
        <x:v>09-chikage-o-n-7</x:v>
      </x:c>
      <x:c r="B140" t="str">
        <x:v>chikage</x:v>
      </x:c>
      <x:c r="C140"/>
      <x:c r="D140"/>
      <x:c r="E140" t="str">
        <x:v>泥濘</x:v>
      </x:c>
      <x:c r="F140" t="str">
        <x:v>でいねい</x:v>
      </x:c>
      <x:c r="G140" t="str">
        <x:v>泥泞</x:v>
      </x:c>
      <x:c r="H140" t="str">
        <x:v>泥泞</x:v>
      </x:c>
      <x:c r="I140"/>
      <x:c r="J140" t="str">
        <x:v>진흙탕</x:v>
      </x:c>
      <x:c r="K140" t="str">
        <x:v>Quagmire</x:v>
      </x:c>
      <x:c r="L140"/>
      <x:c r="M140" t="str">
        <x:v>通常札</x:v>
      </x:c>
      <x:c r="N140"/>
      <x:c r="O140"/>
      <x:c r="P140"/>
      <x:c r="Q140"/>
      <x:c r="R140" t="str">
        <x:v>付与</x:v>
      </x:c>
      <x:c r="S140"/>
      <x:c r="T140"/>
      <x:c r="U140"/>
      <x:c r="V140"/>
      <x:c r="W140"/>
      <x:c r="X140" t="n">
        <x:v>2</x:v>
      </x:c>
      <x:c r="Y140"/>
      <x:c r="Z140"/>
      <x:c r="AA140"/>
      <x:c r="AB140"/>
      <x:c r="AC140"/>
      <x:c r="AD140"/>
      <x:c r="AE140" s="438" t="str">
        <x:v>【展開中】相手は基本動作《後退》と《離脱》を行えない。</x:v>
      </x:c>
      <x:c r="AF140" s="438"/>
      <x:c r="AG140" s="438" t="str">
        <x:v>【展开中】对手不能执行基本动作《后退》和《离脱》。</x:v>
      </x:c>
      <x:c r="AH140" s="438"/>
      <x:c r="AI140" s="438" t="str">
        <x:v>【展开中】对手不能执行基本动作《后退》和《离脱》。</x:v>
      </x:c>
      <x:c r="AJ140" s="438"/>
      <x:c r="AK140" s="438" t="str">
        <x:v>【전개중】상대는 기본 동작 《후퇴》와 《이탈》을 행할 수 없다.</x:v>
      </x:c>
      <x:c r="AL140" s="438"/>
      <x:c r="AM140" s="438" t="str">
        <x:v>Ongoing: Your opponent cannot perform the Backward Movement or Retreat basic actions.</x:v>
      </x:c>
      <x:c r="AN140" s="438"/>
      <x:c r="AO140" s="438"/>
      <x:c r="AP140" s="438"/>
      <x:c r="AQ140" s="438"/>
      <x:c r="AR140" s="438"/>
      <x:c r="AS140" s="438"/>
      <x:c r="AT140" t="str">
        <x:f>IF(A140="", "","'"&amp;A140&amp;"': {megami: '"&amp;B140&amp;"'"&amp;IF(C140&lt;&gt;"",", anotherID: '"&amp;C140&amp;"', replace: '"&amp;D140&amp;"'","")&amp;", name: '"&amp;SUBSTITUTE(E140,"'","\'")&amp;"', nameEn: '"&amp;SUBSTITUTE(K140,"'","\'")&amp;"', nameZh: '"&amp;SUBSTITUTE(G140,"'","\'")&amp;"', nameZhG139: '"&amp;SUBSTITUTE(H140,"'","\'")&amp;"', nameKo: '"&amp;SUBSTITUTE(J140,"'","\'")&amp;"', ruby: '"&amp;F140&amp;"', rubyEn: '"&amp;L140&amp;IF(I140&lt;&gt;"", "', rubyZh: '"&amp;I140, "")&amp;"', baseType: '"&amp;IF(M140="通常札","normal",IF(M140="切札","special",IF(M140="追加札","extra",IF(M140="transform","transform",IF(M140="嵐","storm",IF(M140="兵員","troop",IF(M140="構想","plan",IF(M140="メインパーツ","mainParts",IF(M140="カスタムパーツ","customParts",IF(M140="運命","fate",IF(M140="仮想樹","virtualTree","")))))))))))&amp;"'"&amp;IF(N140="○",", extra: true","")&amp;IF(O140&lt;&gt;"",", extraFrom: '"&amp;O140&amp;"'","")&amp;IF(P140&lt;&gt;"",", exchangableTo: '"&amp;P140&amp;"'","")&amp;IF(Q140="○",", poison: true","")&amp;IF(R140&lt;&gt;"", ", type: '"&amp;IF(R140="攻撃","attack",IF(R140="行動","action",IF(R140="不定","variable",IF(R140="対応","reaction",IF(R140="全力","fullpower",IF(R140="付与","enhance",IF(R140="transform","transform","")))))))&amp;"'", "")&amp;IF(S140&lt;&gt;"",", subType: '"&amp;IF(S140="攻撃","attack",IF(S140="行動","action",IF(S140="不定","variable",IF(S140="対応","reaction",IF(S140="全力","fullpower",IF(S140="付与","enhance",IF(S140="transform","transform","")))))))&amp;"'","")&amp;""&amp;IF(T140&lt;&gt;"",", range: '"&amp;T140&amp;"'","")&amp;IF(V140&lt;&gt;"",", damage: '"&amp;V140&amp;"'","")&amp;IF(X140&lt;&gt;"",", capacity: '"&amp;X140&amp;"'","")&amp;IF(Y140&lt;&gt;"",", growth: "&amp;Y140&amp;"","")&amp;IF(Z140&lt;&gt;"",", cost: '"&amp;Z140&amp;"'","")&amp;", text: '"&amp;SUBSTITUTE(SUBSTITUTE(AE140, CHAR(13), ""),CHAR(10),"\n")&amp;IF(AF140&lt;&gt;"", "', textAdditional: '"&amp;SUBSTITUTE(SUBSTITUTE(AF140, CHAR(13), ""),CHAR(10),"\n"), "")&amp;"', textZh: '"&amp;SUBSTITUTE(SUBSTITUTE(SUBSTITUTE(AG140, CHAR(13), ""),CHAR(10),"\n"),"'","\'")&amp;"', textZhG139: '"&amp;SUBSTITUTE(SUBSTITUTE(SUBSTITUTE(AI140, CHAR(13), ""),CHAR(10),"\n"),"'","\'")&amp;IF(AH140&lt;&gt;"", "', textZhAdditional: '"&amp;SUBSTITUTE(SUBSTITUTE(AH140, CHAR(13), ""),CHAR(10),"\n"), "")&amp;IF(AK140&lt;&gt;"", "', textZhG139Additional: '"&amp;SUBSTITUTE(SUBSTITUTE(AK140, CHAR(13), ""),CHAR(10),"\n"), "")&amp;"', textKo: '"&amp;SUBSTITUTE(SUBSTITUTE(SUBSTITUTE(AM140, CHAR(13), ""),CHAR(10),"\n"),"'","\'")&amp;IF(AM140&lt;&gt;"", "', textKoAdditional: '"&amp;SUBSTITUTE(SUBSTITUTE(AM140, CHAR(13), ""),CHAR(10),"\n"), "")&amp;"', textEn: '"&amp;SUBSTITUTE(SUBSTITUTE(SUBSTITUTE(AM140, CHAR(13), ""),CHAR(10),"\n"),"'","\'")&amp;IF(AN140&lt;&gt;"", "', textEnAdditional: '"&amp;SUBSTITUTE(SUBSTITUTE(AN140, CHAR(13), ""),CHAR(10),"\n"), "")&amp;"'"&amp;IF(AB140="○",", sealable: true","")&amp;IF(AC140="○",", removable: true","")&amp;IF(AA140="○",", lie: true","")&amp;IF(AD140="○",", investable: true","")&amp;"},")</x:f>
        <x:v>'09-chikage-o-n-7': {megami: 'chikage', name: '泥濘', nameEn: 'Quagmire', nameZh: '泥泞', nameZhG139: '泥泞', nameKo: '진흙탕', ruby: 'でいねい', rubyEn: '', baseType: 'normal', type: 'enhance', capacity: '2', text: '【展開中】相手は基本動作《後退》と《離脱》を行えない。', textZh: '【展开中】对手不能执行基本动作《后退》和《离脱》。', textZhG139: '【展开中】对手不能执行基本动作《后退》和《离脱》。', textZhG139Additional: '【전개중】상대는 기본 동작 《후퇴》와 《이탈》을 행할 수 없다.', textKo: 'Ongoing: Your opponent cannot perform the Backward Movement or Retreat basic actions.', textKoAdditional: 'Ongoing: Your opponent cannot perform the Backward Movement or Retreat basic actions.', textEn: 'Ongoing: Your opponent cannot perform the Backward Movement or Retreat basic actions.'},</x:v>
      </x:c>
      <x:c r="AU140" t="str">
        <x:f>IF($A140&lt;&gt;"", "    /** 《"&amp;$E140&amp;"》 */ export const "&amp;SUBSTITUTE(UPPER(IF(MID($A140, 3, 1)="-", RIGHT($A140,LEN($A140)-3), $A140)), "-", "_")&amp;": TCardId = '"&amp;$A140&amp;"';", "")</x:f>
        <x:v>    /** 《泥濘》 */ export const CHIKAGE_O_N_7: TCardId = '09-chikage-o-n-7';</x:v>
      </x:c>
      <x:c r="AV140" t="str">
        <x:f>IF($A141&lt;&gt;"", "    | '"&amp;$A141&amp;"'", "")</x:f>
        <x:v>    | '09-chikage-o-s-1'</x:v>
      </x:c>
    </x:row>
    <x:row r="141" ht="38" customHeight="1">
      <x:c r="A141" t="str">
        <x:v>09-chikage-o-s-1</x:v>
      </x:c>
      <x:c r="B141" t="str">
        <x:v>chikage</x:v>
      </x:c>
      <x:c r="C141"/>
      <x:c r="D141"/>
      <x:c r="E141" t="str">
        <x:v>滅灯の魂毒</x:v>
      </x:c>
      <x:c r="F141" t="str">
        <x:v>ほろびのみたまどく</x:v>
      </x:c>
      <x:c r="G141" t="str">
        <x:v>灭灯御魂毒</x:v>
      </x:c>
      <x:c r="H141" t="str">
        <x:v>魂毒渐灭灯</x:v>
      </x:c>
      <x:c r="I141"/>
      <x:c r="J141" t="str">
        <x:v>멸등의 영혼독</x:v>
      </x:c>
      <x:c r="K141" t="str">
        <x:v>Ruinous Soultoxin</x:v>
      </x:c>
      <x:c r="L141"/>
      <x:c r="M141" t="str">
        <x:v>切札</x:v>
      </x:c>
      <x:c r="N141"/>
      <x:c r="O141"/>
      <x:c r="P141"/>
      <x:c r="Q141"/>
      <x:c r="R141" t="str">
        <x:v>行動</x:v>
      </x:c>
      <x:c r="S141"/>
      <x:c r="T141"/>
      <x:c r="U141"/>
      <x:c r="V141"/>
      <x:c r="W141"/>
      <x:c r="X141"/>
      <x:c r="Y141"/>
      <x:c r="Z141" t="n">
        <x:v>3</x:v>
      </x:c>
      <x:c r="AA141"/>
      <x:c r="AB141"/>
      <x:c r="AC141"/>
      <x:c r="AD141"/>
      <x:c r="AE141" s="438" t="str">
        <x:v>毒袋から「滅灯毒」1枚を選び、そのカードを相手の山札の一番上に置く。</x:v>
      </x:c>
      <x:c r="AF141" s="438"/>
      <x:c r="AG141" s="499" t="str">
        <x:v>从毒袋中将1张『灭灯毒』置于对手的牌库顶。</x:v>
      </x:c>
      <x:c r="AH141" s="438"/>
      <x:c r="AI141" s="499" t="str">
        <x:v>从毒袋中将一张灭灯毒置于对手的牌库顶。</x:v>
      </x:c>
      <x:c r="AJ141" s="438"/>
      <x:c r="AK141" s="499" t="str">
        <x:v>독주머니에서「멸등독」을 한 장 골라, 그 카드를 상대 패산 가장 위에 둔다.</x:v>
      </x:c>
      <x:c r="AL141" s="438"/>
      <x:c r="AM141" s="499" t="str">
        <x:v>Choose a "Fading Light Toxin" in your pouch. Put it on top of your opponent's deck.</x:v>
      </x:c>
      <x:c r="AN141" s="438"/>
      <x:c r="AO141" s="438"/>
      <x:c r="AP141" s="438"/>
      <x:c r="AQ141" s="438"/>
      <x:c r="AR141" s="438"/>
      <x:c r="AS141" s="438"/>
      <x:c r="AT141" t="str">
        <x:f>IF(A141="", "","'"&amp;A141&amp;"': {megami: '"&amp;B141&amp;"'"&amp;IF(C141&lt;&gt;"",", anotherID: '"&amp;C141&amp;"', replace: '"&amp;D141&amp;"'","")&amp;", name: '"&amp;SUBSTITUTE(E141,"'","\'")&amp;"', nameEn: '"&amp;SUBSTITUTE(K141,"'","\'")&amp;"', nameZh: '"&amp;SUBSTITUTE(G141,"'","\'")&amp;"', nameZhG140: '"&amp;SUBSTITUTE(H141,"'","\'")&amp;"', nameKo: '"&amp;SUBSTITUTE(J141,"'","\'")&amp;"', ruby: '"&amp;F141&amp;"', rubyEn: '"&amp;L141&amp;IF(I141&lt;&gt;"", "', rubyZh: '"&amp;I141, "")&amp;"', baseType: '"&amp;IF(M141="通常札","normal",IF(M141="切札","special",IF(M141="追加札","extra",IF(M141="transform","transform",IF(M141="嵐","storm",IF(M141="兵員","troop",IF(M141="構想","plan",IF(M141="メインパーツ","mainParts",IF(M141="カスタムパーツ","customParts",IF(M141="運命","fate",IF(M141="仮想樹","virtualTree","")))))))))))&amp;"'"&amp;IF(N141="○",", extra: true","")&amp;IF(O141&lt;&gt;"",", extraFrom: '"&amp;O141&amp;"'","")&amp;IF(P141&lt;&gt;"",", exchangableTo: '"&amp;P141&amp;"'","")&amp;IF(Q141="○",", poison: true","")&amp;IF(R141&lt;&gt;"", ", type: '"&amp;IF(R141="攻撃","attack",IF(R141="行動","action",IF(R141="不定","variable",IF(R141="対応","reaction",IF(R141="全力","fullpower",IF(R141="付与","enhance",IF(R141="transform","transform","")))))))&amp;"'", "")&amp;IF(S141&lt;&gt;"",", subType: '"&amp;IF(S141="攻撃","attack",IF(S141="行動","action",IF(S141="不定","variable",IF(S141="対応","reaction",IF(S141="全力","fullpower",IF(S141="付与","enhance",IF(S141="transform","transform","")))))))&amp;"'","")&amp;""&amp;IF(T141&lt;&gt;"",", range: '"&amp;T141&amp;"'","")&amp;IF(V141&lt;&gt;"",", damage: '"&amp;V141&amp;"'","")&amp;IF(X141&lt;&gt;"",", capacity: '"&amp;X141&amp;"'","")&amp;IF(Y141&lt;&gt;"",", growth: "&amp;Y141&amp;"","")&amp;IF(Z141&lt;&gt;"",", cost: '"&amp;Z141&amp;"'","")&amp;", text: '"&amp;SUBSTITUTE(SUBSTITUTE(AE141, CHAR(13), ""),CHAR(10),"\n")&amp;IF(AF141&lt;&gt;"", "', textAdditional: '"&amp;SUBSTITUTE(SUBSTITUTE(AF141, CHAR(13), ""),CHAR(10),"\n"), "")&amp;"', textZh: '"&amp;SUBSTITUTE(SUBSTITUTE(SUBSTITUTE(AG141, CHAR(13), ""),CHAR(10),"\n"),"'","\'")&amp;"', textZhG140: '"&amp;SUBSTITUTE(SUBSTITUTE(SUBSTITUTE(AI141, CHAR(13), ""),CHAR(10),"\n"),"'","\'")&amp;IF(AH141&lt;&gt;"", "', textZhAdditional: '"&amp;SUBSTITUTE(SUBSTITUTE(AH141, CHAR(13), ""),CHAR(10),"\n"), "")&amp;IF(AK141&lt;&gt;"", "', textZhG140Additional: '"&amp;SUBSTITUTE(SUBSTITUTE(AK141, CHAR(13), ""),CHAR(10),"\n"), "")&amp;"', textKo: '"&amp;SUBSTITUTE(SUBSTITUTE(SUBSTITUTE(AM141, CHAR(13), ""),CHAR(10),"\n"),"'","\'")&amp;IF(AM141&lt;&gt;"", "', textKoAdditional: '"&amp;SUBSTITUTE(SUBSTITUTE(AM141, CHAR(13), ""),CHAR(10),"\n"), "")&amp;"', textEn: '"&amp;SUBSTITUTE(SUBSTITUTE(SUBSTITUTE(AM141, CHAR(13), ""),CHAR(10),"\n"),"'","\'")&amp;IF(AN141&lt;&gt;"", "', textEnAdditional: '"&amp;SUBSTITUTE(SUBSTITUTE(AN141, CHAR(13), ""),CHAR(10),"\n"), "")&amp;"'"&amp;IF(AB141="○",", sealable: true","")&amp;IF(AC141="○",", removable: true","")&amp;IF(AA141="○",", lie: true","")&amp;IF(AD141="○",", investable: true","")&amp;"},")</x:f>
        <x:v>'09-chikage-o-s-1': {megami: 'chikage', name: '滅灯の魂毒', nameEn: 'Ruinous Soultoxin', nameZh: '灭灯御魂毒', nameZhG140: '魂毒渐灭灯', nameKo: '멸등의 영혼독', ruby: 'ほろびのみたまどく', rubyEn: '', baseType: 'special', type: 'action', cost: '3', text: '毒袋から「滅灯毒」1枚を選び、そのカードを相手の山札の一番上に置く。', textZh: '从毒袋中将1张『灭灯毒』置于对手的牌库顶。', textZhG140: '从毒袋中将一张灭灯毒置于对手的牌库顶。', textZhG140Additional: '독주머니에서「멸등독」을 한 장 골라, 그 카드를 상대 패산 가장 위에 둔다.', textKo: 'Choose a "Fading Light Toxin" in your pouch. Put it on top of your opponent\'s deck.', textKoAdditional: 'Choose a "Fading Light Toxin" in your pouch. Put it on top of your opponent's deck.', textEn: 'Choose a "Fading Light Toxin" in your pouch. Put it on top of your opponent\'s deck.'},</x:v>
      </x:c>
      <x:c r="AU141" t="str">
        <x:f>IF($A141&lt;&gt;"", "    /** 《"&amp;$E141&amp;"》 */ export const "&amp;SUBSTITUTE(UPPER(IF(MID($A141, 3, 1)="-", RIGHT($A141,LEN($A141)-3), $A141)), "-", "_")&amp;": TCardId = '"&amp;$A141&amp;"';", "")</x:f>
        <x:v>    /** 《滅灯の魂毒》 */ export const CHIKAGE_O_S_1: TCardId = '09-chikage-o-s-1';</x:v>
      </x:c>
      <x:c r="AV141" t="str">
        <x:f>IF($A142&lt;&gt;"", "    | '"&amp;$A142&amp;"'", "")</x:f>
        <x:v>    | '09-chikage-o-s-2'</x:v>
      </x:c>
    </x:row>
    <x:row r="142" ht="68" customHeight="1">
      <x:c r="A142" t="str">
        <x:v>09-chikage-o-s-2</x:v>
      </x:c>
      <x:c r="B142" t="str">
        <x:v>chikage</x:v>
      </x:c>
      <x:c r="C142"/>
      <x:c r="D142"/>
      <x:c r="E142" t="str">
        <x:v>叛旗の纏毒</x:v>
      </x:c>
      <x:c r="F142" t="str">
        <x:v>はんきのまといどく</x:v>
      </x:c>
      <x:c r="G142" t="str">
        <x:v>叛旗纠缠毒</x:v>
      </x:c>
      <x:c r="H142" t="str">
        <x:v>缠毒揭叛旗</x:v>
      </x:c>
      <x:c r="I142"/>
      <x:c r="J142" t="str">
        <x:v>반기의 얽힌독</x:v>
      </x:c>
      <x:c r="K142" t="str">
        <x:v>Treacherous Spiritquell</x:v>
      </x:c>
      <x:c r="L142"/>
      <x:c r="M142" t="str">
        <x:v>切札</x:v>
      </x:c>
      <x:c r="N142"/>
      <x:c r="O142"/>
      <x:c r="P142"/>
      <x:c r="Q142"/>
      <x:c r="R142" t="str">
        <x:v>付与</x:v>
      </x:c>
      <x:c r="S142"/>
      <x:c r="T142"/>
      <x:c r="U142"/>
      <x:c r="V142"/>
      <x:c r="W142"/>
      <x:c r="X142" t="n">
        <x:v>3</x:v>
      </x:c>
      <x:c r="Y142"/>
      <x:c r="Z142" t="n">
        <x:v>3</x:v>
      </x:c>
      <x:c r="AA142"/>
      <x:c r="AB142"/>
      <x:c r="AC142"/>
      <x:c r="AD142"/>
      <x:c r="AE142" s="438" t="str">
        <x:v>【展開中】ライフへのダメージが「-」でないお互いの《攻撃》において、オーラへのダメージは、ライフへのダメージの値に等しくなる。
（例えば3/1は1/1として、1/2は2/2として、-/1は1/1として扱う。代入が重複するならば、その《攻撃》自体の代入する効果を先に適用する）</x:v>
      </x:c>
      <x:c r="AF142" s="438"/>
      <x:c r="AG142" s="499" t="str">
        <x:v>【展开中】打消对手进行的伤害中含有“-”的所有《攻击》。</x:v>
      </x:c>
      <x:c r="AH142" s="438"/>
      <x:c r="AI142" s="499" t="str">
        <x:v>【展开中】打消对手进行的伤害中含有“-”的所有《攻击》。</x:v>
      </x:c>
      <x:c r="AJ142" s="438"/>
      <x:c r="AK142" s="499" t="str">
        <x:v>【전개중】상대에 의한 오라로의 대미지, 혹은 라이프로의 대미지 중 어느 한 쪽이 「-」인 《공격》은 무효화된다.</x:v>
      </x:c>
      <x:c r="AL142" s="438"/>
      <x:c r="AM142" s="499" t="str">
        <x:v>Ongoing: Your opponent's attacks that have "-" Damage to Aura or Life are automatically cancelled.</x:v>
      </x:c>
      <x:c r="AN142" s="438"/>
      <x:c r="AO142" s="438"/>
      <x:c r="AP142" s="438"/>
      <x:c r="AQ142" s="438"/>
      <x:c r="AR142" s="438"/>
      <x:c r="AS142" s="438"/>
      <x:c r="AT142" t="str">
        <x:f>IF(A142="", "","'"&amp;A142&amp;"': {megami: '"&amp;B142&amp;"'"&amp;IF(C142&lt;&gt;"",", anotherID: '"&amp;C142&amp;"', replace: '"&amp;D142&amp;"'","")&amp;", name: '"&amp;SUBSTITUTE(E142,"'","\'")&amp;"', nameEn: '"&amp;SUBSTITUTE(K142,"'","\'")&amp;"', nameZh: '"&amp;SUBSTITUTE(G142,"'","\'")&amp;"', nameZhG141: '"&amp;SUBSTITUTE(H142,"'","\'")&amp;"', nameKo: '"&amp;SUBSTITUTE(J142,"'","\'")&amp;"', ruby: '"&amp;F142&amp;"', rubyEn: '"&amp;L142&amp;IF(I142&lt;&gt;"", "', rubyZh: '"&amp;I142, "")&amp;"', baseType: '"&amp;IF(M142="通常札","normal",IF(M142="切札","special",IF(M142="追加札","extra",IF(M142="transform","transform",IF(M142="嵐","storm",IF(M142="兵員","troop",IF(M142="構想","plan",IF(M142="メインパーツ","mainParts",IF(M142="カスタムパーツ","customParts",IF(M142="運命","fate",IF(M142="仮想樹","virtualTree","")))))))))))&amp;"'"&amp;IF(N142="○",", extra: true","")&amp;IF(O142&lt;&gt;"",", extraFrom: '"&amp;O142&amp;"'","")&amp;IF(P142&lt;&gt;"",", exchangableTo: '"&amp;P142&amp;"'","")&amp;IF(Q142="○",", poison: true","")&amp;IF(R142&lt;&gt;"", ", type: '"&amp;IF(R142="攻撃","attack",IF(R142="行動","action",IF(R142="不定","variable",IF(R142="対応","reaction",IF(R142="全力","fullpower",IF(R142="付与","enhance",IF(R142="transform","transform","")))))))&amp;"'", "")&amp;IF(S142&lt;&gt;"",", subType: '"&amp;IF(S142="攻撃","attack",IF(S142="行動","action",IF(S142="不定","variable",IF(S142="対応","reaction",IF(S142="全力","fullpower",IF(S142="付与","enhance",IF(S142="transform","transform","")))))))&amp;"'","")&amp;""&amp;IF(T142&lt;&gt;"",", range: '"&amp;T142&amp;"'","")&amp;IF(V142&lt;&gt;"",", damage: '"&amp;V142&amp;"'","")&amp;IF(X142&lt;&gt;"",", capacity: '"&amp;X142&amp;"'","")&amp;IF(Y142&lt;&gt;"",", growth: "&amp;Y142&amp;"","")&amp;IF(Z142&lt;&gt;"",", cost: '"&amp;Z142&amp;"'","")&amp;", text: '"&amp;SUBSTITUTE(SUBSTITUTE(AE142, CHAR(13), ""),CHAR(10),"\n")&amp;IF(AF142&lt;&gt;"", "', textAdditional: '"&amp;SUBSTITUTE(SUBSTITUTE(AF142, CHAR(13), ""),CHAR(10),"\n"), "")&amp;"', textZh: '"&amp;SUBSTITUTE(SUBSTITUTE(SUBSTITUTE(AG142, CHAR(13), ""),CHAR(10),"\n"),"'","\'")&amp;"', textZhG141: '"&amp;SUBSTITUTE(SUBSTITUTE(SUBSTITUTE(AI142, CHAR(13), ""),CHAR(10),"\n"),"'","\'")&amp;IF(AH142&lt;&gt;"", "', textZhAdditional: '"&amp;SUBSTITUTE(SUBSTITUTE(AH142, CHAR(13), ""),CHAR(10),"\n"), "")&amp;IF(AK142&lt;&gt;"", "', textZhG141Additional: '"&amp;SUBSTITUTE(SUBSTITUTE(AK142, CHAR(13), ""),CHAR(10),"\n"), "")&amp;"', textKo: '"&amp;SUBSTITUTE(SUBSTITUTE(SUBSTITUTE(AM142, CHAR(13), ""),CHAR(10),"\n"),"'","\'")&amp;IF(AM142&lt;&gt;"", "', textKoAdditional: '"&amp;SUBSTITUTE(SUBSTITUTE(AM142, CHAR(13), ""),CHAR(10),"\n"), "")&amp;"', textEn: '"&amp;SUBSTITUTE(SUBSTITUTE(SUBSTITUTE(AM142, CHAR(13), ""),CHAR(10),"\n"),"'","\'")&amp;IF(AN142&lt;&gt;"", "', textEnAdditional: '"&amp;SUBSTITUTE(SUBSTITUTE(AN142, CHAR(13), ""),CHAR(10),"\n"), "")&amp;"'"&amp;IF(AB142="○",", sealable: true","")&amp;IF(AC142="○",", removable: true","")&amp;IF(AA142="○",", lie: true","")&amp;IF(AD142="○",", investable: true","")&amp;"},")</x:f>
        <x:v>'09-chikage-o-s-2': {megami: 'chikage', name: '叛旗の纏毒', nameEn: 'Treacherous Spiritquell', nameZh: '叛旗纠缠毒', nameZhG141: '缠毒揭叛旗', nameKo: '반기의 얽힌독', ruby: 'はんきのまといどく', rubyEn: '', baseType: 'special', type: 'enhance', capacity: '3', cost: '3', text: '【展開中】ライフへのダメージが「-」でないお互いの《攻撃》において、オーラへのダメージは、ライフへのダメージの値に等しくなる。\n（例えば3/1は1/1として、1/2は2/2として、-/1は1/1として扱う。代入が重複するならば、その《攻撃》自体の代入する効果を先に適用する）', textZh: '【展开中】打消对手进行的伤害中含有“-”的所有《攻击》。', textZhG141: '【展开中】打消对手进行的伤害中含有“-”的所有《攻击》。', textZhG141Additional: '【전개중】상대에 의한 오라로의 대미지, 혹은 라이프로의 대미지 중 어느 한 쪽이 「-」인 《공격》은 무효화된다.', textKo: 'Ongoing: Your opponent\'s attacks that have "-" Damage to Aura or Life are automatically cancelled.', textKoAdditional: 'Ongoing: Your opponent's attacks that have "-" Damage to Aura or Life are automatically cancelled.', textEn: 'Ongoing: Your opponent\'s attacks that have "-" Damage to Aura or Life are automatically cancelled.'},</x:v>
      </x:c>
      <x:c r="AU142" t="str">
        <x:f>IF($A142&lt;&gt;"", "    /** 《"&amp;$E142&amp;"》 */ export const "&amp;SUBSTITUTE(UPPER(IF(MID($A142, 3, 1)="-", RIGHT($A142,LEN($A142)-3), $A142)), "-", "_")&amp;": TCardId = '"&amp;$A142&amp;"';", "")</x:f>
        <x:v>    /** 《叛旗の纏毒》 */ export const CHIKAGE_O_S_2: TCardId = '09-chikage-o-s-2';</x:v>
      </x:c>
      <x:c r="AV142" t="str">
        <x:f>IF($A143&lt;&gt;"", "    | '"&amp;$A143&amp;"'", "")</x:f>
        <x:v>    | '09-chikage-o-s-3'</x:v>
      </x:c>
    </x:row>
    <x:row r="143" ht="38" customHeight="1">
      <x:c r="A143" t="str">
        <x:v>09-chikage-o-s-3</x:v>
      </x:c>
      <x:c r="B143" t="str">
        <x:v>chikage</x:v>
      </x:c>
      <x:c r="C143"/>
      <x:c r="D143"/>
      <x:c r="E143" t="str">
        <x:v>流転の霞毒</x:v>
      </x:c>
      <x:c r="F143" t="str">
        <x:v>るてんのかすみどく</x:v>
      </x:c>
      <x:c r="G143" t="str">
        <x:v>流转幻霞毒</x:v>
      </x:c>
      <x:c r="H143" t="str">
        <x:v>霞毒空流转</x:v>
      </x:c>
      <x:c r="I143"/>
      <x:c r="J143" t="str">
        <x:v>윤회의 안개독</x:v>
      </x:c>
      <x:c r="K143" t="str">
        <x:v>Amorphous Mistbane</x:v>
      </x:c>
      <x:c r="L143"/>
      <x:c r="M143" t="str">
        <x:v>切札</x:v>
      </x:c>
      <x:c r="N143"/>
      <x:c r="O143"/>
      <x:c r="P143"/>
      <x:c r="Q143"/>
      <x:c r="R143" t="str">
        <x:v>攻撃</x:v>
      </x:c>
      <x:c r="S143"/>
      <x:c r="T143" t="str">
        <x:v>3-7</x:v>
      </x:c>
      <x:c r="U143"/>
      <x:c r="V143" t="str">
        <x:v>1/2</x:v>
      </x:c>
      <x:c r="W143"/>
      <x:c r="X143"/>
      <x:c r="Y143"/>
      <x:c r="Z143" t="n">
        <x:v>1</x:v>
      </x:c>
      <x:c r="AA143"/>
      <x:c r="AB143"/>
      <x:c r="AC143"/>
      <x:c r="AD143"/>
      <x:c r="AE143" s="438" t="str">
        <x:v>再起:相手の手札が2枚以上ある。</x:v>
      </x:c>
      <x:c r="AF143" s="438"/>
      <x:c r="AG143" s="499" t="str">
        <x:v>【再起】对手的手牌不少于2张。</x:v>
      </x:c>
      <x:c r="AH143" s="438"/>
      <x:c r="AI143" s="499" t="str">
        <x:v>【再起】对手的手牌多于2张。</x:v>
      </x:c>
      <x:c r="AJ143" s="438"/>
      <x:c r="AK143" s="499" t="str">
        <x:v>【재기】상대의 손패가 2장 이상이다.</x:v>
      </x:c>
      <x:c r="AL143" s="438"/>
      <x:c r="AM143" s="499" t="str">
        <x:v>Resurgence: Your opponent has 2 or more cards in their hand.</x:v>
      </x:c>
      <x:c r="AN143" s="438"/>
      <x:c r="AO143" s="438"/>
      <x:c r="AP143" s="438"/>
      <x:c r="AQ143" s="438"/>
      <x:c r="AR143" s="438"/>
      <x:c r="AS143" s="438"/>
      <x:c r="AT143" t="str">
        <x:f>IF(A143="", "","'"&amp;A143&amp;"': {megami: '"&amp;B143&amp;"'"&amp;IF(C143&lt;&gt;"",", anotherID: '"&amp;C143&amp;"', replace: '"&amp;D143&amp;"'","")&amp;", name: '"&amp;SUBSTITUTE(E143,"'","\'")&amp;"', nameEn: '"&amp;SUBSTITUTE(K143,"'","\'")&amp;"', nameZh: '"&amp;SUBSTITUTE(G143,"'","\'")&amp;"', nameZhG142: '"&amp;SUBSTITUTE(H143,"'","\'")&amp;"', nameKo: '"&amp;SUBSTITUTE(J143,"'","\'")&amp;"', ruby: '"&amp;F143&amp;"', rubyEn: '"&amp;L143&amp;IF(I143&lt;&gt;"", "', rubyZh: '"&amp;I143, "")&amp;"', baseType: '"&amp;IF(M143="通常札","normal",IF(M143="切札","special",IF(M143="追加札","extra",IF(M143="transform","transform",IF(M143="嵐","storm",IF(M143="兵員","troop",IF(M143="構想","plan",IF(M143="メインパーツ","mainParts",IF(M143="カスタムパーツ","customParts",IF(M143="運命","fate",IF(M143="仮想樹","virtualTree","")))))))))))&amp;"'"&amp;IF(N143="○",", extra: true","")&amp;IF(O143&lt;&gt;"",", extraFrom: '"&amp;O143&amp;"'","")&amp;IF(P143&lt;&gt;"",", exchangableTo: '"&amp;P143&amp;"'","")&amp;IF(Q143="○",", poison: true","")&amp;IF(R143&lt;&gt;"", ", type: '"&amp;IF(R143="攻撃","attack",IF(R143="行動","action",IF(R143="不定","variable",IF(R143="対応","reaction",IF(R143="全力","fullpower",IF(R143="付与","enhance",IF(R143="transform","transform","")))))))&amp;"'", "")&amp;IF(S143&lt;&gt;"",", subType: '"&amp;IF(S143="攻撃","attack",IF(S143="行動","action",IF(S143="不定","variable",IF(S143="対応","reaction",IF(S143="全力","fullpower",IF(S143="付与","enhance",IF(S143="transform","transform","")))))))&amp;"'","")&amp;""&amp;IF(T143&lt;&gt;"",", range: '"&amp;T143&amp;"'","")&amp;IF(V143&lt;&gt;"",", damage: '"&amp;V143&amp;"'","")&amp;IF(X143&lt;&gt;"",", capacity: '"&amp;X143&amp;"'","")&amp;IF(Y143&lt;&gt;"",", growth: "&amp;Y143&amp;"","")&amp;IF(Z143&lt;&gt;"",", cost: '"&amp;Z143&amp;"'","")&amp;", text: '"&amp;SUBSTITUTE(SUBSTITUTE(AE143, CHAR(13), ""),CHAR(10),"\n")&amp;IF(AF143&lt;&gt;"", "', textAdditional: '"&amp;SUBSTITUTE(SUBSTITUTE(AF143, CHAR(13), ""),CHAR(10),"\n"), "")&amp;"', textZh: '"&amp;SUBSTITUTE(SUBSTITUTE(SUBSTITUTE(AG143, CHAR(13), ""),CHAR(10),"\n"),"'","\'")&amp;"', textZhG142: '"&amp;SUBSTITUTE(SUBSTITUTE(SUBSTITUTE(AI143, CHAR(13), ""),CHAR(10),"\n"),"'","\'")&amp;IF(AH143&lt;&gt;"", "', textZhAdditional: '"&amp;SUBSTITUTE(SUBSTITUTE(AH143, CHAR(13), ""),CHAR(10),"\n"), "")&amp;IF(AK143&lt;&gt;"", "', textZhG142Additional: '"&amp;SUBSTITUTE(SUBSTITUTE(AK143, CHAR(13), ""),CHAR(10),"\n"), "")&amp;"', textKo: '"&amp;SUBSTITUTE(SUBSTITUTE(SUBSTITUTE(AM143, CHAR(13), ""),CHAR(10),"\n"),"'","\'")&amp;IF(AM143&lt;&gt;"", "', textKoAdditional: '"&amp;SUBSTITUTE(SUBSTITUTE(AM143, CHAR(13), ""),CHAR(10),"\n"), "")&amp;"', textEn: '"&amp;SUBSTITUTE(SUBSTITUTE(SUBSTITUTE(AM143, CHAR(13), ""),CHAR(10),"\n"),"'","\'")&amp;IF(AN143&lt;&gt;"", "', textEnAdditional: '"&amp;SUBSTITUTE(SUBSTITUTE(AN143, CHAR(13), ""),CHAR(10),"\n"), "")&amp;"'"&amp;IF(AB143="○",", sealable: true","")&amp;IF(AC143="○",", removable: true","")&amp;IF(AA143="○",", lie: true","")&amp;IF(AD143="○",", investable: true","")&amp;"},")</x:f>
        <x:v>'09-chikage-o-s-3': {megami: 'chikage', name: '流転の霞毒', nameEn: 'Amorphous Mistbane', nameZh: '流转幻霞毒', nameZhG142: '霞毒空流转', nameKo: '윤회의 안개독', ruby: 'るてんのかすみどく', rubyEn: '', baseType: 'special', type: 'attack', range: '3-7', damage: '1/2', cost: '1', text: '再起:相手の手札が2枚以上ある。', textZh: '【再起】对手的手牌不少于2张。', textZhG142: '【再起】对手的手牌多于2张。', textZhG142Additional: '【재기】상대의 손패가 2장 이상이다.', textKo: 'Resurgence: Your opponent has 2 or more cards in their hand.', textKoAdditional: 'Resurgence: Your opponent has 2 or more cards in their hand.', textEn: 'Resurgence: Your opponent has 2 or more cards in their hand.'},</x:v>
      </x:c>
      <x:c r="AU143" t="str">
        <x:f>IF($A143&lt;&gt;"", "    /** 《"&amp;$E143&amp;"》 */ export const "&amp;SUBSTITUTE(UPPER(IF(MID($A143, 3, 1)="-", RIGHT($A143,LEN($A143)-3), $A143)), "-", "_")&amp;": TCardId = '"&amp;$A143&amp;"';", "")</x:f>
        <x:v>    /** 《流転の霞毒》 */ export const CHIKAGE_O_S_3: TCardId = '09-chikage-o-s-3';</x:v>
      </x:c>
      <x:c r="AV143" t="str">
        <x:f>IF($A144&lt;&gt;"", "    | '"&amp;$A144&amp;"'", "")</x:f>
        <x:v>    | '09-chikage-o-s-4'</x:v>
      </x:c>
    </x:row>
    <x:row r="144" ht="113" customHeight="1">
      <x:c r="A144" t="str">
        <x:v>09-chikage-o-s-4</x:v>
      </x:c>
      <x:c r="B144" t="str">
        <x:v>chikage</x:v>
      </x:c>
      <x:c r="C144"/>
      <x:c r="D144"/>
      <x:c r="E144" t="str">
        <x:v>闇昏千影の生きる道</x:v>
      </x:c>
      <x:c r="F144" t="str">
        <x:v>やみくらちかげのいきるみち</x:v>
      </x:c>
      <x:c r="G144" t="str">
        <x:v>暗昏千影的生存之道</x:v>
      </x:c>
      <x:c r="H144" t="str">
        <x:v>暗昏千影的信条</x:v>
      </x:c>
      <x:c r="I144"/>
      <x:c r="J144" t="str">
        <x:v>야미쿠라 치카게의 사는 길</x:v>
      </x:c>
      <x:c r="K144" t="str">
        <x:v>Chikage's Grim Path</x:v>
      </x:c>
      <x:c r="L144"/>
      <x:c r="M144" t="str">
        <x:v>切札</x:v>
      </x:c>
      <x:c r="N144"/>
      <x:c r="O144"/>
      <x:c r="P144"/>
      <x:c r="Q144"/>
      <x:c r="R144" t="str">
        <x:v>付与</x:v>
      </x:c>
      <x:c r="S144" t="str">
        <x:v>全力</x:v>
      </x:c>
      <x:c r="T144"/>
      <x:c r="U144"/>
      <x:c r="V144"/>
      <x:c r="W144"/>
      <x:c r="X144" t="n">
        <x:v>4</x:v>
      </x:c>
      <x:c r="Y144"/>
      <x:c r="Z144" t="n">
        <x:v>5</x:v>
      </x:c>
      <x:c r="AA144"/>
      <x:c r="AB144"/>
      <x:c r="AC144"/>
      <x:c r="AD144"/>
      <x:c r="AE144" s="438" t="str">
        <x:v>【展開中】あなたが1以上のライフへのダメージを受けた時、このカードを未使用に戻し、このカードの上の桜花結晶を全てダストに送る。
(破棄時効果は失敗する)
【破棄時】あなたの他の切札が全て使用済ならば、あなたは勝利する。</x:v>
      </x:c>
      <x:c r="AF144" s="438"/>
      <x:c r="AG144" s="499" t="str">
        <x:v>【展开中】若自命受到1点或以上的伤害，则将此牌上的所有樱花结晶置入虚，并将其变为未使用状态（不结算破弃时效果）。
【破弃时】若你的其它王牌均处于已使用状态，则你赢得这局游戏。</x:v>
      </x:c>
      <x:c r="AH144" s="438"/>
      <x:c r="AI144" s="499" t="str">
        <x:v>【展开中】若自命受到大于1点的伤害，则将此牌上的所有樱花结晶置入虚，并将其翻面（不结算破弃时效果）
。
【破弃时】若你的其它王牌均正面朝上，则你赢得这局游戏。</x:v>
      </x:c>
      <x:c r="AJ144" s="438"/>
      <x:c r="AK144" s="499" t="str">
        <x:v>【전개중】당신이 1이상 라이프로의 대미지를 받았을 때, 이 카드 위의 벚꽃 결정은 모두 더스트로 보내지고, 이 카드는 미사용으로 되돌려진다.
 (파기시 효과는 실패한다) 
 【파기시】당신의 다른 비장패가 모두 사용완료라면, 당신은 승리한다.</x:v>
      </x:c>
      <x:c r="AL144" s="438"/>
      <x:c r="AM144" s="499" t="str">
        <x:v>Ongoing: If you take 1 or more damage to your Life, move all Sakura tokens on this card to Shadow, then turn this card face-down. (Do not resolve its Disenchant effect.)
Disenchant: If all your other Special cards are Devoted, you win the game.</x:v>
      </x:c>
      <x:c r="AN144" s="438"/>
      <x:c r="AO144" s="438"/>
      <x:c r="AP144" s="438"/>
      <x:c r="AQ144" s="438"/>
      <x:c r="AR144" s="438"/>
      <x:c r="AS144" s="438"/>
      <x:c r="AT144" t="str">
        <x:f>IF(A144="", "","'"&amp;A144&amp;"': {megami: '"&amp;B144&amp;"'"&amp;IF(C144&lt;&gt;"",", anotherID: '"&amp;C144&amp;"', replace: '"&amp;D144&amp;"'","")&amp;", name: '"&amp;SUBSTITUTE(E144,"'","\'")&amp;"', nameEn: '"&amp;SUBSTITUTE(K144,"'","\'")&amp;"', nameZh: '"&amp;SUBSTITUTE(G144,"'","\'")&amp;"', nameZhG143: '"&amp;SUBSTITUTE(H144,"'","\'")&amp;"', nameKo: '"&amp;SUBSTITUTE(J144,"'","\'")&amp;"', ruby: '"&amp;F144&amp;"', rubyEn: '"&amp;L144&amp;IF(I144&lt;&gt;"", "', rubyZh: '"&amp;I144, "")&amp;"', baseType: '"&amp;IF(M144="通常札","normal",IF(M144="切札","special",IF(M144="追加札","extra",IF(M144="transform","transform",IF(M144="嵐","storm",IF(M144="兵員","troop",IF(M144="構想","plan",IF(M144="メインパーツ","mainParts",IF(M144="カスタムパーツ","customParts",IF(M144="運命","fate",IF(M144="仮想樹","virtualTree","")))))))))))&amp;"'"&amp;IF(N144="○",", extra: true","")&amp;IF(O144&lt;&gt;"",", extraFrom: '"&amp;O144&amp;"'","")&amp;IF(P144&lt;&gt;"",", exchangableTo: '"&amp;P144&amp;"'","")&amp;IF(Q144="○",", poison: true","")&amp;IF(R144&lt;&gt;"", ", type: '"&amp;IF(R144="攻撃","attack",IF(R144="行動","action",IF(R144="不定","variable",IF(R144="対応","reaction",IF(R144="全力","fullpower",IF(R144="付与","enhance",IF(R144="transform","transform","")))))))&amp;"'", "")&amp;IF(S144&lt;&gt;"",", subType: '"&amp;IF(S144="攻撃","attack",IF(S144="行動","action",IF(S144="不定","variable",IF(S144="対応","reaction",IF(S144="全力","fullpower",IF(S144="付与","enhance",IF(S144="transform","transform","")))))))&amp;"'","")&amp;""&amp;IF(T144&lt;&gt;"",", range: '"&amp;T144&amp;"'","")&amp;IF(V144&lt;&gt;"",", damage: '"&amp;V144&amp;"'","")&amp;IF(X144&lt;&gt;"",", capacity: '"&amp;X144&amp;"'","")&amp;IF(Y144&lt;&gt;"",", growth: "&amp;Y144&amp;"","")&amp;IF(Z144&lt;&gt;"",", cost: '"&amp;Z144&amp;"'","")&amp;", text: '"&amp;SUBSTITUTE(SUBSTITUTE(AE144, CHAR(13), ""),CHAR(10),"\n")&amp;IF(AF144&lt;&gt;"", "', textAdditional: '"&amp;SUBSTITUTE(SUBSTITUTE(AF144, CHAR(13), ""),CHAR(10),"\n"), "")&amp;"', textZh: '"&amp;SUBSTITUTE(SUBSTITUTE(SUBSTITUTE(AG144, CHAR(13), ""),CHAR(10),"\n"),"'","\'")&amp;"', textZhG143: '"&amp;SUBSTITUTE(SUBSTITUTE(SUBSTITUTE(AI144, CHAR(13), ""),CHAR(10),"\n"),"'","\'")&amp;IF(AH144&lt;&gt;"", "', textZhAdditional: '"&amp;SUBSTITUTE(SUBSTITUTE(AH144, CHAR(13), ""),CHAR(10),"\n"), "")&amp;IF(AK144&lt;&gt;"", "', textZhG143Additional: '"&amp;SUBSTITUTE(SUBSTITUTE(AK144, CHAR(13), ""),CHAR(10),"\n"), "")&amp;"', textKo: '"&amp;SUBSTITUTE(SUBSTITUTE(SUBSTITUTE(AM144, CHAR(13), ""),CHAR(10),"\n"),"'","\'")&amp;IF(AM144&lt;&gt;"", "', textKoAdditional: '"&amp;SUBSTITUTE(SUBSTITUTE(AM144, CHAR(13), ""),CHAR(10),"\n"), "")&amp;"', textEn: '"&amp;SUBSTITUTE(SUBSTITUTE(SUBSTITUTE(AM144, CHAR(13), ""),CHAR(10),"\n"),"'","\'")&amp;IF(AN144&lt;&gt;"", "', textEnAdditional: '"&amp;SUBSTITUTE(SUBSTITUTE(AN144, CHAR(13), ""),CHAR(10),"\n"), "")&amp;"'"&amp;IF(AB144="○",", sealable: true","")&amp;IF(AC144="○",", removable: true","")&amp;IF(AA144="○",", lie: true","")&amp;IF(AD144="○",", investable: true","")&amp;"},")</x:f>
        <x:v>'09-chikage-o-s-4': {megami: 'chikage', name: '闇昏千影の生きる道', nameEn: 'Chikage\'s Grim Path', nameZh: '暗昏千影的生存之道', nameZhG143: '暗昏千影的信条', nameKo: '야미쿠라 치카게의 사는 길', ruby: 'やみくらちかげのいきるみち', rubyEn: '', baseType: 'special', type: 'enhance', subType: 'fullpower', capacity: '4', cost: '5', text: '【展開中】あなたが1以上のライフへのダメージを受けた時、このカードを未使用に戻し、このカードの上の桜花結晶を全てダストに送る。\n(破棄時効果は失敗する)\n【破棄時】あなたの他の切札が全て使用済ならば、あなたは勝利する。', textZh: '【展开中】若自命受到1点或以上的伤害，则将此牌上的所有樱花结晶置入虚，并将其变为未使用状态（不结算破弃时效果）。\n【破弃时】若你的其它王牌均处于已使用状态，则你赢得这局游戏。', textZhG143: '【展开中】若自命受到大于1点的伤害，则将此牌上的所有樱花结晶置入虚，并将其翻面（不结算破弃时效果）\n。\n【破弃时】若你的其它王牌均正面朝上，则你赢得这局游戏。', textZhG143Additional: '【전개중】당신이 1이상 라이프로의 대미지를 받았을 때, 이 카드 위의 벚꽃 결정은 모두 더스트로 보내지고, 이 카드는 미사용으로 되돌려진다.\n (파기시 효과는 실패한다) \n 【파기시】당신의 다른 비장패가 모두 사용완료라면, 당신은 승리한다.', textKo: 'Ongoing: If you take 1 or more damage to your Life, move all Sakura tokens on this card to Shadow, then turn this card face-down. (Do not resolve its Disenchant effect.)\n\nDisenchant: If all your other Special cards are Devoted, you win the game.', textKoAdditional: 'Ongoing: If you take 1 or more damage to your Life, move all Sakura tokens on this card to Shadow, then turn this card face-down. (Do not resolve its Disenchant effect.)\n\nDisenchant: If all your other Special cards are Devoted, you win the game.', textEn: 'Ongoing: If you take 1 or more damage to your Life, move all Sakura tokens on this card to Shadow, then turn this card face-down. (Do not resolve its Disenchant effect.)\n\nDisenchant: If all your other Special cards are Devoted, you win the game.'},</x:v>
      </x:c>
      <x:c r="AU144" t="str">
        <x:f>IF($A144&lt;&gt;"", "    /** 《"&amp;$E144&amp;"》 */ export const "&amp;SUBSTITUTE(UPPER(IF(MID($A144, 3, 1)="-", RIGHT($A144,LEN($A144)-3), $A144)), "-", "_")&amp;": TCardId = '"&amp;$A144&amp;"';", "")</x:f>
        <x:v>    /** 《闇昏千影の生きる道》 */ export const CHIKAGE_O_S_4: TCardId = '09-chikage-o-s-4';</x:v>
      </x:c>
      <x:c r="AV144" t="str">
        <x:f>IF($A145&lt;&gt;"", "    | '"&amp;$A145&amp;"'", "")</x:f>
        <x:v>    | '09-chikage-o-p-1'</x:v>
      </x:c>
    </x:row>
    <x:row r="145" ht="68" customHeight="1">
      <x:c r="A145" t="str">
        <x:v>09-chikage-o-p-1</x:v>
      </x:c>
      <x:c r="B145" t="str">
        <x:v>chikage</x:v>
      </x:c>
      <x:c r="C145"/>
      <x:c r="D145"/>
      <x:c r="E145" t="str">
        <x:v>麻痺毒</x:v>
      </x:c>
      <x:c r="F145" t="str">
        <x:v>まひどく</x:v>
      </x:c>
      <x:c r="G145" t="str">
        <x:v>麻痹毒</x:v>
      </x:c>
      <x:c r="H145" t="str">
        <x:v>麻痹毒</x:v>
      </x:c>
      <x:c r="I145"/>
      <x:c r="J145" t="str">
        <x:v>마비독</x:v>
      </x:c>
      <x:c r="K145" t="str">
        <x:v>Numbing Agent</x:v>
      </x:c>
      <x:c r="L145"/>
      <x:c r="M145" t="str">
        <x:v>通常札</x:v>
      </x:c>
      <x:c r="N145" t="str">
        <x:v>○</x:v>
      </x:c>
      <x:c r="O145"/>
      <x:c r="P145"/>
      <x:c r="Q145" t="str">
        <x:v>○</x:v>
      </x:c>
      <x:c r="R145" t="str">
        <x:v>行動</x:v>
      </x:c>
      <x:c r="S145"/>
      <x:c r="T145"/>
      <x:c r="U145"/>
      <x:c r="V145"/>
      <x:c r="W145"/>
      <x:c r="X145"/>
      <x:c r="Y145"/>
      <x:c r="Z145"/>
      <x:c r="AA145"/>
      <x:c r="AB145"/>
      <x:c r="AC145"/>
      <x:c r="AD145"/>
      <x:c r="AE145" s="438" t="str">
        <x:v>終端
【常時】このターン中にあなたが基本動作を行ったならば、このカードは使用できない。
このカードを相手の毒袋に戻す。</x:v>
      </x:c>
      <x:c r="AF145" s="438"/>
      <x:c r="AG145" s="499" t="str">
        <x:v>【常时】若本回合内你执行过基本动作，则你不能使用此牌。
将此牌移回对手的毒袋。结束当前阶段。</x:v>
      </x:c>
      <x:c r="AH145" s="438"/>
      <x:c r="AI145" s="499" t="str">
        <x:v>【常时】若本回合内你执行过基本动作，则你不能使用此牌。
将此牌移回对手的毒袋。结束当前阶段。</x:v>
      </x:c>
      <x:c r="AJ145" s="438"/>
      <x:c r="AK145" s="499" t="str">
        <x:v> 【상시】이 턴에 당신이 기본 동작을 행했다면, 이 카드를 사용 할 수 없다.
 이 카드를 상대의 독주머니에 되돌린다. 그 후, 이 페이즈를 종료한다.</x:v>
      </x:c>
      <x:c r="AL145" s="438"/>
      <x:c r="AM145" s="499" t="str">
        <x:v>Forced: You cannot play this card if you have performed any basic actions this turn.
Return this card to its pouch. End the current phase.</x:v>
      </x:c>
      <x:c r="AN145" s="438"/>
      <x:c r="AO145" s="438"/>
      <x:c r="AP145" s="438"/>
      <x:c r="AQ145" s="438"/>
      <x:c r="AR145" s="438"/>
      <x:c r="AS145" s="438"/>
      <x:c r="AT145" t="str">
        <x:f>IF(A145="", "","'"&amp;A145&amp;"': {megami: '"&amp;B145&amp;"'"&amp;IF(C145&lt;&gt;"",", anotherID: '"&amp;C145&amp;"', replace: '"&amp;D145&amp;"'","")&amp;", name: '"&amp;SUBSTITUTE(E145,"'","\'")&amp;"', nameEn: '"&amp;SUBSTITUTE(K145,"'","\'")&amp;"', nameZh: '"&amp;SUBSTITUTE(G145,"'","\'")&amp;"', nameZhG144: '"&amp;SUBSTITUTE(H145,"'","\'")&amp;"', nameKo: '"&amp;SUBSTITUTE(J145,"'","\'")&amp;"', ruby: '"&amp;F145&amp;"', rubyEn: '"&amp;L145&amp;IF(I145&lt;&gt;"", "', rubyZh: '"&amp;I145, "")&amp;"', baseType: '"&amp;IF(M145="通常札","normal",IF(M145="切札","special",IF(M145="追加札","extra",IF(M145="transform","transform",IF(M145="嵐","storm",IF(M145="兵員","troop",IF(M145="構想","plan",IF(M145="メインパーツ","mainParts",IF(M145="カスタムパーツ","customParts",IF(M145="運命","fate",IF(M145="仮想樹","virtualTree","")))))))))))&amp;"'"&amp;IF(N145="○",", extra: true","")&amp;IF(O145&lt;&gt;"",", extraFrom: '"&amp;O145&amp;"'","")&amp;IF(P145&lt;&gt;"",", exchangableTo: '"&amp;P145&amp;"'","")&amp;IF(Q145="○",", poison: true","")&amp;IF(R145&lt;&gt;"", ", type: '"&amp;IF(R145="攻撃","attack",IF(R145="行動","action",IF(R145="不定","variable",IF(R145="対応","reaction",IF(R145="全力","fullpower",IF(R145="付与","enhance",IF(R145="transform","transform","")))))))&amp;"'", "")&amp;IF(S145&lt;&gt;"",", subType: '"&amp;IF(S145="攻撃","attack",IF(S145="行動","action",IF(S145="不定","variable",IF(S145="対応","reaction",IF(S145="全力","fullpower",IF(S145="付与","enhance",IF(S145="transform","transform","")))))))&amp;"'","")&amp;""&amp;IF(T145&lt;&gt;"",", range: '"&amp;T145&amp;"'","")&amp;IF(V145&lt;&gt;"",", damage: '"&amp;V145&amp;"'","")&amp;IF(X145&lt;&gt;"",", capacity: '"&amp;X145&amp;"'","")&amp;IF(Y145&lt;&gt;"",", growth: "&amp;Y145&amp;"","")&amp;IF(Z145&lt;&gt;"",", cost: '"&amp;Z145&amp;"'","")&amp;", text: '"&amp;SUBSTITUTE(SUBSTITUTE(AE145, CHAR(13), ""),CHAR(10),"\n")&amp;IF(AF145&lt;&gt;"", "', textAdditional: '"&amp;SUBSTITUTE(SUBSTITUTE(AF145, CHAR(13), ""),CHAR(10),"\n"), "")&amp;"', textZh: '"&amp;SUBSTITUTE(SUBSTITUTE(SUBSTITUTE(AG145, CHAR(13), ""),CHAR(10),"\n"),"'","\'")&amp;"', textZhG144: '"&amp;SUBSTITUTE(SUBSTITUTE(SUBSTITUTE(AI145, CHAR(13), ""),CHAR(10),"\n"),"'","\'")&amp;IF(AH145&lt;&gt;"", "', textZhAdditional: '"&amp;SUBSTITUTE(SUBSTITUTE(AH145, CHAR(13), ""),CHAR(10),"\n"), "")&amp;IF(AK145&lt;&gt;"", "', textZhG144Additional: '"&amp;SUBSTITUTE(SUBSTITUTE(AK145, CHAR(13), ""),CHAR(10),"\n"), "")&amp;"', textKo: '"&amp;SUBSTITUTE(SUBSTITUTE(SUBSTITUTE(AM145, CHAR(13), ""),CHAR(10),"\n"),"'","\'")&amp;IF(AM145&lt;&gt;"", "', textKoAdditional: '"&amp;SUBSTITUTE(SUBSTITUTE(AM145, CHAR(13), ""),CHAR(10),"\n"), "")&amp;"', textEn: '"&amp;SUBSTITUTE(SUBSTITUTE(SUBSTITUTE(AM145, CHAR(13), ""),CHAR(10),"\n"),"'","\'")&amp;IF(AN145&lt;&gt;"", "', textEnAdditional: '"&amp;SUBSTITUTE(SUBSTITUTE(AN145, CHAR(13), ""),CHAR(10),"\n"), "")&amp;"'"&amp;IF(AB145="○",", sealable: true","")&amp;IF(AC145="○",", removable: true","")&amp;IF(AA145="○",", lie: true","")&amp;IF(AD145="○",", investable: true","")&amp;"},")</x:f>
        <x:v>'09-chikage-o-p-1': {megami: 'chikage', name: '麻痺毒', nameEn: 'Numbing Agent', nameZh: '麻痹毒', nameZhG144: '麻痹毒', nameKo: '마비독', ruby: 'まひどく', rubyEn: '', baseType: 'normal', extra: true, poison: true, type: 'action', text: '終端\n【常時】このターン中にあなたが基本動作を行ったならば、このカードは使用できない。\nこのカードを相手の毒袋に戻す。', textZh: '【常时】若本回合内你执行过基本动作，则你不能使用此牌。\n将此牌移回对手的毒袋。结束当前阶段。', textZhG144: '【常时】若本回合内你执行过基本动作，则你不能使用此牌。\n将此牌移回对手的毒袋。结束当前阶段。', textZhG144Additional: ' 【상시】이 턴에 당신이 기본 동작을 행했다면, 이 카드를 사용 할 수 없다.\n 이 카드를 상대의 독주머니에 되돌린다. 그 후, 이 페이즈를 종료한다.', textKo: 'Forced: You cannot play this card if you have performed any basic actions this turn.\n\nReturn this card to its pouch. End the current phase.', textKoAdditional: 'Forced: You cannot play this card if you have performed any basic actions this turn.\n\nReturn this card to its pouch. End the current phase.', textEn: 'Forced: You cannot play this card if you have performed any basic actions this turn.\n\nReturn this card to its pouch. End the current phase.'},</x:v>
      </x:c>
      <x:c r="AU145" t="str">
        <x:f>IF($A145&lt;&gt;"", "    /** 《"&amp;$E145&amp;"》 */ export const "&amp;SUBSTITUTE(UPPER(IF(MID($A145, 3, 1)="-", RIGHT($A145,LEN($A145)-3), $A145)), "-", "_")&amp;": TCardId = '"&amp;$A145&amp;"';", "")</x:f>
        <x:v>    /** 《麻痺毒》 */ export const CHIKAGE_O_P_1: TCardId = '09-chikage-o-p-1';</x:v>
      </x:c>
      <x:c r="AV145" t="str">
        <x:f>IF($A146&lt;&gt;"", "    | '"&amp;$A146&amp;"'", "")</x:f>
        <x:v>    | '09-chikage-o-p-2'</x:v>
      </x:c>
    </x:row>
    <x:row r="146" ht="53" customHeight="1">
      <x:c r="A146" t="str">
        <x:v>09-chikage-o-p-2</x:v>
      </x:c>
      <x:c r="B146" t="str">
        <x:v>chikage</x:v>
      </x:c>
      <x:c r="C146"/>
      <x:c r="D146"/>
      <x:c r="E146" t="str">
        <x:v>幻覚毒</x:v>
      </x:c>
      <x:c r="F146" t="str">
        <x:v>げんかくどく</x:v>
      </x:c>
      <x:c r="G146" t="str">
        <x:v>幻觉毒</x:v>
      </x:c>
      <x:c r="H146" t="str">
        <x:v>幻觉毒</x:v>
      </x:c>
      <x:c r="I146"/>
      <x:c r="J146" t="str">
        <x:v>환각독</x:v>
      </x:c>
      <x:c r="K146" t="str">
        <x:v>Hallucinogen</x:v>
      </x:c>
      <x:c r="L146"/>
      <x:c r="M146" t="str">
        <x:v>通常札</x:v>
      </x:c>
      <x:c r="N146" t="str">
        <x:v>○</x:v>
      </x:c>
      <x:c r="O146"/>
      <x:c r="P146"/>
      <x:c r="Q146" t="str">
        <x:v>○</x:v>
      </x:c>
      <x:c r="R146" t="str">
        <x:v>行動</x:v>
      </x:c>
      <x:c r="S146"/>
      <x:c r="T146"/>
      <x:c r="U146"/>
      <x:c r="V146"/>
      <x:c r="W146"/>
      <x:c r="X146"/>
      <x:c r="Y146"/>
      <x:c r="Z146"/>
      <x:c r="AA146"/>
      <x:c r="AB146"/>
      <x:c r="AC146"/>
      <x:c r="AD146"/>
      <x:c r="AE146" s="438" t="str">
        <x:v>自フレア→ダスト：2
このカードを相手の毒袋に戻す。</x:v>
      </x:c>
      <x:c r="AF146" s="438"/>
      <x:c r="AG146" s="499" t="str">
        <x:v>将此牌移回对手的毒袋。
自气→2→虚</x:v>
      </x:c>
      <x:c r="AH146" s="438"/>
      <x:c r="AI146" s="499" t="str">
        <x:v>将此牌移回对手的毒袋。 自气（2）→虚</x:v>
      </x:c>
      <x:c r="AJ146" s="438"/>
      <x:c r="AK146" s="499" t="str">
        <x:v> 이 카드를 상대의 독주머니에 되돌린다. 
 자신 플레어→더스트：2</x:v>
      </x:c>
      <x:c r="AL146" s="438"/>
      <x:c r="AM146" s="499" t="str">
        <x:v>Return this card to its pouch.
Your Flare (2)→ Shadow</x:v>
      </x:c>
      <x:c r="AN146" s="438"/>
      <x:c r="AO146" s="438"/>
      <x:c r="AP146" s="438"/>
      <x:c r="AQ146" s="438"/>
      <x:c r="AR146" s="438"/>
      <x:c r="AS146" s="438"/>
      <x:c r="AT146" t="str">
        <x:f>IF(A146="", "","'"&amp;A146&amp;"': {megami: '"&amp;B146&amp;"'"&amp;IF(C146&lt;&gt;"",", anotherID: '"&amp;C146&amp;"', replace: '"&amp;D146&amp;"'","")&amp;", name: '"&amp;SUBSTITUTE(E146,"'","\'")&amp;"', nameEn: '"&amp;SUBSTITUTE(K146,"'","\'")&amp;"', nameZh: '"&amp;SUBSTITUTE(G146,"'","\'")&amp;"', nameZhG145: '"&amp;SUBSTITUTE(H146,"'","\'")&amp;"', nameKo: '"&amp;SUBSTITUTE(J146,"'","\'")&amp;"', ruby: '"&amp;F146&amp;"', rubyEn: '"&amp;L146&amp;IF(I146&lt;&gt;"", "', rubyZh: '"&amp;I146, "")&amp;"', baseType: '"&amp;IF(M146="通常札","normal",IF(M146="切札","special",IF(M146="追加札","extra",IF(M146="transform","transform",IF(M146="嵐","storm",IF(M146="兵員","troop",IF(M146="構想","plan",IF(M146="メインパーツ","mainParts",IF(M146="カスタムパーツ","customParts",IF(M146="運命","fate",IF(M146="仮想樹","virtualTree","")))))))))))&amp;"'"&amp;IF(N146="○",", extra: true","")&amp;IF(O146&lt;&gt;"",", extraFrom: '"&amp;O146&amp;"'","")&amp;IF(P146&lt;&gt;"",", exchangableTo: '"&amp;P146&amp;"'","")&amp;IF(Q146="○",", poison: true","")&amp;IF(R146&lt;&gt;"", ", type: '"&amp;IF(R146="攻撃","attack",IF(R146="行動","action",IF(R146="不定","variable",IF(R146="対応","reaction",IF(R146="全力","fullpower",IF(R146="付与","enhance",IF(R146="transform","transform","")))))))&amp;"'", "")&amp;IF(S146&lt;&gt;"",", subType: '"&amp;IF(S146="攻撃","attack",IF(S146="行動","action",IF(S146="不定","variable",IF(S146="対応","reaction",IF(S146="全力","fullpower",IF(S146="付与","enhance",IF(S146="transform","transform","")))))))&amp;"'","")&amp;""&amp;IF(T146&lt;&gt;"",", range: '"&amp;T146&amp;"'","")&amp;IF(V146&lt;&gt;"",", damage: '"&amp;V146&amp;"'","")&amp;IF(X146&lt;&gt;"",", capacity: '"&amp;X146&amp;"'","")&amp;IF(Y146&lt;&gt;"",", growth: "&amp;Y146&amp;"","")&amp;IF(Z146&lt;&gt;"",", cost: '"&amp;Z146&amp;"'","")&amp;", text: '"&amp;SUBSTITUTE(SUBSTITUTE(AE146, CHAR(13), ""),CHAR(10),"\n")&amp;IF(AF146&lt;&gt;"", "', textAdditional: '"&amp;SUBSTITUTE(SUBSTITUTE(AF146, CHAR(13), ""),CHAR(10),"\n"), "")&amp;"', textZh: '"&amp;SUBSTITUTE(SUBSTITUTE(SUBSTITUTE(AG146, CHAR(13), ""),CHAR(10),"\n"),"'","\'")&amp;"', textZhG145: '"&amp;SUBSTITUTE(SUBSTITUTE(SUBSTITUTE(AI146, CHAR(13), ""),CHAR(10),"\n"),"'","\'")&amp;IF(AH146&lt;&gt;"", "', textZhAdditional: '"&amp;SUBSTITUTE(SUBSTITUTE(AH146, CHAR(13), ""),CHAR(10),"\n"), "")&amp;IF(AK146&lt;&gt;"", "', textZhG145Additional: '"&amp;SUBSTITUTE(SUBSTITUTE(AK146, CHAR(13), ""),CHAR(10),"\n"), "")&amp;"', textKo: '"&amp;SUBSTITUTE(SUBSTITUTE(SUBSTITUTE(AM146, CHAR(13), ""),CHAR(10),"\n"),"'","\'")&amp;IF(AM146&lt;&gt;"", "', textKoAdditional: '"&amp;SUBSTITUTE(SUBSTITUTE(AM146, CHAR(13), ""),CHAR(10),"\n"), "")&amp;"', textEn: '"&amp;SUBSTITUTE(SUBSTITUTE(SUBSTITUTE(AM146, CHAR(13), ""),CHAR(10),"\n"),"'","\'")&amp;IF(AN146&lt;&gt;"", "', textEnAdditional: '"&amp;SUBSTITUTE(SUBSTITUTE(AN146, CHAR(13), ""),CHAR(10),"\n"), "")&amp;"'"&amp;IF(AB146="○",", sealable: true","")&amp;IF(AC146="○",", removable: true","")&amp;IF(AA146="○",", lie: true","")&amp;IF(AD146="○",", investable: true","")&amp;"},")</x:f>
        <x:v>'09-chikage-o-p-2': {megami: 'chikage', name: '幻覚毒', nameEn: 'Hallucinogen', nameZh: '幻觉毒', nameZhG145: '幻觉毒', nameKo: '환각독', ruby: 'げんかくどく', rubyEn: '', baseType: 'normal', extra: true, poison: true, type: 'action', text: '自フレア→ダスト：2\nこのカードを相手の毒袋に戻す。', textZh: '将此牌移回对手的毒袋。\n自气→2→虚', textZhG145: '将此牌移回对手的毒袋。 自气（2）→虚', textZhG145Additional: ' 이 카드를 상대의 독주머니에 되돌린다. \n 자신 플레어→더스트：2', textKo: 'Return this card to its pouch.\n\nYour Flare (2)→ Shadow', textKoAdditional: 'Return this card to its pouch.\n\nYour Flare (2)→ Shadow', textEn: 'Return this card to its pouch.\n\nYour Flare (2)→ Shadow'},</x:v>
      </x:c>
      <x:c r="AU146" t="str">
        <x:f>IF($A146&lt;&gt;"", "    /** 《"&amp;$E146&amp;"》 */ export const "&amp;SUBSTITUTE(UPPER(IF(MID($A146, 3, 1)="-", RIGHT($A146,LEN($A146)-3), $A146)), "-", "_")&amp;": TCardId = '"&amp;$A146&amp;"';", "")</x:f>
        <x:v>    /** 《幻覚毒》 */ export const CHIKAGE_O_P_2: TCardId = '09-chikage-o-p-2';</x:v>
      </x:c>
      <x:c r="AV146" t="str">
        <x:f>IF($A147&lt;&gt;"", "    | '"&amp;$A147&amp;"'", "")</x:f>
        <x:v>    | '09-chikage-o-p-3'</x:v>
      </x:c>
    </x:row>
    <x:row r="147" ht="53" customHeight="1">
      <x:c r="A147" t="str">
        <x:v>09-chikage-o-p-3</x:v>
      </x:c>
      <x:c r="B147" t="str">
        <x:v>chikage</x:v>
      </x:c>
      <x:c r="C147"/>
      <x:c r="D147"/>
      <x:c r="E147" t="str">
        <x:v>弛緩毒</x:v>
      </x:c>
      <x:c r="F147" t="str">
        <x:v>しかんどく</x:v>
      </x:c>
      <x:c r="G147" t="str">
        <x:v>迟缓毒</x:v>
      </x:c>
      <x:c r="H147" t="str">
        <x:v>迟缓毒</x:v>
      </x:c>
      <x:c r="I147"/>
      <x:c r="J147" t="str">
        <x:v>이완독</x:v>
      </x:c>
      <x:c r="K147" t="str">
        <x:v>Muscle Relaxant</x:v>
      </x:c>
      <x:c r="L147"/>
      <x:c r="M147" t="str">
        <x:v>通常札</x:v>
      </x:c>
      <x:c r="N147" t="str">
        <x:v>○</x:v>
      </x:c>
      <x:c r="O147"/>
      <x:c r="P147"/>
      <x:c r="Q147" t="str">
        <x:v>○</x:v>
      </x:c>
      <x:c r="R147" t="str">
        <x:v>付与</x:v>
      </x:c>
      <x:c r="S147"/>
      <x:c r="T147"/>
      <x:c r="U147"/>
      <x:c r="V147"/>
      <x:c r="W147"/>
      <x:c r="X147" t="n">
        <x:v>3</x:v>
      </x:c>
      <x:c r="Y147"/>
      <x:c r="Z147"/>
      <x:c r="AA147"/>
      <x:c r="AB147"/>
      <x:c r="AC147"/>
      <x:c r="AD147"/>
      <x:c r="AE147" s="438" t="str">
        <x:v>【展開中】あなたは《攻撃》カードを使用できない。
【破棄時】このカードを相手の毒袋に戻す。</x:v>
      </x:c>
      <x:c r="AF147" s="438"/>
      <x:c r="AG147" s="499" t="str">
        <x:v>【展开中】你不能使用《攻击》牌。 
【破弃时】将此牌移回对手的毒袋。</x:v>
      </x:c>
      <x:c r="AH147" s="438"/>
      <x:c r="AI147" s="499" t="str">
        <x:v>【展开中】你不能使用《攻击》牌。 
【破弃时】将此牌移回对手的毒袋。</x:v>
      </x:c>
      <x:c r="AJ147" s="438"/>
      <x:c r="AK147" s="499" t="str">
        <x:v> 【전개중】당신은《공격》카드를 사용 할 수 없다.
 【파기시】이 카드를 상대의 독주머니에 되돌린다. </x:v>
      </x:c>
      <x:c r="AL147" s="438"/>
      <x:c r="AM147" s="499" t="str">
        <x:v>Ongoing: You cannot play Attack cards.
Disenchant: Return this card to its pouch.</x:v>
      </x:c>
      <x:c r="AN147" s="438"/>
      <x:c r="AO147" s="438"/>
      <x:c r="AP147" s="438"/>
      <x:c r="AQ147" s="438"/>
      <x:c r="AR147" s="438"/>
      <x:c r="AS147" s="438"/>
      <x:c r="AT147" t="str">
        <x:f>IF(A147="", "","'"&amp;A147&amp;"': {megami: '"&amp;B147&amp;"'"&amp;IF(C147&lt;&gt;"",", anotherID: '"&amp;C147&amp;"', replace: '"&amp;D147&amp;"'","")&amp;", name: '"&amp;SUBSTITUTE(E147,"'","\'")&amp;"', nameEn: '"&amp;SUBSTITUTE(K147,"'","\'")&amp;"', nameZh: '"&amp;SUBSTITUTE(G147,"'","\'")&amp;"', nameZhG146: '"&amp;SUBSTITUTE(H147,"'","\'")&amp;"', nameKo: '"&amp;SUBSTITUTE(J147,"'","\'")&amp;"', ruby: '"&amp;F147&amp;"', rubyEn: '"&amp;L147&amp;IF(I147&lt;&gt;"", "', rubyZh: '"&amp;I147, "")&amp;"', baseType: '"&amp;IF(M147="通常札","normal",IF(M147="切札","special",IF(M147="追加札","extra",IF(M147="transform","transform",IF(M147="嵐","storm",IF(M147="兵員","troop",IF(M147="構想","plan",IF(M147="メインパーツ","mainParts",IF(M147="カスタムパーツ","customParts",IF(M147="運命","fate",IF(M147="仮想樹","virtualTree","")))))))))))&amp;"'"&amp;IF(N147="○",", extra: true","")&amp;IF(O147&lt;&gt;"",", extraFrom: '"&amp;O147&amp;"'","")&amp;IF(P147&lt;&gt;"",", exchangableTo: '"&amp;P147&amp;"'","")&amp;IF(Q147="○",", poison: true","")&amp;IF(R147&lt;&gt;"", ", type: '"&amp;IF(R147="攻撃","attack",IF(R147="行動","action",IF(R147="不定","variable",IF(R147="対応","reaction",IF(R147="全力","fullpower",IF(R147="付与","enhance",IF(R147="transform","transform","")))))))&amp;"'", "")&amp;IF(S147&lt;&gt;"",", subType: '"&amp;IF(S147="攻撃","attack",IF(S147="行動","action",IF(S147="不定","variable",IF(S147="対応","reaction",IF(S147="全力","fullpower",IF(S147="付与","enhance",IF(S147="transform","transform","")))))))&amp;"'","")&amp;""&amp;IF(T147&lt;&gt;"",", range: '"&amp;T147&amp;"'","")&amp;IF(V147&lt;&gt;"",", damage: '"&amp;V147&amp;"'","")&amp;IF(X147&lt;&gt;"",", capacity: '"&amp;X147&amp;"'","")&amp;IF(Y147&lt;&gt;"",", growth: "&amp;Y147&amp;"","")&amp;IF(Z147&lt;&gt;"",", cost: '"&amp;Z147&amp;"'","")&amp;", text: '"&amp;SUBSTITUTE(SUBSTITUTE(AE147, CHAR(13), ""),CHAR(10),"\n")&amp;IF(AF147&lt;&gt;"", "', textAdditional: '"&amp;SUBSTITUTE(SUBSTITUTE(AF147, CHAR(13), ""),CHAR(10),"\n"), "")&amp;"', textZh: '"&amp;SUBSTITUTE(SUBSTITUTE(SUBSTITUTE(AG147, CHAR(13), ""),CHAR(10),"\n"),"'","\'")&amp;"', textZhG146: '"&amp;SUBSTITUTE(SUBSTITUTE(SUBSTITUTE(AI147, CHAR(13), ""),CHAR(10),"\n"),"'","\'")&amp;IF(AH147&lt;&gt;"", "', textZhAdditional: '"&amp;SUBSTITUTE(SUBSTITUTE(AH147, CHAR(13), ""),CHAR(10),"\n"), "")&amp;IF(AK147&lt;&gt;"", "', textZhG146Additional: '"&amp;SUBSTITUTE(SUBSTITUTE(AK147, CHAR(13), ""),CHAR(10),"\n"), "")&amp;"', textKo: '"&amp;SUBSTITUTE(SUBSTITUTE(SUBSTITUTE(AM147, CHAR(13), ""),CHAR(10),"\n"),"'","\'")&amp;IF(AM147&lt;&gt;"", "', textKoAdditional: '"&amp;SUBSTITUTE(SUBSTITUTE(AM147, CHAR(13), ""),CHAR(10),"\n"), "")&amp;"', textEn: '"&amp;SUBSTITUTE(SUBSTITUTE(SUBSTITUTE(AM147, CHAR(13), ""),CHAR(10),"\n"),"'","\'")&amp;IF(AN147&lt;&gt;"", "', textEnAdditional: '"&amp;SUBSTITUTE(SUBSTITUTE(AN147, CHAR(13), ""),CHAR(10),"\n"), "")&amp;"'"&amp;IF(AB147="○",", sealable: true","")&amp;IF(AC147="○",", removable: true","")&amp;IF(AA147="○",", lie: true","")&amp;IF(AD147="○",", investable: true","")&amp;"},")</x:f>
        <x:v>'09-chikage-o-p-3': {megami: 'chikage', name: '弛緩毒', nameEn: 'Muscle Relaxant', nameZh: '迟缓毒', nameZhG146: '迟缓毒', nameKo: '이완독', ruby: 'しかんどく', rubyEn: '', baseType: 'normal', extra: true, poison: true, type: 'enhance', capacity: '3', text: '【展開中】あなたは《攻撃》カードを使用できない。\n【破棄時】このカードを相手の毒袋に戻す。', textZh: '【展开中】你不能使用《攻击》牌。 \n【破弃时】将此牌移回对手的毒袋。', textZhG146: '【展开中】你不能使用《攻击》牌。 \n【破弃时】将此牌移回对手的毒袋。', textZhG146Additional: ' 【전개중】당신은《공격》카드를 사용 할 수 없다.\n 【파기시】이 카드를 상대의 독주머니에 되돌린다. ', textKo: 'Ongoing: You cannot play Attack cards.\n\nDisenchant: Return this card to its pouch.', textKoAdditional: 'Ongoing: You cannot play Attack cards.\n\nDisenchant: Return this card to its pouch.', textEn: 'Ongoing: You cannot play Attack cards.\n\nDisenchant: Return this card to its pouch.'},</x:v>
      </x:c>
      <x:c r="AU147" t="str">
        <x:f>IF($A147&lt;&gt;"", "    /** 《"&amp;$E147&amp;"》 */ export const "&amp;SUBSTITUTE(UPPER(IF(MID($A147, 3, 1)="-", RIGHT($A147,LEN($A147)-3), $A147)), "-", "_")&amp;": TCardId = '"&amp;$A147&amp;"';", "")</x:f>
        <x:v>    /** 《弛緩毒》 */ export const CHIKAGE_O_P_3: TCardId = '09-chikage-o-p-3';</x:v>
      </x:c>
      <x:c r="AV147" t="str">
        <x:f>IF($A148&lt;&gt;"", "    | '"&amp;$A148&amp;"'", "")</x:f>
        <x:v>    | '09-chikage-o-p-4'</x:v>
      </x:c>
    </x:row>
    <x:row r="148" ht="30" customHeight="1">
      <x:c r="A148" t="str">
        <x:v>09-chikage-o-p-4</x:v>
      </x:c>
      <x:c r="B148" t="str">
        <x:v>chikage</x:v>
      </x:c>
      <x:c r="C148"/>
      <x:c r="D148"/>
      <x:c r="E148" t="str">
        <x:v>滅灯毒</x:v>
      </x:c>
      <x:c r="F148" t="str">
        <x:v>ほろびどく</x:v>
      </x:c>
      <x:c r="G148" t="str">
        <x:v>灭灯毒</x:v>
      </x:c>
      <x:c r="H148" t="str">
        <x:v>灭灯毒</x:v>
      </x:c>
      <x:c r="I148"/>
      <x:c r="J148" t="str">
        <x:v>멸등독</x:v>
      </x:c>
      <x:c r="K148" t="str">
        <x:v>Fading Light Toxin</x:v>
      </x:c>
      <x:c r="L148"/>
      <x:c r="M148" t="str">
        <x:v>通常札</x:v>
      </x:c>
      <x:c r="N148" t="str">
        <x:v>○</x:v>
      </x:c>
      <x:c r="O148"/>
      <x:c r="P148"/>
      <x:c r="Q148" t="str">
        <x:v>○</x:v>
      </x:c>
      <x:c r="R148" t="str">
        <x:v>行動</x:v>
      </x:c>
      <x:c r="S148"/>
      <x:c r="T148"/>
      <x:c r="U148"/>
      <x:c r="V148"/>
      <x:c r="W148"/>
      <x:c r="X148"/>
      <x:c r="Y148"/>
      <x:c r="Z148"/>
      <x:c r="AA148"/>
      <x:c r="AB148"/>
      <x:c r="AC148"/>
      <x:c r="AD148"/>
      <x:c r="AE148" s="438" t="str">
        <x:v>自オーラ→ダスト：3</x:v>
      </x:c>
      <x:c r="AF148" s="438"/>
      <x:c r="AG148" s="499" t="str">
        <x:v>自装→3→虚</x:v>
      </x:c>
      <x:c r="AH148" s="438"/>
      <x:c r="AI148" s="499" t="str">
        <x:v>自装（3）→虚</x:v>
      </x:c>
      <x:c r="AJ148" s="438"/>
      <x:c r="AK148" s="499" t="str">
        <x:v> 자신 오라→더스트：3</x:v>
      </x:c>
      <x:c r="AL148" s="438"/>
      <x:c r="AM148" s="499" t="str">
        <x:v>Your Aura (3)→ Shadow</x:v>
      </x:c>
      <x:c r="AN148" s="438"/>
      <x:c r="AO148" s="438"/>
      <x:c r="AP148" s="438"/>
      <x:c r="AQ148" s="438"/>
      <x:c r="AR148" s="438"/>
      <x:c r="AS148" s="438"/>
      <x:c r="AT148" t="str">
        <x:f>IF(A148="", "","'"&amp;A148&amp;"': {megami: '"&amp;B148&amp;"'"&amp;IF(C148&lt;&gt;"",", anotherID: '"&amp;C148&amp;"', replace: '"&amp;D148&amp;"'","")&amp;", name: '"&amp;SUBSTITUTE(E148,"'","\'")&amp;"', nameEn: '"&amp;SUBSTITUTE(K148,"'","\'")&amp;"', nameZh: '"&amp;SUBSTITUTE(G148,"'","\'")&amp;"', nameZhG147: '"&amp;SUBSTITUTE(H148,"'","\'")&amp;"', nameKo: '"&amp;SUBSTITUTE(J148,"'","\'")&amp;"', ruby: '"&amp;F148&amp;"', rubyEn: '"&amp;L148&amp;IF(I148&lt;&gt;"", "', rubyZh: '"&amp;I148, "")&amp;"', baseType: '"&amp;IF(M148="通常札","normal",IF(M148="切札","special",IF(M148="追加札","extra",IF(M148="transform","transform",IF(M148="嵐","storm",IF(M148="兵員","troop",IF(M148="構想","plan",IF(M148="メインパーツ","mainParts",IF(M148="カスタムパーツ","customParts",IF(M148="運命","fate",IF(M148="仮想樹","virtualTree","")))))))))))&amp;"'"&amp;IF(N148="○",", extra: true","")&amp;IF(O148&lt;&gt;"",", extraFrom: '"&amp;O148&amp;"'","")&amp;IF(P148&lt;&gt;"",", exchangableTo: '"&amp;P148&amp;"'","")&amp;IF(Q148="○",", poison: true","")&amp;IF(R148&lt;&gt;"", ", type: '"&amp;IF(R148="攻撃","attack",IF(R148="行動","action",IF(R148="不定","variable",IF(R148="対応","reaction",IF(R148="全力","fullpower",IF(R148="付与","enhance",IF(R148="transform","transform","")))))))&amp;"'", "")&amp;IF(S148&lt;&gt;"",", subType: '"&amp;IF(S148="攻撃","attack",IF(S148="行動","action",IF(S148="不定","variable",IF(S148="対応","reaction",IF(S148="全力","fullpower",IF(S148="付与","enhance",IF(S148="transform","transform","")))))))&amp;"'","")&amp;""&amp;IF(T148&lt;&gt;"",", range: '"&amp;T148&amp;"'","")&amp;IF(V148&lt;&gt;"",", damage: '"&amp;V148&amp;"'","")&amp;IF(X148&lt;&gt;"",", capacity: '"&amp;X148&amp;"'","")&amp;IF(Y148&lt;&gt;"",", growth: "&amp;Y148&amp;"","")&amp;IF(Z148&lt;&gt;"",", cost: '"&amp;Z148&amp;"'","")&amp;", text: '"&amp;SUBSTITUTE(SUBSTITUTE(AE148, CHAR(13), ""),CHAR(10),"\n")&amp;IF(AF148&lt;&gt;"", "', textAdditional: '"&amp;SUBSTITUTE(SUBSTITUTE(AF148, CHAR(13), ""),CHAR(10),"\n"), "")&amp;"', textZh: '"&amp;SUBSTITUTE(SUBSTITUTE(SUBSTITUTE(AG148, CHAR(13), ""),CHAR(10),"\n"),"'","\'")&amp;"', textZhG147: '"&amp;SUBSTITUTE(SUBSTITUTE(SUBSTITUTE(AI148, CHAR(13), ""),CHAR(10),"\n"),"'","\'")&amp;IF(AH148&lt;&gt;"", "', textZhAdditional: '"&amp;SUBSTITUTE(SUBSTITUTE(AH148, CHAR(13), ""),CHAR(10),"\n"), "")&amp;IF(AK148&lt;&gt;"", "', textZhG147Additional: '"&amp;SUBSTITUTE(SUBSTITUTE(AK148, CHAR(13), ""),CHAR(10),"\n"), "")&amp;"', textKo: '"&amp;SUBSTITUTE(SUBSTITUTE(SUBSTITUTE(AM148, CHAR(13), ""),CHAR(10),"\n"),"'","\'")&amp;IF(AM148&lt;&gt;"", "', textKoAdditional: '"&amp;SUBSTITUTE(SUBSTITUTE(AM148, CHAR(13), ""),CHAR(10),"\n"), "")&amp;"', textEn: '"&amp;SUBSTITUTE(SUBSTITUTE(SUBSTITUTE(AM148, CHAR(13), ""),CHAR(10),"\n"),"'","\'")&amp;IF(AN148&lt;&gt;"", "', textEnAdditional: '"&amp;SUBSTITUTE(SUBSTITUTE(AN148, CHAR(13), ""),CHAR(10),"\n"), "")&amp;"'"&amp;IF(AB148="○",", sealable: true","")&amp;IF(AC148="○",", removable: true","")&amp;IF(AA148="○",", lie: true","")&amp;IF(AD148="○",", investable: true","")&amp;"},")</x:f>
        <x:v>'09-chikage-o-p-4': {megami: 'chikage', name: '滅灯毒', nameEn: 'Fading Light Toxin', nameZh: '灭灯毒', nameZhG147: '灭灯毒', nameKo: '멸등독', ruby: 'ほろびどく', rubyEn: '', baseType: 'normal', extra: true, poison: true, type: 'action', text: '自オーラ→ダスト：3', textZh: '自装→3→虚', textZhG147: '自装（3）→虚', textZhG147Additional: ' 자신 오라→더스트：3', textKo: 'Your Aura (3)→ Shadow', textKoAdditional: 'Your Aura (3)→ Shadow', textEn: 'Your Aura (3)→ Shadow'},</x:v>
      </x:c>
      <x:c r="AU148" t="str">
        <x:f>IF($A148&lt;&gt;"", "    /** 《"&amp;$E148&amp;"》 */ export const "&amp;SUBSTITUTE(UPPER(IF(MID($A148, 3, 1)="-", RIGHT($A148,LEN($A148)-3), $A148)), "-", "_")&amp;": TCardId = '"&amp;$A148&amp;"';", "")</x:f>
        <x:v>    /** 《滅灯毒》 */ export const CHIKAGE_O_P_4: TCardId = '09-chikage-o-p-4';</x:v>
      </x:c>
      <x:c r="AV148" t="str">
        <x:f>IF($A149&lt;&gt;"", "    | '"&amp;$A149&amp;"'", "")</x:f>
        <x:v>    | '09-chikage-A1-n-5'</x:v>
      </x:c>
    </x:row>
    <x:row r="149" ht="83" customHeight="1">
      <x:c r="A149" t="str">
        <x:v>09-chikage-A1-n-5</x:v>
      </x:c>
      <x:c r="B149" t="str">
        <x:v>chikage</x:v>
      </x:c>
      <x:c r="C149" t="str">
        <x:v>A1</x:v>
      </x:c>
      <x:c r="D149" t="str">
        <x:v>09-chikage-o-n-5</x:v>
      </x:c>
      <x:c r="E149" t="str">
        <x:v>仕掛け番傘</x:v>
      </x:c>
      <x:c r="F149" t="str">
        <x:v>しかけばんがさ</x:v>
      </x:c>
      <x:c r="G149" t="str">
        <x:v>机关油纸伞</x:v>
      </x:c>
      <x:c r="H149" t="str">
        <x:v>机关油纸伞</x:v>
      </x:c>
      <x:c r="I149"/>
      <x:c r="J149" t="str">
        <x:v>속임수 우산</x:v>
      </x:c>
      <x:c r="K149" t="str">
        <x:v>Disguised Blade</x:v>
      </x:c>
      <x:c r="L149"/>
      <x:c r="M149" t="str">
        <x:v>通常札</x:v>
      </x:c>
      <x:c r="N149"/>
      <x:c r="O149"/>
      <x:c r="P149"/>
      <x:c r="Q149"/>
      <x:c r="R149" t="str">
        <x:v>攻撃</x:v>
      </x:c>
      <x:c r="S149"/>
      <x:c r="T149" t="str">
        <x:v>4</x:v>
      </x:c>
      <x:c r="U149"/>
      <x:c r="V149" t="str">
        <x:v>2/1</x:v>
      </x:c>
      <x:c r="W149"/>
      <x:c r="X149"/>
      <x:c r="Y149"/>
      <x:c r="Z149"/>
      <x:c r="AA149"/>
      <x:c r="AB149"/>
      <x:c r="AC149"/>
      <x:c r="AD149"/>
      <x:c r="AE149" s="438" t="str">
        <x:v>不可避
【常時】相手の手札が2枚以上あるならば、この《攻撃》は距離拡大（近2）と距離拡大（遠2）を得る。
（他に何もなければ、適正距離は2-6になる）</x:v>
      </x:c>
      <x:c r="AF149" s="438"/>
      <x:c r="AG149" s="499" t="str">
        <x:v>不可被闪避
【常时】若对手的手牌不少于2张，则此《攻击》得距离扩大（近2、远2）。</x:v>
      </x:c>
      <x:c r="AH149" s="438"/>
      <x:c r="AI149" s="499" t="str">
        <x:v>不可被闪避
【常时】若对手的手牌多于2张，则此《攻击》得距离扩大（近2、远2）</x:v>
      </x:c>
      <x:c r="AJ149" s="438"/>
      <x:c r="AK149" s="499" t="str">
        <x:v>불가피 
【상시】상대의 패가 2장 이상 있다면, 이 《공격》은 거리확대(근2)와 거리확대(원2)를 얻는다.
(기타 아무것도 없다면, 적정거리는 2-6이 된다)</x:v>
      </x:c>
      <x:c r="AL149" s="438"/>
      <x:c r="AM149" s="499" t="str">
        <x:v>Unavoidable
Forced: If your opponent has 2 or more cards in hand, increase the Range of this attack by 2 in both the near and distant directions.</x:v>
      </x:c>
      <x:c r="AN149" s="438"/>
      <x:c r="AO149" s="438"/>
      <x:c r="AP149" s="438"/>
      <x:c r="AQ149" s="438"/>
      <x:c r="AR149" s="438"/>
      <x:c r="AS149" s="438"/>
      <x:c r="AT149" t="str">
        <x:f>IF(A149="", "","'"&amp;A149&amp;"': {megami: '"&amp;B149&amp;"'"&amp;IF(C149&lt;&gt;"",", anotherID: '"&amp;C149&amp;"', replace: '"&amp;D149&amp;"'","")&amp;", name: '"&amp;SUBSTITUTE(E149,"'","\'")&amp;"', nameEn: '"&amp;SUBSTITUTE(K149,"'","\'")&amp;"', nameZh: '"&amp;SUBSTITUTE(G149,"'","\'")&amp;"', nameZhG148: '"&amp;SUBSTITUTE(H149,"'","\'")&amp;"', nameKo: '"&amp;SUBSTITUTE(J149,"'","\'")&amp;"', ruby: '"&amp;F149&amp;"', rubyEn: '"&amp;L149&amp;IF(I149&lt;&gt;"", "', rubyZh: '"&amp;I149, "")&amp;"', baseType: '"&amp;IF(M149="通常札","normal",IF(M149="切札","special",IF(M149="追加札","extra",IF(M149="transform","transform",IF(M149="嵐","storm",IF(M149="兵員","troop",IF(M149="構想","plan",IF(M149="メインパーツ","mainParts",IF(M149="カスタムパーツ","customParts",IF(M149="運命","fate",IF(M149="仮想樹","virtualTree","")))))))))))&amp;"'"&amp;IF(N149="○",", extra: true","")&amp;IF(O149&lt;&gt;"",", extraFrom: '"&amp;O149&amp;"'","")&amp;IF(P149&lt;&gt;"",", exchangableTo: '"&amp;P149&amp;"'","")&amp;IF(Q149="○",", poison: true","")&amp;IF(R149&lt;&gt;"", ", type: '"&amp;IF(R149="攻撃","attack",IF(R149="行動","action",IF(R149="不定","variable",IF(R149="対応","reaction",IF(R149="全力","fullpower",IF(R149="付与","enhance",IF(R149="transform","transform","")))))))&amp;"'", "")&amp;IF(S149&lt;&gt;"",", subType: '"&amp;IF(S149="攻撃","attack",IF(S149="行動","action",IF(S149="不定","variable",IF(S149="対応","reaction",IF(S149="全力","fullpower",IF(S149="付与","enhance",IF(S149="transform","transform","")))))))&amp;"'","")&amp;""&amp;IF(T149&lt;&gt;"",", range: '"&amp;T149&amp;"'","")&amp;IF(V149&lt;&gt;"",", damage: '"&amp;V149&amp;"'","")&amp;IF(X149&lt;&gt;"",", capacity: '"&amp;X149&amp;"'","")&amp;IF(Y149&lt;&gt;"",", growth: "&amp;Y149&amp;"","")&amp;IF(Z149&lt;&gt;"",", cost: '"&amp;Z149&amp;"'","")&amp;", text: '"&amp;SUBSTITUTE(SUBSTITUTE(AE149, CHAR(13), ""),CHAR(10),"\n")&amp;IF(AF149&lt;&gt;"", "', textAdditional: '"&amp;SUBSTITUTE(SUBSTITUTE(AF149, CHAR(13), ""),CHAR(10),"\n"), "")&amp;"', textZh: '"&amp;SUBSTITUTE(SUBSTITUTE(SUBSTITUTE(AG149, CHAR(13), ""),CHAR(10),"\n"),"'","\'")&amp;"', textZhG148: '"&amp;SUBSTITUTE(SUBSTITUTE(SUBSTITUTE(AI149, CHAR(13), ""),CHAR(10),"\n"),"'","\'")&amp;IF(AH149&lt;&gt;"", "', textZhAdditional: '"&amp;SUBSTITUTE(SUBSTITUTE(AH149, CHAR(13), ""),CHAR(10),"\n"), "")&amp;IF(AK149&lt;&gt;"", "', textZhG148Additional: '"&amp;SUBSTITUTE(SUBSTITUTE(AK149, CHAR(13), ""),CHAR(10),"\n"), "")&amp;"', textKo: '"&amp;SUBSTITUTE(SUBSTITUTE(SUBSTITUTE(AM149, CHAR(13), ""),CHAR(10),"\n"),"'","\'")&amp;IF(AM149&lt;&gt;"", "', textKoAdditional: '"&amp;SUBSTITUTE(SUBSTITUTE(AM149, CHAR(13), ""),CHAR(10),"\n"), "")&amp;"', textEn: '"&amp;SUBSTITUTE(SUBSTITUTE(SUBSTITUTE(AM149, CHAR(13), ""),CHAR(10),"\n"),"'","\'")&amp;IF(AN149&lt;&gt;"", "', textEnAdditional: '"&amp;SUBSTITUTE(SUBSTITUTE(AN149, CHAR(13), ""),CHAR(10),"\n"), "")&amp;"'"&amp;IF(AB149="○",", sealable: true","")&amp;IF(AC149="○",", removable: true","")&amp;IF(AA149="○",", lie: true","")&amp;IF(AD149="○",", investable: true","")&amp;"},")</x:f>
        <x:v>'09-chikage-A1-n-5': {megami: 'chikage', anotherID: 'A1', replace: '09-chikage-o-n-5', name: '仕掛け番傘', nameEn: 'Disguised Blade', nameZh: '机关油纸伞', nameZhG148: '机关油纸伞', nameKo: '속임수 우산', ruby: 'しかけばんがさ', rubyEn: '', baseType: 'normal', type: 'attack', range: '4', damage: '2/1', text: '不可避\n【常時】相手の手札が2枚以上あるならば、この《攻撃》は距離拡大（近2）と距離拡大（遠2）を得る。\n（他に何もなければ、適正距離は2-6になる）', textZh: '不可被闪避\n【常时】若对手的手牌不少于2张，则此《攻击》得距离扩大（近2、远2）。', textZhG148: '不可被闪避\n【常时】若对手的手牌多于2张，则此《攻击》得距离扩大（近2、远2）', textZhG148Additional: '불가피 \n【상시】상대의 패가 2장 이상 있다면, 이 《공격》은 거리확대(근2)와 거리확대(원2)를 얻는다.\n(기타 아무것도 없다면, 적정거리는 2-6이 된다)', textKo: 'Unavoidable\n\nForced: If your opponent has 2 or more cards in hand, increase the Range of this attack by 2 in both the near and distant directions.', textKoAdditional: 'Unavoidable\n\nForced: If your opponent has 2 or more cards in hand, increase the Range of this attack by 2 in both the near and distant directions.', textEn: 'Unavoidable\n\nForced: If your opponent has 2 or more cards in hand, increase the Range of this attack by 2 in both the near and distant directions.'},</x:v>
      </x:c>
      <x:c r="AU149" t="str">
        <x:f>IF($A149&lt;&gt;"", "    /** 《"&amp;$E149&amp;"》 */ export const "&amp;SUBSTITUTE(UPPER(IF(MID($A149, 3, 1)="-", RIGHT($A149,LEN($A149)-3), $A149)), "-", "_")&amp;": TCardId = '"&amp;$A149&amp;"';", "")</x:f>
        <x:v>    /** 《仕掛け番傘》 */ export const CHIKAGE_A1_N_5: TCardId = '09-chikage-A1-n-5';</x:v>
      </x:c>
      <x:c r="AV149" t="str">
        <x:f>IF($A150&lt;&gt;"", "    | '"&amp;$A150&amp;"'", "")</x:f>
        <x:v>    | '09-chikage-A1-n-6'</x:v>
      </x:c>
    </x:row>
    <x:row r="150" ht="68" customHeight="1">
      <x:c r="A150" t="str">
        <x:v>09-chikage-A1-n-6</x:v>
      </x:c>
      <x:c r="B150" t="str">
        <x:v>chikage</x:v>
      </x:c>
      <x:c r="C150" t="str">
        <x:v>A1</x:v>
      </x:c>
      <x:c r="D150" t="str">
        <x:v>09-chikage-o-n-6</x:v>
      </x:c>
      <x:c r="E150" t="str">
        <x:v>奮迅</x:v>
      </x:c>
      <x:c r="F150" t="str">
        <x:v>ふんじん</x:v>
      </x:c>
      <x:c r="G150" t="str">
        <x:v>迅猛</x:v>
      </x:c>
      <x:c r="H150" t="str">
        <x:v>奋迅</x:v>
      </x:c>
      <x:c r="I150"/>
      <x:c r="J150" t="str">
        <x:v>분투</x:v>
      </x:c>
      <x:c r="K150" t="str">
        <x:v>Surge of Vitality</x:v>
      </x:c>
      <x:c r="L150"/>
      <x:c r="M150" t="str">
        <x:v>通常札</x:v>
      </x:c>
      <x:c r="N150"/>
      <x:c r="O150"/>
      <x:c r="P150"/>
      <x:c r="Q150"/>
      <x:c r="R150" t="str">
        <x:v>行動</x:v>
      </x:c>
      <x:c r="S150"/>
      <x:c r="T150"/>
      <x:c r="U150"/>
      <x:c r="V150"/>
      <x:c r="W150"/>
      <x:c r="X150"/>
      <x:c r="Y150"/>
      <x:c r="Z150"/>
      <x:c r="AA150"/>
      <x:c r="AB150"/>
      <x:c r="AC150"/>
      <x:c r="AD150"/>
      <x:c r="AE150" s="438" t="str">
        <x:v>相手の手札が2枚以上あるならば、あなたは集中力を1得る。
間合⇔ダスト：1</x:v>
      </x:c>
      <x:c r="AF150" s="438"/>
      <x:c r="AG150" s="499" t="str">
        <x:v>若对手手牌的牌张数不少于2张，则你获得1点集中力。
距↔1↔虚</x:v>
      </x:c>
      <x:c r="AH150" s="438"/>
      <x:c r="AI150" s="499" t="str">
        <x:v>若对手的手牌多于2张，则你获得1点集中力。
距（1）⇔虚</x:v>
      </x:c>
      <x:c r="AJ150" s="438"/>
      <x:c r="AK150" s="499" t="str">
        <x:v>상대의 손패가 2장 이상 있다면, 당신은 집중력을 1 얻는다.
간격⇔더스트：1</x:v>
      </x:c>
      <x:c r="AL150" s="438"/>
      <x:c r="AM150" s="499" t="str">
        <x:v>If your opponent has 2 or more cards in hand, gain 1 Vigor.
Distance (1)⇔ Shadow</x:v>
      </x:c>
      <x:c r="AN150" s="438"/>
      <x:c r="AO150" s="438"/>
      <x:c r="AP150" s="438"/>
      <x:c r="AQ150" s="438"/>
      <x:c r="AR150" s="438"/>
      <x:c r="AS150" s="438"/>
      <x:c r="AT150" t="str">
        <x:f>IF(A150="", "","'"&amp;A150&amp;"': {megami: '"&amp;B150&amp;"'"&amp;IF(C150&lt;&gt;"",", anotherID: '"&amp;C150&amp;"', replace: '"&amp;D150&amp;"'","")&amp;", name: '"&amp;SUBSTITUTE(E150,"'","\'")&amp;"', nameEn: '"&amp;SUBSTITUTE(K150,"'","\'")&amp;"', nameZh: '"&amp;SUBSTITUTE(G150,"'","\'")&amp;"', nameZhG149: '"&amp;SUBSTITUTE(H150,"'","\'")&amp;"', nameKo: '"&amp;SUBSTITUTE(J150,"'","\'")&amp;"', ruby: '"&amp;F150&amp;"', rubyEn: '"&amp;L150&amp;IF(I150&lt;&gt;"", "', rubyZh: '"&amp;I150, "")&amp;"', baseType: '"&amp;IF(M150="通常札","normal",IF(M150="切札","special",IF(M150="追加札","extra",IF(M150="transform","transform",IF(M150="嵐","storm",IF(M150="兵員","troop",IF(M150="構想","plan",IF(M150="メインパーツ","mainParts",IF(M150="カスタムパーツ","customParts",IF(M150="運命","fate",IF(M150="仮想樹","virtualTree","")))))))))))&amp;"'"&amp;IF(N150="○",", extra: true","")&amp;IF(O150&lt;&gt;"",", extraFrom: '"&amp;O150&amp;"'","")&amp;IF(P150&lt;&gt;"",", exchangableTo: '"&amp;P150&amp;"'","")&amp;IF(Q150="○",", poison: true","")&amp;IF(R150&lt;&gt;"", ", type: '"&amp;IF(R150="攻撃","attack",IF(R150="行動","action",IF(R150="不定","variable",IF(R150="対応","reaction",IF(R150="全力","fullpower",IF(R150="付与","enhance",IF(R150="transform","transform","")))))))&amp;"'", "")&amp;IF(S150&lt;&gt;"",", subType: '"&amp;IF(S150="攻撃","attack",IF(S150="行動","action",IF(S150="不定","variable",IF(S150="対応","reaction",IF(S150="全力","fullpower",IF(S150="付与","enhance",IF(S150="transform","transform","")))))))&amp;"'","")&amp;""&amp;IF(T150&lt;&gt;"",", range: '"&amp;T150&amp;"'","")&amp;IF(V150&lt;&gt;"",", damage: '"&amp;V150&amp;"'","")&amp;IF(X150&lt;&gt;"",", capacity: '"&amp;X150&amp;"'","")&amp;IF(Y150&lt;&gt;"",", growth: "&amp;Y150&amp;"","")&amp;IF(Z150&lt;&gt;"",", cost: '"&amp;Z150&amp;"'","")&amp;", text: '"&amp;SUBSTITUTE(SUBSTITUTE(AE150, CHAR(13), ""),CHAR(10),"\n")&amp;IF(AF150&lt;&gt;"", "', textAdditional: '"&amp;SUBSTITUTE(SUBSTITUTE(AF150, CHAR(13), ""),CHAR(10),"\n"), "")&amp;"', textZh: '"&amp;SUBSTITUTE(SUBSTITUTE(SUBSTITUTE(AG150, CHAR(13), ""),CHAR(10),"\n"),"'","\'")&amp;"', textZhG149: '"&amp;SUBSTITUTE(SUBSTITUTE(SUBSTITUTE(AI150, CHAR(13), ""),CHAR(10),"\n"),"'","\'")&amp;IF(AH150&lt;&gt;"", "', textZhAdditional: '"&amp;SUBSTITUTE(SUBSTITUTE(AH150, CHAR(13), ""),CHAR(10),"\n"), "")&amp;IF(AK150&lt;&gt;"", "', textZhG149Additional: '"&amp;SUBSTITUTE(SUBSTITUTE(AK150, CHAR(13), ""),CHAR(10),"\n"), "")&amp;"', textKo: '"&amp;SUBSTITUTE(SUBSTITUTE(SUBSTITUTE(AM150, CHAR(13), ""),CHAR(10),"\n"),"'","\'")&amp;IF(AM150&lt;&gt;"", "', textKoAdditional: '"&amp;SUBSTITUTE(SUBSTITUTE(AM150, CHAR(13), ""),CHAR(10),"\n"), "")&amp;"', textEn: '"&amp;SUBSTITUTE(SUBSTITUTE(SUBSTITUTE(AM150, CHAR(13), ""),CHAR(10),"\n"),"'","\'")&amp;IF(AN150&lt;&gt;"", "', textEnAdditional: '"&amp;SUBSTITUTE(SUBSTITUTE(AN150, CHAR(13), ""),CHAR(10),"\n"), "")&amp;"'"&amp;IF(AB150="○",", sealable: true","")&amp;IF(AC150="○",", removable: true","")&amp;IF(AA150="○",", lie: true","")&amp;IF(AD150="○",", investable: true","")&amp;"},")</x:f>
        <x:v>'09-chikage-A1-n-6': {megami: 'chikage', anotherID: 'A1', replace: '09-chikage-o-n-6', name: '奮迅', nameEn: 'Surge of Vitality', nameZh: '迅猛', nameZhG149: '奋迅', nameKo: '분투', ruby: 'ふんじん', rubyEn: '', baseType: 'normal', type: 'action', text: '相手の手札が2枚以上あるならば、あなたは集中力を1得る。\n間合⇔ダスト：1', textZh: '若对手手牌的牌张数不少于2张，则你获得1点集中力。\n距↔1↔虚', textZhG149: '若对手的手牌多于2张，则你获得1点集中力。\n距（1）⇔虚', textZhG149Additional: '상대의 손패가 2장 이상 있다면, 당신은 집중력을 1 얻는다.\n간격⇔더스트：1', textKo: 'If your opponent has 2 or more cards in hand, gain 1 Vigor.\n\nDistance (1)⇔ Shadow', textKoAdditional: 'If your opponent has 2 or more cards in hand, gain 1 Vigor.\n\nDistance (1)⇔ Shadow', textEn: 'If your opponent has 2 or more cards in hand, gain 1 Vigor.\n\nDistance (1)⇔ Shadow'},</x:v>
      </x:c>
      <x:c r="AU150" t="str">
        <x:f>IF($A150&lt;&gt;"", "    /** 《"&amp;$E150&amp;"》 */ export const "&amp;SUBSTITUTE(UPPER(IF(MID($A150, 3, 1)="-", RIGHT($A150,LEN($A150)-3), $A150)), "-", "_")&amp;": TCardId = '"&amp;$A150&amp;"';", "")</x:f>
        <x:v>    /** 《奮迅》 */ export const CHIKAGE_A1_N_6: TCardId = '09-chikage-A1-n-6';</x:v>
      </x:c>
      <x:c r="AV150" t="str">
        <x:f>IF($A151&lt;&gt;"", "    | '"&amp;$A151&amp;"'", "")</x:f>
        <x:v>    | '09-chikage-A1-s-4'</x:v>
      </x:c>
    </x:row>
    <x:row r="151" ht="68" customHeight="1">
      <x:c r="A151" t="str">
        <x:v>09-chikage-A1-s-4</x:v>
      </x:c>
      <x:c r="B151" t="str">
        <x:v>chikage</x:v>
      </x:c>
      <x:c r="C151" t="str">
        <x:v>A1</x:v>
      </x:c>
      <x:c r="D151" t="str">
        <x:v>09-chikage-o-s-4</x:v>
      </x:c>
      <x:c r="E151" t="str">
        <x:v>残滓の絆毒</x:v>
      </x:c>
      <x:c r="F151" t="str">
        <x:v>ざんしのきずなどく</x:v>
      </x:c>
      <x:c r="G151" t="str">
        <x:v>残渣牵绊毒</x:v>
      </x:c>
      <x:c r="H151" t="str">
        <x:v>残渣的绊毒</x:v>
      </x:c>
      <x:c r="I151"/>
      <x:c r="J151" t="str">
        <x:v>잔재의 인연독</x:v>
      </x:c>
      <x:c r="K151" t="str">
        <x:v>Vestigial Bondrot</x:v>
      </x:c>
      <x:c r="L151"/>
      <x:c r="M151" t="str">
        <x:v>切札</x:v>
      </x:c>
      <x:c r="N151"/>
      <x:c r="O151"/>
      <x:c r="P151"/>
      <x:c r="Q151"/>
      <x:c r="R151" t="str">
        <x:v>攻撃</x:v>
      </x:c>
      <x:c r="S151"/>
      <x:c r="T151" t="str">
        <x:v>0-1</x:v>
      </x:c>
      <x:c r="U151"/>
      <x:c r="V151" t="str">
        <x:v>4/X</x:v>
      </x:c>
      <x:c r="W151"/>
      <x:c r="X151"/>
      <x:c r="Y151"/>
      <x:c r="Z151" t="n">
        <x:v>4</x:v>
      </x:c>
      <x:c r="AA151"/>
      <x:c r="AB151"/>
      <x:c r="AC151"/>
      <x:c r="AD151"/>
      <x:c r="AE151" s="438" t="str">
        <x:v>対応不可（通常札）
【常時】Xは相手の手札にあるカードの枚数の2倍に等しい。</x:v>
      </x:c>
      <x:c r="AF151" s="438"/>
      <x:c r="AG151" s="499" t="str">
        <x:v>不可被对应（通常牌）
【常时】X等于对手的手牌张数的2倍。</x:v>
      </x:c>
      <x:c r="AH151" s="438"/>
      <x:c r="AI151" s="499" t="str">
        <x:v>不可被对应（通常牌）
【常时】X等于对手的手牌张数的2倍。</x:v>
      </x:c>
      <x:c r="AJ151" s="438"/>
      <x:c r="AK151" s="499" t="str">
        <x:v>대응불가(통상패)
【상시】X는 상대의 손패에 있는 카드 장수의 2배와 같다.</x:v>
      </x:c>
      <x:c r="AL151" s="438"/>
      <x:c r="AM151" s="499" t="str">
        <x:v>No Reactions (Normal)
Forced: X is twice the number of cards in your opponent's hand.</x:v>
      </x:c>
      <x:c r="AN151" s="438"/>
      <x:c r="AO151" s="438"/>
      <x:c r="AP151" s="438"/>
      <x:c r="AQ151" s="438"/>
      <x:c r="AR151" s="438"/>
      <x:c r="AS151" s="438"/>
      <x:c r="AT151" t="str">
        <x:f>IF(A151="", "","'"&amp;A151&amp;"': {megami: '"&amp;B151&amp;"'"&amp;IF(C151&lt;&gt;"",", anotherID: '"&amp;C151&amp;"', replace: '"&amp;D151&amp;"'","")&amp;", name: '"&amp;SUBSTITUTE(E151,"'","\'")&amp;"', nameEn: '"&amp;SUBSTITUTE(K151,"'","\'")&amp;"', nameZh: '"&amp;SUBSTITUTE(G151,"'","\'")&amp;"', nameZhG150: '"&amp;SUBSTITUTE(H151,"'","\'")&amp;"', nameKo: '"&amp;SUBSTITUTE(J151,"'","\'")&amp;"', ruby: '"&amp;F151&amp;"', rubyEn: '"&amp;L151&amp;IF(I151&lt;&gt;"", "', rubyZh: '"&amp;I151, "")&amp;"', baseType: '"&amp;IF(M151="通常札","normal",IF(M151="切札","special",IF(M151="追加札","extra",IF(M151="transform","transform",IF(M151="嵐","storm",IF(M151="兵員","troop",IF(M151="構想","plan",IF(M151="メインパーツ","mainParts",IF(M151="カスタムパーツ","customParts",IF(M151="運命","fate",IF(M151="仮想樹","virtualTree","")))))))))))&amp;"'"&amp;IF(N151="○",", extra: true","")&amp;IF(O151&lt;&gt;"",", extraFrom: '"&amp;O151&amp;"'","")&amp;IF(P151&lt;&gt;"",", exchangableTo: '"&amp;P151&amp;"'","")&amp;IF(Q151="○",", poison: true","")&amp;IF(R151&lt;&gt;"", ", type: '"&amp;IF(R151="攻撃","attack",IF(R151="行動","action",IF(R151="不定","variable",IF(R151="対応","reaction",IF(R151="全力","fullpower",IF(R151="付与","enhance",IF(R151="transform","transform","")))))))&amp;"'", "")&amp;IF(S151&lt;&gt;"",", subType: '"&amp;IF(S151="攻撃","attack",IF(S151="行動","action",IF(S151="不定","variable",IF(S151="対応","reaction",IF(S151="全力","fullpower",IF(S151="付与","enhance",IF(S151="transform","transform","")))))))&amp;"'","")&amp;""&amp;IF(T151&lt;&gt;"",", range: '"&amp;T151&amp;"'","")&amp;IF(V151&lt;&gt;"",", damage: '"&amp;V151&amp;"'","")&amp;IF(X151&lt;&gt;"",", capacity: '"&amp;X151&amp;"'","")&amp;IF(Y151&lt;&gt;"",", growth: "&amp;Y151&amp;"","")&amp;IF(Z151&lt;&gt;"",", cost: '"&amp;Z151&amp;"'","")&amp;", text: '"&amp;SUBSTITUTE(SUBSTITUTE(AE151, CHAR(13), ""),CHAR(10),"\n")&amp;IF(AF151&lt;&gt;"", "', textAdditional: '"&amp;SUBSTITUTE(SUBSTITUTE(AF151, CHAR(13), ""),CHAR(10),"\n"), "")&amp;"', textZh: '"&amp;SUBSTITUTE(SUBSTITUTE(SUBSTITUTE(AG151, CHAR(13), ""),CHAR(10),"\n"),"'","\'")&amp;"', textZhG150: '"&amp;SUBSTITUTE(SUBSTITUTE(SUBSTITUTE(AI151, CHAR(13), ""),CHAR(10),"\n"),"'","\'")&amp;IF(AH151&lt;&gt;"", "', textZhAdditional: '"&amp;SUBSTITUTE(SUBSTITUTE(AH151, CHAR(13), ""),CHAR(10),"\n"), "")&amp;IF(AK151&lt;&gt;"", "', textZhG150Additional: '"&amp;SUBSTITUTE(SUBSTITUTE(AK151, CHAR(13), ""),CHAR(10),"\n"), "")&amp;"', textKo: '"&amp;SUBSTITUTE(SUBSTITUTE(SUBSTITUTE(AM151, CHAR(13), ""),CHAR(10),"\n"),"'","\'")&amp;IF(AM151&lt;&gt;"", "', textKoAdditional: '"&amp;SUBSTITUTE(SUBSTITUTE(AM151, CHAR(13), ""),CHAR(10),"\n"), "")&amp;"', textEn: '"&amp;SUBSTITUTE(SUBSTITUTE(SUBSTITUTE(AM151, CHAR(13), ""),CHAR(10),"\n"),"'","\'")&amp;IF(AN151&lt;&gt;"", "', textEnAdditional: '"&amp;SUBSTITUTE(SUBSTITUTE(AN151, CHAR(13), ""),CHAR(10),"\n"), "")&amp;"'"&amp;IF(AB151="○",", sealable: true","")&amp;IF(AC151="○",", removable: true","")&amp;IF(AA151="○",", lie: true","")&amp;IF(AD151="○",", investable: true","")&amp;"},")</x:f>
        <x:v>'09-chikage-A1-s-4': {megami: 'chikage', anotherID: 'A1', replace: '09-chikage-o-s-4', name: '残滓の絆毒', nameEn: 'Vestigial Bondrot', nameZh: '残渣牵绊毒', nameZhG150: '残渣的绊毒', nameKo: '잔재의 인연독', ruby: 'ざんしのきずなどく', rubyEn: '', baseType: 'special', type: 'attack', range: '0-1', damage: '4/X', cost: '4', text: '対応不可（通常札）\n【常時】Xは相手の手札にあるカードの枚数の2倍に等しい。', textZh: '不可被对应（通常牌）\n【常时】X等于对手的手牌张数的2倍。', textZhG150: '不可被对应（通常牌）\n【常时】X等于对手的手牌张数的2倍。', textZhG150Additional: '대응불가(통상패)\n【상시】X는 상대의 손패에 있는 카드 장수의 2배와 같다.', textKo: 'No Reactions (Normal)\n\nForced: X is twice the number of cards in your opponent\'s hand.', textKoAdditional: 'No Reactions (Normal)\n\nForced: X is twice the number of cards in your opponent's hand.', textEn: 'No Reactions (Normal)\n\nForced: X is twice the number of cards in your opponent\'s hand.'},</x:v>
      </x:c>
      <x:c r="AU151" t="str">
        <x:f>IF($A151&lt;&gt;"", "    /** 《"&amp;$E151&amp;"》 */ export const "&amp;SUBSTITUTE(UPPER(IF(MID($A151, 3, 1)="-", RIGHT($A151,LEN($A151)-3), $A151)), "-", "_")&amp;": TCardId = '"&amp;$A151&amp;"';", "")</x:f>
        <x:v>    /** 《残滓の絆毒》 */ export const CHIKAGE_A1_S_4: TCardId = '09-chikage-A1-s-4';</x:v>
      </x:c>
      <x:c r="AV151" t="str">
        <x:f>IF($A152&lt;&gt;"", "    | '"&amp;$A152&amp;"'", "")</x:f>
        <x:v>    | '10-kururu-o-n-1'</x:v>
      </x:c>
    </x:row>
    <x:row r="152" ht="38" customHeight="1">
      <x:c r="A152" t="str">
        <x:v>10-kururu-o-n-1</x:v>
      </x:c>
      <x:c r="B152" t="str">
        <x:v>kururu</x:v>
      </x:c>
      <x:c r="C152"/>
      <x:c r="D152"/>
      <x:c r="E152" t="str">
        <x:v>えれきてる</x:v>
      </x:c>
      <x:c r="F152"/>
      <x:c r="G152" t="str">
        <x:v>电击装置</x:v>
      </x:c>
      <x:c r="H152" t="str">
        <x:v>电气疗法</x:v>
      </x:c>
      <x:c r="I152" t="str">
        <x:v>Electric</x:v>
      </x:c>
      <x:c r="J152" t="str">
        <x:v>엘레키텔</x:v>
      </x:c>
      <x:c r="K152" t="str">
        <x:v>Elekiter</x:v>
      </x:c>
      <x:c r="L152"/>
      <x:c r="M152" t="str">
        <x:v>通常札</x:v>
      </x:c>
      <x:c r="N152"/>
      <x:c r="O152"/>
      <x:c r="P152"/>
      <x:c r="Q152"/>
      <x:c r="R152" t="str">
        <x:v>行動</x:v>
      </x:c>
      <x:c r="S152"/>
      <x:c r="T152"/>
      <x:c r="U152"/>
      <x:c r="V152"/>
      <x:c r="W152"/>
      <x:c r="X152"/>
      <x:c r="Y152"/>
      <x:c r="Z152"/>
      <x:c r="AA152"/>
      <x:c r="AB152"/>
      <x:c r="AC152"/>
      <x:c r="AD152"/>
      <x:c r="AE152" s="438" t="str">
        <x:v>機巧（行行行対対）: 相手のライフに1ダメージを与える。</x:v>
      </x:c>
      <x:c r="AF152" s="438"/>
      <x:c r="AG152" s="499" t="str">
        <x:v>----
&lt;行行行对对&gt; 给予敌命1点伤害。</x:v>
      </x:c>
      <x:c r="AH152" s="438"/>
      <x:c r="AI152" s="499" t="str">
        <x:v>----
机巧：蓝蓝蓝紫紫 对敌命造成1点伤害。</x:v>
      </x:c>
      <x:c r="AJ152" s="438"/>
      <x:c r="AK152" s="499" t="str">
        <x:v>----
 &lt;행행행대대&gt;상대의 라이프에 1 대미지를 준다.</x:v>
      </x:c>
      <x:c r="AL152" s="438"/>
      <x:c r="AM152" s="499" t="str">
        <x:v>Mechanism (ACT ACT ACT REA REA) - Deal 1 damage to your opponent's Life.</x:v>
      </x:c>
      <x:c r="AN152" s="438"/>
      <x:c r="AO152" s="438"/>
      <x:c r="AP152" s="438"/>
      <x:c r="AQ152" s="438"/>
      <x:c r="AR152" s="438"/>
      <x:c r="AS152" s="438"/>
      <x:c r="AT152" t="str">
        <x:f>IF(A152="", "","'"&amp;A152&amp;"': {megami: '"&amp;B152&amp;"'"&amp;IF(C152&lt;&gt;"",", anotherID: '"&amp;C152&amp;"', replace: '"&amp;D152&amp;"'","")&amp;", name: '"&amp;SUBSTITUTE(E152,"'","\'")&amp;"', nameEn: '"&amp;SUBSTITUTE(K152,"'","\'")&amp;"', nameZh: '"&amp;SUBSTITUTE(G152,"'","\'")&amp;"', nameZhG151: '"&amp;SUBSTITUTE(H152,"'","\'")&amp;"', nameKo: '"&amp;SUBSTITUTE(J152,"'","\'")&amp;"', ruby: '"&amp;F152&amp;"', rubyEn: '"&amp;L152&amp;IF(I152&lt;&gt;"", "', rubyZh: '"&amp;I152, "")&amp;"', baseType: '"&amp;IF(M152="通常札","normal",IF(M152="切札","special",IF(M152="追加札","extra",IF(M152="transform","transform",IF(M152="嵐","storm",IF(M152="兵員","troop",IF(M152="構想","plan",IF(M152="メインパーツ","mainParts",IF(M152="カスタムパーツ","customParts",IF(M152="運命","fate",IF(M152="仮想樹","virtualTree","")))))))))))&amp;"'"&amp;IF(N152="○",", extra: true","")&amp;IF(O152&lt;&gt;"",", extraFrom: '"&amp;O152&amp;"'","")&amp;IF(P152&lt;&gt;"",", exchangableTo: '"&amp;P152&amp;"'","")&amp;IF(Q152="○",", poison: true","")&amp;IF(R152&lt;&gt;"", ", type: '"&amp;IF(R152="攻撃","attack",IF(R152="行動","action",IF(R152="不定","variable",IF(R152="対応","reaction",IF(R152="全力","fullpower",IF(R152="付与","enhance",IF(R152="transform","transform","")))))))&amp;"'", "")&amp;IF(S152&lt;&gt;"",", subType: '"&amp;IF(S152="攻撃","attack",IF(S152="行動","action",IF(S152="不定","variable",IF(S152="対応","reaction",IF(S152="全力","fullpower",IF(S152="付与","enhance",IF(S152="transform","transform","")))))))&amp;"'","")&amp;""&amp;IF(T152&lt;&gt;"",", range: '"&amp;T152&amp;"'","")&amp;IF(V152&lt;&gt;"",", damage: '"&amp;V152&amp;"'","")&amp;IF(X152&lt;&gt;"",", capacity: '"&amp;X152&amp;"'","")&amp;IF(Y152&lt;&gt;"",", growth: "&amp;Y152&amp;"","")&amp;IF(Z152&lt;&gt;"",", cost: '"&amp;Z152&amp;"'","")&amp;", text: '"&amp;SUBSTITUTE(SUBSTITUTE(AE152, CHAR(13), ""),CHAR(10),"\n")&amp;IF(AF152&lt;&gt;"", "', textAdditional: '"&amp;SUBSTITUTE(SUBSTITUTE(AF152, CHAR(13), ""),CHAR(10),"\n"), "")&amp;"', textZh: '"&amp;SUBSTITUTE(SUBSTITUTE(SUBSTITUTE(AG152, CHAR(13), ""),CHAR(10),"\n"),"'","\'")&amp;"', textZhG151: '"&amp;SUBSTITUTE(SUBSTITUTE(SUBSTITUTE(AI152, CHAR(13), ""),CHAR(10),"\n"),"'","\'")&amp;IF(AH152&lt;&gt;"", "', textZhAdditional: '"&amp;SUBSTITUTE(SUBSTITUTE(AH152, CHAR(13), ""),CHAR(10),"\n"), "")&amp;IF(AK152&lt;&gt;"", "', textZhG151Additional: '"&amp;SUBSTITUTE(SUBSTITUTE(AK152, CHAR(13), ""),CHAR(10),"\n"), "")&amp;"', textKo: '"&amp;SUBSTITUTE(SUBSTITUTE(SUBSTITUTE(AM152, CHAR(13), ""),CHAR(10),"\n"),"'","\'")&amp;IF(AM152&lt;&gt;"", "', textKoAdditional: '"&amp;SUBSTITUTE(SUBSTITUTE(AM152, CHAR(13), ""),CHAR(10),"\n"), "")&amp;"', textEn: '"&amp;SUBSTITUTE(SUBSTITUTE(SUBSTITUTE(AM152, CHAR(13), ""),CHAR(10),"\n"),"'","\'")&amp;IF(AN152&lt;&gt;"", "', textEnAdditional: '"&amp;SUBSTITUTE(SUBSTITUTE(AN152, CHAR(13), ""),CHAR(10),"\n"), "")&amp;"'"&amp;IF(AB152="○",", sealable: true","")&amp;IF(AC152="○",", removable: true","")&amp;IF(AA152="○",", lie: true","")&amp;IF(AD152="○",", investable: true","")&amp;"},")</x:f>
        <x:v>'10-kururu-o-n-1': {megami: 'kururu', name: 'えれきてる', nameEn: 'Elekiter', nameZh: '电击装置', nameZhG151: '电气疗法', nameKo: '엘레키텔', ruby: '', rubyEn: '', rubyZh: 'Electric', baseType: 'normal', type: 'action', text: '機巧（行行行対対）: 相手のライフに1ダメージを与える。', textZh: '----\n&lt;行行行对对&gt; 给予敌命1点伤害。', textZhG151: '----\n机巧：蓝蓝蓝紫紫 对敌命造成1点伤害。', textZhG151Additional: '----\n &lt;행행행대대&gt;상대의 라이프에 1 대미지를 준다.', textKo: 'Mechanism (ACT ACT ACT REA REA) - Deal 1 damage to your opponent\'s Life.', textKoAdditional: 'Mechanism (ACT ACT ACT REA REA) - Deal 1 damage to your opponent's Life.', textEn: 'Mechanism (ACT ACT ACT REA REA) - Deal 1 damage to your opponent\'s Life.'},</x:v>
      </x:c>
      <x:c r="AU152" t="str">
        <x:f>IF($A152&lt;&gt;"", "    /** 《"&amp;$E152&amp;"》 */ export const "&amp;SUBSTITUTE(UPPER(IF(MID($A152, 3, 1)="-", RIGHT($A152,LEN($A152)-3), $A152)), "-", "_")&amp;": TCardId = '"&amp;$A152&amp;"';", "")</x:f>
        <x:v>    /** 《えれきてる》 */ export const KURURU_O_N_1: TCardId = '10-kururu-o-n-1';</x:v>
      </x:c>
      <x:c r="AV152" t="str">
        <x:f>IF($A153&lt;&gt;"", "    | '"&amp;$A153&amp;"'", "")</x:f>
        <x:v>    | '10-kururu-o-n-2'</x:v>
      </x:c>
    </x:row>
    <x:row r="153" ht="53" customHeight="1">
      <x:c r="A153" t="str">
        <x:v>10-kururu-o-n-2</x:v>
      </x:c>
      <x:c r="B153" t="str">
        <x:v>kururu</x:v>
      </x:c>
      <x:c r="C153"/>
      <x:c r="D153"/>
      <x:c r="E153" t="str">
        <x:v>あくせらー</x:v>
      </x:c>
      <x:c r="F153"/>
      <x:c r="G153" t="str">
        <x:v>加速装置</x:v>
      </x:c>
      <x:c r="H153" t="str">
        <x:v>加束效应</x:v>
      </x:c>
      <x:c r="I153" t="str">
        <x:v>Accelerator</x:v>
      </x:c>
      <x:c r="J153" t="str">
        <x:v>액셀러~</x:v>
      </x:c>
      <x:c r="K153" t="str">
        <x:v>Acceler</x:v>
      </x:c>
      <x:c r="L153"/>
      <x:c r="M153" t="str">
        <x:v>通常札</x:v>
      </x:c>
      <x:c r="N153"/>
      <x:c r="O153"/>
      <x:c r="P153"/>
      <x:c r="Q153"/>
      <x:c r="R153" t="str">
        <x:v>行動</x:v>
      </x:c>
      <x:c r="S153"/>
      <x:c r="T153"/>
      <x:c r="U153"/>
      <x:c r="V153"/>
      <x:c r="W153"/>
      <x:c r="X153"/>
      <x:c r="Y153"/>
      <x:c r="Z153"/>
      <x:c r="AA153"/>
      <x:c r="AB153"/>
      <x:c r="AC153"/>
      <x:c r="AD153"/>
      <x:c r="AE153" s="438" t="str">
        <x:v>機巧（行行付）: あなたの手札から《全力》カードを1枚選び、そのカードを使用してもよい。（フェイズは終了しない）</x:v>
      </x:c>
      <x:c r="AF153" s="438"/>
      <x:c r="AG153" s="499" t="str">
        <x:v>----
&lt;行行付&gt; 选择你手牌里的1张《全力》牌并使用。（当前阶段不会因此而结束）</x:v>
      </x:c>
      <x:c r="AH153" s="438"/>
      <x:c r="AI153" s="499" t="str">
        <x:v>----
机巧：蓝蓝绿 你可以使用一张《全力》牌。</x:v>
      </x:c>
      <x:c r="AJ153" s="438"/>
      <x:c r="AK153" s="499" t="str">
        <x:v>----
 &lt;행행부&gt; 당신의 손패에서 《전력》카드를 1장 고르고, 그 카드를 사용해도 좋다.
 (페이즈는 종료되지 않는다.)</x:v>
      </x:c>
      <x:c r="AL153" s="438"/>
      <x:c r="AM153" s="499" t="str">
        <x:v>Mechanism (ENH ACT ACT) - You may choose 1 Throughout card in your hand and play it.</x:v>
      </x:c>
      <x:c r="AN153" s="438"/>
      <x:c r="AO153" s="438"/>
      <x:c r="AP153" s="438"/>
      <x:c r="AQ153" s="438"/>
      <x:c r="AR153" s="438"/>
      <x:c r="AS153" s="438"/>
      <x:c r="AT153" t="str">
        <x:f>IF(A153="", "","'"&amp;A153&amp;"': {megami: '"&amp;B153&amp;"'"&amp;IF(C153&lt;&gt;"",", anotherID: '"&amp;C153&amp;"', replace: '"&amp;D153&amp;"'","")&amp;", name: '"&amp;SUBSTITUTE(E153,"'","\'")&amp;"', nameEn: '"&amp;SUBSTITUTE(K153,"'","\'")&amp;"', nameZh: '"&amp;SUBSTITUTE(G153,"'","\'")&amp;"', nameZhG152: '"&amp;SUBSTITUTE(H153,"'","\'")&amp;"', nameKo: '"&amp;SUBSTITUTE(J153,"'","\'")&amp;"', ruby: '"&amp;F153&amp;"', rubyEn: '"&amp;L153&amp;IF(I153&lt;&gt;"", "', rubyZh: '"&amp;I153, "")&amp;"', baseType: '"&amp;IF(M153="通常札","normal",IF(M153="切札","special",IF(M153="追加札","extra",IF(M153="transform","transform",IF(M153="嵐","storm",IF(M153="兵員","troop",IF(M153="構想","plan",IF(M153="メインパーツ","mainParts",IF(M153="カスタムパーツ","customParts",IF(M153="運命","fate",IF(M153="仮想樹","virtualTree","")))))))))))&amp;"'"&amp;IF(N153="○",", extra: true","")&amp;IF(O153&lt;&gt;"",", extraFrom: '"&amp;O153&amp;"'","")&amp;IF(P153&lt;&gt;"",", exchangableTo: '"&amp;P153&amp;"'","")&amp;IF(Q153="○",", poison: true","")&amp;IF(R153&lt;&gt;"", ", type: '"&amp;IF(R153="攻撃","attack",IF(R153="行動","action",IF(R153="不定","variable",IF(R153="対応","reaction",IF(R153="全力","fullpower",IF(R153="付与","enhance",IF(R153="transform","transform","")))))))&amp;"'", "")&amp;IF(S153&lt;&gt;"",", subType: '"&amp;IF(S153="攻撃","attack",IF(S153="行動","action",IF(S153="不定","variable",IF(S153="対応","reaction",IF(S153="全力","fullpower",IF(S153="付与","enhance",IF(S153="transform","transform","")))))))&amp;"'","")&amp;""&amp;IF(T153&lt;&gt;"",", range: '"&amp;T153&amp;"'","")&amp;IF(V153&lt;&gt;"",", damage: '"&amp;V153&amp;"'","")&amp;IF(X153&lt;&gt;"",", capacity: '"&amp;X153&amp;"'","")&amp;IF(Y153&lt;&gt;"",", growth: "&amp;Y153&amp;"","")&amp;IF(Z153&lt;&gt;"",", cost: '"&amp;Z153&amp;"'","")&amp;", text: '"&amp;SUBSTITUTE(SUBSTITUTE(AE153, CHAR(13), ""),CHAR(10),"\n")&amp;IF(AF153&lt;&gt;"", "', textAdditional: '"&amp;SUBSTITUTE(SUBSTITUTE(AF153, CHAR(13), ""),CHAR(10),"\n"), "")&amp;"', textZh: '"&amp;SUBSTITUTE(SUBSTITUTE(SUBSTITUTE(AG153, CHAR(13), ""),CHAR(10),"\n"),"'","\'")&amp;"', textZhG152: '"&amp;SUBSTITUTE(SUBSTITUTE(SUBSTITUTE(AI153, CHAR(13), ""),CHAR(10),"\n"),"'","\'")&amp;IF(AH153&lt;&gt;"", "', textZhAdditional: '"&amp;SUBSTITUTE(SUBSTITUTE(AH153, CHAR(13), ""),CHAR(10),"\n"), "")&amp;IF(AK153&lt;&gt;"", "', textZhG152Additional: '"&amp;SUBSTITUTE(SUBSTITUTE(AK153, CHAR(13), ""),CHAR(10),"\n"), "")&amp;"', textKo: '"&amp;SUBSTITUTE(SUBSTITUTE(SUBSTITUTE(AM153, CHAR(13), ""),CHAR(10),"\n"),"'","\'")&amp;IF(AM153&lt;&gt;"", "', textKoAdditional: '"&amp;SUBSTITUTE(SUBSTITUTE(AM153, CHAR(13), ""),CHAR(10),"\n"), "")&amp;"', textEn: '"&amp;SUBSTITUTE(SUBSTITUTE(SUBSTITUTE(AM153, CHAR(13), ""),CHAR(10),"\n"),"'","\'")&amp;IF(AN153&lt;&gt;"", "', textEnAdditional: '"&amp;SUBSTITUTE(SUBSTITUTE(AN153, CHAR(13), ""),CHAR(10),"\n"), "")&amp;"'"&amp;IF(AB153="○",", sealable: true","")&amp;IF(AC153="○",", removable: true","")&amp;IF(AA153="○",", lie: true","")&amp;IF(AD153="○",", investable: true","")&amp;"},")</x:f>
        <x:v>'10-kururu-o-n-2': {megami: 'kururu', name: 'あくせらー', nameEn: 'Acceler', nameZh: '加速装置', nameZhG152: '加束效应', nameKo: '액셀러~', ruby: '', rubyEn: '', rubyZh: 'Accelerator', baseType: 'normal', type: 'action', text: '機巧（行行付）: あなたの手札から《全力》カードを1枚選び、そのカードを使用してもよい。（フェイズは終了しない）', textZh: '----\n&lt;行行付&gt; 选择你手牌里的1张《全力》牌并使用。（当前阶段不会因此而结束）', textZhG152: '----\n机巧：蓝蓝绿 你可以使用一张《全力》牌。', textZhG152Additional: '----\n &lt;행행부&gt; 당신의 손패에서 《전력》카드를 1장 고르고, 그 카드를 사용해도 좋다.\n (페이즈는 종료되지 않는다.)', textKo: 'Mechanism (ENH ACT ACT) - You may choose 1 Throughout card in your hand and play it.', textKoAdditional: 'Mechanism (ENH ACT ACT) - You may choose 1 Throughout card in your hand and play it.', textEn: 'Mechanism (ENH ACT ACT) - You may choose 1 Throughout card in your hand and play it.'},</x:v>
      </x:c>
      <x:c r="AU153" t="str">
        <x:f>IF($A153&lt;&gt;"", "    /** 《"&amp;$E153&amp;"》 */ export const "&amp;SUBSTITUTE(UPPER(IF(MID($A153, 3, 1)="-", RIGHT($A153,LEN($A153)-3), $A153)), "-", "_")&amp;": TCardId = '"&amp;$A153&amp;"';", "")</x:f>
        <x:v>    /** 《あくせらー》 */ export const KURURU_O_N_2: TCardId = '10-kururu-o-n-2';</x:v>
      </x:c>
      <x:c r="AV153" t="str">
        <x:f>IF($A154&lt;&gt;"", "    | '"&amp;$A154&amp;"'", "")</x:f>
        <x:v>    | '10-kururu-o-n-3'</x:v>
      </x:c>
    </x:row>
    <x:row r="154" ht="158" customHeight="1">
      <x:c r="A154" t="str">
        <x:v>10-kururu-o-n-3</x:v>
      </x:c>
      <x:c r="B154" t="str">
        <x:v>kururu</x:v>
      </x:c>
      <x:c r="C154"/>
      <x:c r="D154"/>
      <x:c r="E154" t="str">
        <x:v>くるるーん</x:v>
      </x:c>
      <x:c r="F154"/>
      <x:c r="G154" t="str">
        <x:v>枢噜～噜</x:v>
      </x:c>
      <x:c r="H154" t="str">
        <x:v>枢噜噜～</x:v>
      </x:c>
      <x:c r="I154"/>
      <x:c r="J154" t="str">
        <x:v>쿠루룽~</x:v>
      </x:c>
      <x:c r="K154" t="str">
        <x:v>Kururu~n</x:v>
      </x:c>
      <x:c r="L154"/>
      <x:c r="M154" t="str">
        <x:v>通常札</x:v>
      </x:c>
      <x:c r="N154"/>
      <x:c r="O154"/>
      <x:c r="P154"/>
      <x:c r="Q154"/>
      <x:c r="R154" t="str">
        <x:v>行動</x:v>
      </x:c>
      <x:c r="S154" t="str">
        <x:v>対応</x:v>
      </x:c>
      <x:c r="T154"/>
      <x:c r="U154"/>
      <x:c r="V154"/>
      <x:c r="W154"/>
      <x:c r="X154"/>
      <x:c r="Y154"/>
      <x:c r="Z154"/>
      <x:c r="AA154"/>
      <x:c r="AB154"/>
      <x:c r="AC154"/>
      <x:c r="AD154"/>
      <x:c r="AE154" s="438" t="str">
        <x:v>【常時】このカードは対応でしか使用できない。
以下から2つまでを選び、任意の順に行う。（同じものを2回選ぶことはできない）
・カードを1枚引く。
・伏せ札1枚を山札の底に置く。
・相手は手札を1枚捨て札にする。</x:v>
      </x:c>
      <x:c r="AF154" s="438"/>
      <x:c r="AG154" s="499" t="str">
        <x:v>【常时】 此牌只能作为对应使用。
选择至多2项，以任意顺序结算（不能选择同一项2次）：
●抓1张牌；
●从盖牌区选择1张牌置于你的牌库底；
●对手弃1张牌。</x:v>
      </x:c>
      <x:c r="AH154" s="438"/>
      <x:c r="AI154" s="499" t="str">
        <x:v>【常时】 此牌只能作为《对应》使用。
选择至多2项，以任意顺序结算（不能选择同一项2次）：
1.抓一张牌；
2.从盖牌区选择一张牌置于你的牌库底；
3.对手弃一张牌。</x:v>
      </x:c>
      <x:c r="AJ154" s="438"/>
      <x:c r="AK154" s="499" t="str">
        <x:v>【상시】이 카드는 대응으로만 사용한다.
 이하에서 2개까지 고르고, 임의의 순서로 행한다. 
 (같은 것을 2번 고를 수 없다.)
 ・카드를 1장 뽑는다.
 ・덮임패 1장을 패산 밑에 둔다.
 ・상대는 손패를 1장 버림패로 한다.</x:v>
      </x:c>
      <x:c r="AL154" s="438"/>
      <x:c r="AM154" s="499" t="str">
        <x:v>Forced: This card cannot be played except as a Reaction to an attack.
Choose up to two, in any order: (You may not choose the same option more than once.)
・Draw a card.
・Put a card from your discard pile to the bottom of your deck.
・Your opponent puts a card from their hand into their played pile.</x:v>
      </x:c>
      <x:c r="AN154" s="438"/>
      <x:c r="AO154" s="438"/>
      <x:c r="AP154" s="438"/>
      <x:c r="AQ154" s="438"/>
      <x:c r="AR154" s="438"/>
      <x:c r="AS154" s="438"/>
      <x:c r="AT154" t="str">
        <x:f>IF(A154="", "","'"&amp;A154&amp;"': {megami: '"&amp;B154&amp;"'"&amp;IF(C154&lt;&gt;"",", anotherID: '"&amp;C154&amp;"', replace: '"&amp;D154&amp;"'","")&amp;", name: '"&amp;SUBSTITUTE(E154,"'","\'")&amp;"', nameEn: '"&amp;SUBSTITUTE(K154,"'","\'")&amp;"', nameZh: '"&amp;SUBSTITUTE(G154,"'","\'")&amp;"', nameZhG153: '"&amp;SUBSTITUTE(H154,"'","\'")&amp;"', nameKo: '"&amp;SUBSTITUTE(J154,"'","\'")&amp;"', ruby: '"&amp;F154&amp;"', rubyEn: '"&amp;L154&amp;IF(I154&lt;&gt;"", "', rubyZh: '"&amp;I154, "")&amp;"', baseType: '"&amp;IF(M154="通常札","normal",IF(M154="切札","special",IF(M154="追加札","extra",IF(M154="transform","transform",IF(M154="嵐","storm",IF(M154="兵員","troop",IF(M154="構想","plan",IF(M154="メインパーツ","mainParts",IF(M154="カスタムパーツ","customParts",IF(M154="運命","fate",IF(M154="仮想樹","virtualTree","")))))))))))&amp;"'"&amp;IF(N154="○",", extra: true","")&amp;IF(O154&lt;&gt;"",", extraFrom: '"&amp;O154&amp;"'","")&amp;IF(P154&lt;&gt;"",", exchangableTo: '"&amp;P154&amp;"'","")&amp;IF(Q154="○",", poison: true","")&amp;IF(R154&lt;&gt;"", ", type: '"&amp;IF(R154="攻撃","attack",IF(R154="行動","action",IF(R154="不定","variable",IF(R154="対応","reaction",IF(R154="全力","fullpower",IF(R154="付与","enhance",IF(R154="transform","transform","")))))))&amp;"'", "")&amp;IF(S154&lt;&gt;"",", subType: '"&amp;IF(S154="攻撃","attack",IF(S154="行動","action",IF(S154="不定","variable",IF(S154="対応","reaction",IF(S154="全力","fullpower",IF(S154="付与","enhance",IF(S154="transform","transform","")))))))&amp;"'","")&amp;""&amp;IF(T154&lt;&gt;"",", range: '"&amp;T154&amp;"'","")&amp;IF(V154&lt;&gt;"",", damage: '"&amp;V154&amp;"'","")&amp;IF(X154&lt;&gt;"",", capacity: '"&amp;X154&amp;"'","")&amp;IF(Y154&lt;&gt;"",", growth: "&amp;Y154&amp;"","")&amp;IF(Z154&lt;&gt;"",", cost: '"&amp;Z154&amp;"'","")&amp;", text: '"&amp;SUBSTITUTE(SUBSTITUTE(AE154, CHAR(13), ""),CHAR(10),"\n")&amp;IF(AF154&lt;&gt;"", "', textAdditional: '"&amp;SUBSTITUTE(SUBSTITUTE(AF154, CHAR(13), ""),CHAR(10),"\n"), "")&amp;"', textZh: '"&amp;SUBSTITUTE(SUBSTITUTE(SUBSTITUTE(AG154, CHAR(13), ""),CHAR(10),"\n"),"'","\'")&amp;"', textZhG153: '"&amp;SUBSTITUTE(SUBSTITUTE(SUBSTITUTE(AI154, CHAR(13), ""),CHAR(10),"\n"),"'","\'")&amp;IF(AH154&lt;&gt;"", "', textZhAdditional: '"&amp;SUBSTITUTE(SUBSTITUTE(AH154, CHAR(13), ""),CHAR(10),"\n"), "")&amp;IF(AK154&lt;&gt;"", "', textZhG153Additional: '"&amp;SUBSTITUTE(SUBSTITUTE(AK154, CHAR(13), ""),CHAR(10),"\n"), "")&amp;"', textKo: '"&amp;SUBSTITUTE(SUBSTITUTE(SUBSTITUTE(AM154, CHAR(13), ""),CHAR(10),"\n"),"'","\'")&amp;IF(AM154&lt;&gt;"", "', textKoAdditional: '"&amp;SUBSTITUTE(SUBSTITUTE(AM154, CHAR(13), ""),CHAR(10),"\n"), "")&amp;"', textEn: '"&amp;SUBSTITUTE(SUBSTITUTE(SUBSTITUTE(AM154, CHAR(13), ""),CHAR(10),"\n"),"'","\'")&amp;IF(AN154&lt;&gt;"", "', textEnAdditional: '"&amp;SUBSTITUTE(SUBSTITUTE(AN154, CHAR(13), ""),CHAR(10),"\n"), "")&amp;"'"&amp;IF(AB154="○",", sealable: true","")&amp;IF(AC154="○",", removable: true","")&amp;IF(AA154="○",", lie: true","")&amp;IF(AD154="○",", investable: true","")&amp;"},")</x:f>
        <x:v>'10-kururu-o-n-3': {megami: 'kururu', name: 'くるるーん', nameEn: 'Kururu~n', nameZh: '枢噜～噜', nameZhG153: '枢噜噜～', nameKo: '쿠루룽~', ruby: '', rubyEn: '', baseType: 'normal', type: 'action', subType: 'reaction', text: '【常時】このカードは対応でしか使用できない。\n以下から2つまでを選び、任意の順に行う。（同じものを2回選ぶことはできない）\n・カードを1枚引く。\n・伏せ札1枚を山札の底に置く。\n・相手は手札を1枚捨て札にする。', textZh: '【常时】 此牌只能作为对应使用。\n选择至多2项，以任意顺序结算（不能选择同一项2次）：\n●抓1张牌；\n●从盖牌区选择1张牌置于你的牌库底；\n●对手弃1张牌。', textZhG153: '【常时】 此牌只能作为《对应》使用。\n选择至多2项，以任意顺序结算（不能选择同一项2次）：\n1.抓一张牌；\n2.从盖牌区选择一张牌置于你的牌库底；\n3.对手弃一张牌。', textZhG153Additional: '【상시】이 카드는 대응으로만 사용한다.\n 이하에서 2개까지 고르고, 임의의 순서로 행한다. \n (같은 것을 2번 고를 수 없다.)\n ・카드를 1장 뽑는다.\n ・덮임패 1장을 패산 밑에 둔다.\n ・상대는 손패를 1장 버림패로 한다.', textKo: 'Forced: This card cannot be played except as a Reaction to an attack.\n\nChoose up to two, in any order: (You may not choose the same option more than once.)\n・Draw a card.\n・Put a card from your discard pile to the bottom of your deck.\n・Your opponent puts a card from their hand into their played pile.', textKoAdditional: 'Forced: This card cannot be played except as a Reaction to an attack.\n\nChoose up to two, in any order: (You may not choose the same option more than once.)\n・Draw a card.\n・Put a card from your discard pile to the bottom of your deck.\n・Your opponent puts a card from their hand into their played pile.', textEn: 'Forced: This card cannot be played except as a Reaction to an attack.\n\nChoose up to two, in any order: (You may not choose the same option more than once.)\n・Draw a card.\n・Put a card from your discard pile to the bottom of your deck.\n・Your opponent puts a card from their hand into their played pile.'},</x:v>
      </x:c>
      <x:c r="AU154" t="str">
        <x:f>IF($A154&lt;&gt;"", "    /** 《"&amp;$E154&amp;"》 */ export const "&amp;SUBSTITUTE(UPPER(IF(MID($A154, 3, 1)="-", RIGHT($A154,LEN($A154)-3), $A154)), "-", "_")&amp;": TCardId = '"&amp;$A154&amp;"';", "")</x:f>
        <x:v>    /** 《くるるーん》 */ export const KURURU_O_N_3: TCardId = '10-kururu-o-n-3';</x:v>
      </x:c>
      <x:c r="AV154" t="str">
        <x:f>IF($A155&lt;&gt;"", "    | '"&amp;$A155&amp;"'", "")</x:f>
        <x:v>    | '10-kururu-o-n-4'</x:v>
      </x:c>
    </x:row>
    <x:row r="155" ht="83" customHeight="1">
      <x:c r="A155" t="str">
        <x:v>10-kururu-o-n-4</x:v>
      </x:c>
      <x:c r="B155" t="str">
        <x:v>kururu</x:v>
      </x:c>
      <x:c r="C155"/>
      <x:c r="D155"/>
      <x:c r="E155" t="str">
        <x:v>とるねーど</x:v>
      </x:c>
      <x:c r="F155"/>
      <x:c r="G155" t="str">
        <x:v>龙卷装置</x:v>
      </x:c>
      <x:c r="H155" t="str">
        <x:v>大龙卷轰</x:v>
      </x:c>
      <x:c r="I155" t="str">
        <x:v>Tornado</x:v>
      </x:c>
      <x:c r="J155" t="str">
        <x:v>토네~이도</x:v>
      </x:c>
      <x:c r="K155" t="str">
        <x:v>Tornaydo</x:v>
      </x:c>
      <x:c r="L155"/>
      <x:c r="M155" t="str">
        <x:v>通常札</x:v>
      </x:c>
      <x:c r="N155"/>
      <x:c r="O155"/>
      <x:c r="P155"/>
      <x:c r="Q155"/>
      <x:c r="R155" t="str">
        <x:v>行動</x:v>
      </x:c>
      <x:c r="S155" t="str">
        <x:v>全力</x:v>
      </x:c>
      <x:c r="T155"/>
      <x:c r="U155"/>
      <x:c r="V155"/>
      <x:c r="W155"/>
      <x:c r="X155"/>
      <x:c r="Y155"/>
      <x:c r="Z155"/>
      <x:c r="AA155"/>
      <x:c r="AB155"/>
      <x:c r="AC155"/>
      <x:c r="AD155"/>
      <x:c r="AE155" s="438" t="str">
        <x:v>機巧（攻攻）: 相手のオーラに5ダメージを与える。
機巧（行行）: 相手のフレアに1ダメージを与える。
機巧（付付）: 相手のライフに1ダメージを与える。</x:v>
      </x:c>
      <x:c r="AF155" s="438"/>
      <x:c r="AG155" s="499" t="str">
        <x:v>----
&lt;攻攻&gt; 给予敌装5点伤害。
----
&lt;付付&gt; 给予敌命1点伤害。</x:v>
      </x:c>
      <x:c r="AH155" s="438"/>
      <x:c r="AI155" s="499" t="str">
        <x:v>----
机巧：红红 对敌装造成5点伤害。
----
机巧：绿绿 对敌命造成1点伤害。</x:v>
      </x:c>
      <x:c r="AJ155" s="438"/>
      <x:c r="AK155" s="499" t="str">
        <x:v>----
 &lt;공공&gt;상대의 오라에 5 대미지를 준다.
 ----
 &lt;부부&gt; 상대의 라이프에 1 대미지를 준다.</x:v>
      </x:c>
      <x:c r="AL155" s="438"/>
      <x:c r="AM155" s="499" t="str">
        <x:v>Mechanism (ATK ATK) - Deal 5 damage to your opponent's Aura.
----
Mechanism (ENH ENH) - Deal 1 damage to your opponent's Life.</x:v>
      </x:c>
      <x:c r="AN155" s="438"/>
      <x:c r="AO155" s="438"/>
      <x:c r="AP155" s="438"/>
      <x:c r="AQ155" s="438"/>
      <x:c r="AR155" s="438"/>
      <x:c r="AS155" s="438"/>
      <x:c r="AT155" t="str">
        <x:f>IF(A155="", "","'"&amp;A155&amp;"': {megami: '"&amp;B155&amp;"'"&amp;IF(C155&lt;&gt;"",", anotherID: '"&amp;C155&amp;"', replace: '"&amp;D155&amp;"'","")&amp;", name: '"&amp;SUBSTITUTE(E155,"'","\'")&amp;"', nameEn: '"&amp;SUBSTITUTE(K155,"'","\'")&amp;"', nameZh: '"&amp;SUBSTITUTE(G155,"'","\'")&amp;"', nameZhG154: '"&amp;SUBSTITUTE(H155,"'","\'")&amp;"', nameKo: '"&amp;SUBSTITUTE(J155,"'","\'")&amp;"', ruby: '"&amp;F155&amp;"', rubyEn: '"&amp;L155&amp;IF(I155&lt;&gt;"", "', rubyZh: '"&amp;I155, "")&amp;"', baseType: '"&amp;IF(M155="通常札","normal",IF(M155="切札","special",IF(M155="追加札","extra",IF(M155="transform","transform",IF(M155="嵐","storm",IF(M155="兵員","troop",IF(M155="構想","plan",IF(M155="メインパーツ","mainParts",IF(M155="カスタムパーツ","customParts",IF(M155="運命","fate",IF(M155="仮想樹","virtualTree","")))))))))))&amp;"'"&amp;IF(N155="○",", extra: true","")&amp;IF(O155&lt;&gt;"",", extraFrom: '"&amp;O155&amp;"'","")&amp;IF(P155&lt;&gt;"",", exchangableTo: '"&amp;P155&amp;"'","")&amp;IF(Q155="○",", poison: true","")&amp;IF(R155&lt;&gt;"", ", type: '"&amp;IF(R155="攻撃","attack",IF(R155="行動","action",IF(R155="不定","variable",IF(R155="対応","reaction",IF(R155="全力","fullpower",IF(R155="付与","enhance",IF(R155="transform","transform","")))))))&amp;"'", "")&amp;IF(S155&lt;&gt;"",", subType: '"&amp;IF(S155="攻撃","attack",IF(S155="行動","action",IF(S155="不定","variable",IF(S155="対応","reaction",IF(S155="全力","fullpower",IF(S155="付与","enhance",IF(S155="transform","transform","")))))))&amp;"'","")&amp;""&amp;IF(T155&lt;&gt;"",", range: '"&amp;T155&amp;"'","")&amp;IF(V155&lt;&gt;"",", damage: '"&amp;V155&amp;"'","")&amp;IF(X155&lt;&gt;"",", capacity: '"&amp;X155&amp;"'","")&amp;IF(Y155&lt;&gt;"",", growth: "&amp;Y155&amp;"","")&amp;IF(Z155&lt;&gt;"",", cost: '"&amp;Z155&amp;"'","")&amp;", text: '"&amp;SUBSTITUTE(SUBSTITUTE(AE155, CHAR(13), ""),CHAR(10),"\n")&amp;IF(AF155&lt;&gt;"", "', textAdditional: '"&amp;SUBSTITUTE(SUBSTITUTE(AF155, CHAR(13), ""),CHAR(10),"\n"), "")&amp;"', textZh: '"&amp;SUBSTITUTE(SUBSTITUTE(SUBSTITUTE(AG155, CHAR(13), ""),CHAR(10),"\n"),"'","\'")&amp;"', textZhG154: '"&amp;SUBSTITUTE(SUBSTITUTE(SUBSTITUTE(AI155, CHAR(13), ""),CHAR(10),"\n"),"'","\'")&amp;IF(AH155&lt;&gt;"", "', textZhAdditional: '"&amp;SUBSTITUTE(SUBSTITUTE(AH155, CHAR(13), ""),CHAR(10),"\n"), "")&amp;IF(AK155&lt;&gt;"", "', textZhG154Additional: '"&amp;SUBSTITUTE(SUBSTITUTE(AK155, CHAR(13), ""),CHAR(10),"\n"), "")&amp;"', textKo: '"&amp;SUBSTITUTE(SUBSTITUTE(SUBSTITUTE(AM155, CHAR(13), ""),CHAR(10),"\n"),"'","\'")&amp;IF(AM155&lt;&gt;"", "', textKoAdditional: '"&amp;SUBSTITUTE(SUBSTITUTE(AM155, CHAR(13), ""),CHAR(10),"\n"), "")&amp;"', textEn: '"&amp;SUBSTITUTE(SUBSTITUTE(SUBSTITUTE(AM155, CHAR(13), ""),CHAR(10),"\n"),"'","\'")&amp;IF(AN155&lt;&gt;"", "', textEnAdditional: '"&amp;SUBSTITUTE(SUBSTITUTE(AN155, CHAR(13), ""),CHAR(10),"\n"), "")&amp;"'"&amp;IF(AB155="○",", sealable: true","")&amp;IF(AC155="○",", removable: true","")&amp;IF(AA155="○",", lie: true","")&amp;IF(AD155="○",", investable: true","")&amp;"},")</x:f>
        <x:v>'10-kururu-o-n-4': {megami: 'kururu', name: 'とるねーど', nameEn: 'Tornaydo', nameZh: '龙卷装置', nameZhG154: '大龙卷轰', nameKo: '토네~이도', ruby: '', rubyEn: '', rubyZh: 'Tornado', baseType: 'normal', type: 'action', subType: 'fullpower', text: '機巧（攻攻）: 相手のオーラに5ダメージを与える。\n機巧（行行）: 相手のフレアに1ダメージを与える。\n機巧（付付）: 相手のライフに1ダメージを与える。', textZh: '----\n&lt;攻攻&gt; 给予敌装5点伤害。\n----\n&lt;付付&gt; 给予敌命1点伤害。', textZhG154: '----\n机巧：红红 对敌装造成5点伤害。\n----\n机巧：绿绿 对敌命造成1点伤害。', textZhG154Additional: '----\n &lt;공공&gt;상대의 오라에 5 대미지를 준다.\n ----\n &lt;부부&gt; 상대의 라이프에 1 대미지를 준다.', textKo: 'Mechanism (ATK ATK) - Deal 5 damage to your opponent\'s Aura.\n----\nMechanism (ENH ENH) - Deal 1 damage to your opponent\'s Life.', textKoAdditional: 'Mechanism (ATK ATK) - Deal 5 damage to your opponent's Aura.\n----\nMechanism (ENH ENH) - Deal 1 damage to your opponent's Life.', textEn: 'Mechanism (ATK ATK) - Deal 5 damage to your opponent\'s Aura.\n----\nMechanism (ENH ENH) - Deal 1 damage to your opponent\'s Life.'},</x:v>
      </x:c>
      <x:c r="AU155" t="str">
        <x:f>IF($A155&lt;&gt;"", "    /** 《"&amp;$E155&amp;"》 */ export const "&amp;SUBSTITUTE(UPPER(IF(MID($A155, 3, 1)="-", RIGHT($A155,LEN($A155)-3), $A155)), "-", "_")&amp;": TCardId = '"&amp;$A155&amp;"';", "")</x:f>
        <x:v>    /** 《とるねーど》 */ export const KURURU_O_N_4: TCardId = '10-kururu-o-n-4';</x:v>
      </x:c>
      <x:c r="AV155" t="str">
        <x:f>IF($A156&lt;&gt;"", "    | '"&amp;$A156&amp;"'", "")</x:f>
        <x:v>    | '10-kururu-o-n-5'</x:v>
      </x:c>
    </x:row>
    <x:row r="156" ht="180" customHeight="1">
      <x:c r="A156" t="str">
        <x:v>10-kururu-o-n-5</x:v>
      </x:c>
      <x:c r="B156" t="str">
        <x:v>kururu</x:v>
      </x:c>
      <x:c r="C156"/>
      <x:c r="D156"/>
      <x:c r="E156" t="str">
        <x:v>りげいなー</x:v>
      </x:c>
      <x:c r="F156"/>
      <x:c r="G156" t="str">
        <x:v>重振装置</x:v>
      </x:c>
      <x:c r="H156" t="str">
        <x:v>回嗖利用</x:v>
      </x:c>
      <x:c r="I156" t="str">
        <x:v>Regainer</x:v>
      </x:c>
      <x:c r="J156" t="str">
        <x:v>리게이너</x:v>
      </x:c>
      <x:c r="K156" t="str">
        <x:v>Regainah</x:v>
      </x:c>
      <x:c r="L156"/>
      <x:c r="M156" t="str">
        <x:v>通常札</x:v>
      </x:c>
      <x:c r="N156"/>
      <x:c r="O156"/>
      <x:c r="P156"/>
      <x:c r="Q156"/>
      <x:c r="R156" t="str">
        <x:v>行動</x:v>
      </x:c>
      <x:c r="S156" t="str">
        <x:v>全力</x:v>
      </x:c>
      <x:c r="T156"/>
      <x:c r="U156"/>
      <x:c r="V156"/>
      <x:c r="W156"/>
      <x:c r="X156"/>
      <x:c r="Y156"/>
      <x:c r="Z156"/>
      <x:c r="AA156"/>
      <x:c r="AB156"/>
      <x:c r="AC156"/>
      <x:c r="AD156"/>
      <x:c r="AE156" s="438" t="str">
        <x:v>機巧（付対）:捨て札、伏せ札、切札のいずれかから未使用でも《全力》でもない他のメガミのカードを1枚選んでもよい。そのカードをコストを支払わずに使用する。その際、適正距離の全ての値、どちらかのダメージ、納のいずれかを1増減させてもよい。
機巧（付対）:捨て札、伏せ札、切札のいずれかから未使用でも《全力》でもない他のメガミのカードを1枚まで選び、コストを支払わずにそれを使用してもよい。その際、適正距離の全ての値、どちらかのダメージ、納のいずれかを1増減させてもよい。
【常時】このカードは伏せ札から手札にあるかのように通常の方法で使用できる。</x:v>
      </x:c>
      <x:c r="AF156" s="438"/>
      <x:c r="AG156" s="499" t="str">
        <x:v>---- 
&lt;付对&gt; 可以从弃牌、盖牌、王牌之中选1张既非未使用的也非《全力》的其他女神的牌，使用之且不需支付其费用。这个时候，可以从所有攻击距离的值、对装或者对命的伤害量、纳的数额里选一个增减1。 
---- 
【常时】此牌作为盖牌时可以视为如同手牌一样被正常使用。</x:v>
      </x:c>
      <x:c r="AH156" s="438"/>
      <x:c r="AI156" s="499" t="str">
        <x:v>---- 
&lt;付对&gt; 妳可以从弃牌、盖牌或已使用的王牌中选择并使用1张其他女神的非《全力》牌，而无需支付其费用。此时妳可以从该牌的攻击距离中含有的所有值、对装伤害、对命伤害或纳中选择一项，所选择的所有值增大或减小1。AF4
---- 
【常时】妳可以从盖牌区由主要阶段的规则效果使用此牌。</x:v>
      </x:c>
      <x:c r="AJ156" s="438"/>
      <x:c r="AK156" s="499" t="str">
        <x:v>----
 &lt;부대&gt; 버림패, 덮은패, 비장패 중에서 미사용 상태도 《전력》도 아닌 다른 여신의 카드를 1장 선택할 수 있다.
당신은 그 카드를 비용을 지불하지 않고 사용한다. 이 때, 모든 적정거리 수치 / 오라 대미지 / 라이프 대미지 / 봉납치 중 하나를 선택하여 그 수치를 1만큼 증가하거나 감소시킬 수 있다.
 ----
【상시】이 카드는 덮임패에 있어도 당신의 손패에 있는 것처럼 통상 방법으로 사용할 수 있다.</x:v>
      </x:c>
      <x:c r="AL156" s="438"/>
      <x:c r="AM156" s="499" t="str">
        <x:v>Mechanism (ENH REA) - You may choose 1 non-Throughout, non-Kururu card from among your discard pile, played pile, and Devoted Special cards. Play it, ignoring costs. If you play a card this way, you may choose one of the following and increase or decrease it by 1: each of its Range values; either of its Damage values; or its Charge.
----------
Forced: You may play this card from discard pile as if it were in your hand if you are doing so by standard timing rules.</x:v>
      </x:c>
      <x:c r="AN156" s="438"/>
      <x:c r="AO156" s="438"/>
      <x:c r="AP156" s="438"/>
      <x:c r="AQ156" s="499" t="str">
        <x:v>    | '10-kururu-o-n-5'</x:v>
      </x:c>
      <x:c r="AR156" s="438"/>
      <x:c r="AS156" s="438"/>
      <x:c r="AT156" t="str">
        <x:f>IF(A156="", "","'"&amp;A156&amp;"': {megami: '"&amp;B156&amp;"'"&amp;IF(C156&lt;&gt;"",", anotherID: '"&amp;C156&amp;"', replace: '"&amp;D156&amp;"'","")&amp;", name: '"&amp;SUBSTITUTE(E156,"'","\'")&amp;"', nameEn: '"&amp;SUBSTITUTE(K156,"'","\'")&amp;"', nameZh: '"&amp;SUBSTITUTE(G156,"'","\'")&amp;"', nameZhG155: '"&amp;SUBSTITUTE(H156,"'","\'")&amp;"', nameKo: '"&amp;SUBSTITUTE(J156,"'","\'")&amp;"', ruby: '"&amp;F156&amp;"', rubyEn: '"&amp;L156&amp;IF(I156&lt;&gt;"", "', rubyZh: '"&amp;I156, "")&amp;"', baseType: '"&amp;IF(M156="通常札","normal",IF(M156="切札","special",IF(M156="追加札","extra",IF(M156="transform","transform",IF(M156="嵐","storm",IF(M156="兵員","troop",IF(M156="構想","plan",IF(M156="メインパーツ","mainParts",IF(M156="カスタムパーツ","customParts",IF(M156="運命","fate",IF(M156="仮想樹","virtualTree","")))))))))))&amp;"'"&amp;IF(N156="○",", extra: true","")&amp;IF(O156&lt;&gt;"",", extraFrom: '"&amp;O156&amp;"'","")&amp;IF(P156&lt;&gt;"",", exchangableTo: '"&amp;P156&amp;"'","")&amp;IF(Q156="○",", poison: true","")&amp;IF(R156&lt;&gt;"", ", type: '"&amp;IF(R156="攻撃","attack",IF(R156="行動","action",IF(R156="不定","variable",IF(R156="対応","reaction",IF(R156="全力","fullpower",IF(R156="付与","enhance",IF(R156="transform","transform","")))))))&amp;"'", "")&amp;IF(S156&lt;&gt;"",", subType: '"&amp;IF(S156="攻撃","attack",IF(S156="行動","action",IF(S156="不定","variable",IF(S156="対応","reaction",IF(S156="全力","fullpower",IF(S156="付与","enhance",IF(S156="transform","transform","")))))))&amp;"'","")&amp;""&amp;IF(T156&lt;&gt;"",", range: '"&amp;T156&amp;"'","")&amp;IF(V156&lt;&gt;"",", damage: '"&amp;V156&amp;"'","")&amp;IF(X156&lt;&gt;"",", capacity: '"&amp;X156&amp;"'","")&amp;IF(Y156&lt;&gt;"",", growth: "&amp;Y156&amp;"","")&amp;IF(Z156&lt;&gt;"",", cost: '"&amp;Z156&amp;"'","")&amp;", text: '"&amp;SUBSTITUTE(SUBSTITUTE(AE156, CHAR(13), ""),CHAR(10),"\n")&amp;IF(AF156&lt;&gt;"", "', textAdditional: '"&amp;SUBSTITUTE(SUBSTITUTE(AF156, CHAR(13), ""),CHAR(10),"\n"), "")&amp;"', textZh: '"&amp;SUBSTITUTE(SUBSTITUTE(SUBSTITUTE(AG156, CHAR(13), ""),CHAR(10),"\n"),"'","\'")&amp;"', textZhG155: '"&amp;SUBSTITUTE(SUBSTITUTE(SUBSTITUTE(AI156, CHAR(13), ""),CHAR(10),"\n"),"'","\'")&amp;IF(AH156&lt;&gt;"", "', textZhAdditional: '"&amp;SUBSTITUTE(SUBSTITUTE(AH156, CHAR(13), ""),CHAR(10),"\n"), "")&amp;IF(AK156&lt;&gt;"", "', textZhG155Additional: '"&amp;SUBSTITUTE(SUBSTITUTE(AK156, CHAR(13), ""),CHAR(10),"\n"), "")&amp;"', textKo: '"&amp;SUBSTITUTE(SUBSTITUTE(SUBSTITUTE(AM156, CHAR(13), ""),CHAR(10),"\n"),"'","\'")&amp;IF(AM156&lt;&gt;"", "', textKoAdditional: '"&amp;SUBSTITUTE(SUBSTITUTE(AM156, CHAR(13), ""),CHAR(10),"\n"), "")&amp;"', textEn: '"&amp;SUBSTITUTE(SUBSTITUTE(SUBSTITUTE(AM156, CHAR(13), ""),CHAR(10),"\n"),"'","\'")&amp;IF(AN156&lt;&gt;"", "', textEnAdditional: '"&amp;SUBSTITUTE(SUBSTITUTE(AN156, CHAR(13), ""),CHAR(10),"\n"), "")&amp;"'"&amp;IF(AB156="○",", sealable: true","")&amp;IF(AC156="○",", removable: true","")&amp;IF(AA156="○",", lie: true","")&amp;IF(AD156="○",", investable: true","")&amp;"},")</x:f>
        <x:v>'10-kururu-o-n-5': {megami: 'kururu', name: 'りげいなー', nameEn: 'Regainah', nameZh: '重振装置', nameZhG155: '回嗖利用', nameKo: '리게이너', ruby: '', rubyEn: '', rubyZh: 'Regainer', baseType: 'normal', type: 'action', subType: 'fullpower', text: '機巧（付対）:捨て札、伏せ札、切札のいずれかから未使用でも《全力》でもない他のメガミのカードを1枚選んでもよい。そのカードをコストを支払わずに使用する。その際、適正距離の全ての値、どちらかのダメージ、納のいずれかを1増減させてもよい。\n機巧（付対）:捨て札、伏せ札、切札のいずれかから未使用でも《全力》でもない他のメガミのカードを1枚まで選び、コストを支払わずにそれを使用してもよい。その際、適正距離の全ての値、どちらかのダメージ、納のいずれかを1増減させてもよい。\n\n【常時】このカードは伏せ札から手札にあるかのように通常の方法で使用できる。', textZh: '---- \n&lt;付对&gt; 可以从弃牌、盖牌、王牌之中选1张既非未使用的也非《全力》的其他女神的牌，使用之且不需支付其费用。这个时候，可以从所有攻击距离的值、对装或者对命的伤害量、纳的数额里选一个增减1。 \n---- \n【常时】此牌作为盖牌时可以视为如同手牌一样被正常使用。', textZhG155: '---- \n&lt;付对&gt; 妳可以从弃牌、盖牌或已使用的王牌中选择并使用1张其他女神的非《全力》牌，而无需支付其费用。此时妳可以从该牌的攻击距离中含有的所有值、对装伤害、对命伤害或纳中选择一项，所选择的所有值增大或减小1。AF4\n---- \n【常时】妳可以从盖牌区由主要阶段的规则效果使用此牌。', textZhG155Additional: '----\n &lt;부대&gt; 버림패, 덮은패, 비장패 중에서 미사용 상태도 《전력》도 아닌 다른 여신의 카드를 1장 선택할 수 있다.\n당신은 그 카드를 비용을 지불하지 않고 사용한다. 이 때, 모든 적정거리 수치 / 오라 대미지 / 라이프 대미지 / 봉납치 중 하나를 선택하여 그 수치를 1만큼 증가하거나 감소시킬 수 있다.\n ----\n【상시】이 카드는 덮임패에 있어도 당신의 손패에 있는 것처럼 통상 방법으로 사용할 수 있다.', textKo: 'Mechanism (ENH REA) - You may choose 1 non-Throughout, non-Kururu card from among your discard pile, played pile, and Devoted Special cards. Play it, ignoring costs. If you play a card this way, you may choose one of the following and increase or decrease it by 1: each of its Range values; either of its Damage values; or its Charge.\n\n----------\n\nForced: You may play this card from discard pile as if it were in your hand if you are doing so by standard timing rules.', textKoAdditional: 'Mechanism (ENH REA) - You may choose 1 non-Throughout, non-Kururu card from among your discard pile, played pile, and Devoted Special cards. Play it, ignoring costs. If you play a card this way, you may choose one of the following and increase or decrease it by 1: each of its Range values; either of its Damage values; or its Charge.\n\n----------\n\nForced: You may play this card from discard pile as if it were in your hand if you are doing so by standard timing rules.', textEn: 'Mechanism (ENH REA) - You may choose 1 non-Throughout, non-Kururu card from among your discard pile, played pile, and Devoted Special cards. Play it, ignoring costs. If you play a card this way, you may choose one of the following and increase or decrease it by 1: each of its Range values; either of its Damage values; or its Charge.\n\n----------\n\nForced: You may play this card from discard pile as if it were in your hand if you are doing so by standard timing rules.'},</x:v>
      </x:c>
      <x:c r="AU156" t="str">
        <x:f>IF($A156&lt;&gt;"", "    /** 《"&amp;$E156&amp;"》 */ export const "&amp;SUBSTITUTE(UPPER(IF(MID($A156, 3, 1)="-", RIGHT($A156,LEN($A156)-3), $A156)), "-", "_")&amp;": TCardId = '"&amp;$A156&amp;"';", "")</x:f>
        <x:v>    /** 《りげいなー》 */ export const KURURU_O_N_5: TCardId = '10-kururu-o-n-5';</x:v>
      </x:c>
      <x:c r="AV156" t="str">
        <x:f>IF($A157&lt;&gt;"", "    | '"&amp;$A157&amp;"'", "")</x:f>
        <x:v>    | '10-kururu-o-n-6'</x:v>
      </x:c>
    </x:row>
    <x:row r="157" ht="38" customHeight="1">
      <x:c r="A157" t="str">
        <x:v>10-kururu-o-n-6</x:v>
      </x:c>
      <x:c r="B157" t="str">
        <x:v>kururu</x:v>
      </x:c>
      <x:c r="C157"/>
      <x:c r="D157"/>
      <x:c r="E157" t="str">
        <x:v>もじゅるー</x:v>
      </x:c>
      <x:c r="F157"/>
      <x:c r="G157" t="str">
        <x:v>模块化</x:v>
      </x:c>
      <x:c r="H157" t="str">
        <x:v>模块化</x:v>
      </x:c>
      <x:c r="I157" t="str">
        <x:v>Module</x:v>
      </x:c>
      <x:c r="J157" t="str">
        <x:v>모듀르~</x:v>
      </x:c>
      <x:c r="K157" t="str">
        <x:v>Mozule</x:v>
      </x:c>
      <x:c r="L157"/>
      <x:c r="M157" t="str">
        <x:v>通常札</x:v>
      </x:c>
      <x:c r="N157"/>
      <x:c r="O157"/>
      <x:c r="P157"/>
      <x:c r="Q157"/>
      <x:c r="R157" t="str">
        <x:v>付与</x:v>
      </x:c>
      <x:c r="S157"/>
      <x:c r="T157"/>
      <x:c r="U157"/>
      <x:c r="V157"/>
      <x:c r="W157"/>
      <x:c r="X157" t="n">
        <x:v>3</x:v>
      </x:c>
      <x:c r="Y157"/>
      <x:c r="Z157"/>
      <x:c r="AA157"/>
      <x:c r="AB157"/>
      <x:c r="AC157"/>
      <x:c r="AD157"/>
      <x:c r="AE157" s="438" t="str">
        <x:v>【展開中】あなたが《行動》カードを使用した時、その解決後に基本動作を1回行ってもよい。</x:v>
      </x:c>
      <x:c r="AF157" s="438"/>
      <x:c r="AG157" s="499" t="str">
        <x:v>【展开中】每当你使用的《行动》牌结算完毕时，你可以执行一次基本动作。</x:v>
      </x:c>
      <x:c r="AH157" s="438"/>
      <x:c r="AI157" s="499" t="str">
        <x:v>【展开中】每当你使用的《行动》牌结算完毕时，你可以执行一次基本动作。</x:v>
      </x:c>
      <x:c r="AJ157" s="438"/>
      <x:c r="AK157" s="499" t="str">
        <x:v>【전개중】당신이 《행동》카드를 사용했을 때, 그 해결 후에 기본 동작을 1회 행해도 좋다.</x:v>
      </x:c>
      <x:c r="AL157" s="438"/>
      <x:c r="AM157" s="499" t="str">
        <x:v>Ongoing: Whenever you play an Action card, you may perform a basic action after it resolves.</x:v>
      </x:c>
      <x:c r="AN157" s="438"/>
      <x:c r="AO157" s="438"/>
      <x:c r="AP157" s="438"/>
      <x:c r="AQ157" s="438"/>
      <x:c r="AR157" s="438"/>
      <x:c r="AS157" s="438"/>
      <x:c r="AT157" t="str">
        <x:f>IF(A157="", "","'"&amp;A157&amp;"': {megami: '"&amp;B157&amp;"'"&amp;IF(C157&lt;&gt;"",", anotherID: '"&amp;C157&amp;"', replace: '"&amp;D157&amp;"'","")&amp;", name: '"&amp;SUBSTITUTE(E157,"'","\'")&amp;"', nameEn: '"&amp;SUBSTITUTE(K157,"'","\'")&amp;"', nameZh: '"&amp;SUBSTITUTE(G157,"'","\'")&amp;"', nameZhG156: '"&amp;SUBSTITUTE(H157,"'","\'")&amp;"', nameKo: '"&amp;SUBSTITUTE(J157,"'","\'")&amp;"', ruby: '"&amp;F157&amp;"', rubyEn: '"&amp;L157&amp;IF(I157&lt;&gt;"", "', rubyZh: '"&amp;I157, "")&amp;"', baseType: '"&amp;IF(M157="通常札","normal",IF(M157="切札","special",IF(M157="追加札","extra",IF(M157="transform","transform",IF(M157="嵐","storm",IF(M157="兵員","troop",IF(M157="構想","plan",IF(M157="メインパーツ","mainParts",IF(M157="カスタムパーツ","customParts",IF(M157="運命","fate",IF(M157="仮想樹","virtualTree","")))))))))))&amp;"'"&amp;IF(N157="○",", extra: true","")&amp;IF(O157&lt;&gt;"",", extraFrom: '"&amp;O157&amp;"'","")&amp;IF(P157&lt;&gt;"",", exchangableTo: '"&amp;P157&amp;"'","")&amp;IF(Q157="○",", poison: true","")&amp;IF(R157&lt;&gt;"", ", type: '"&amp;IF(R157="攻撃","attack",IF(R157="行動","action",IF(R157="不定","variable",IF(R157="対応","reaction",IF(R157="全力","fullpower",IF(R157="付与","enhance",IF(R157="transform","transform","")))))))&amp;"'", "")&amp;IF(S157&lt;&gt;"",", subType: '"&amp;IF(S157="攻撃","attack",IF(S157="行動","action",IF(S157="不定","variable",IF(S157="対応","reaction",IF(S157="全力","fullpower",IF(S157="付与","enhance",IF(S157="transform","transform","")))))))&amp;"'","")&amp;""&amp;IF(T157&lt;&gt;"",", range: '"&amp;T157&amp;"'","")&amp;IF(V157&lt;&gt;"",", damage: '"&amp;V157&amp;"'","")&amp;IF(X157&lt;&gt;"",", capacity: '"&amp;X157&amp;"'","")&amp;IF(Y157&lt;&gt;"",", growth: "&amp;Y157&amp;"","")&amp;IF(Z157&lt;&gt;"",", cost: '"&amp;Z157&amp;"'","")&amp;", text: '"&amp;SUBSTITUTE(SUBSTITUTE(AE157, CHAR(13), ""),CHAR(10),"\n")&amp;IF(AF157&lt;&gt;"", "', textAdditional: '"&amp;SUBSTITUTE(SUBSTITUTE(AF157, CHAR(13), ""),CHAR(10),"\n"), "")&amp;"', textZh: '"&amp;SUBSTITUTE(SUBSTITUTE(SUBSTITUTE(AG157, CHAR(13), ""),CHAR(10),"\n"),"'","\'")&amp;"', textZhG156: '"&amp;SUBSTITUTE(SUBSTITUTE(SUBSTITUTE(AI157, CHAR(13), ""),CHAR(10),"\n"),"'","\'")&amp;IF(AH157&lt;&gt;"", "', textZhAdditional: '"&amp;SUBSTITUTE(SUBSTITUTE(AH157, CHAR(13), ""),CHAR(10),"\n"), "")&amp;IF(AK157&lt;&gt;"", "', textZhG156Additional: '"&amp;SUBSTITUTE(SUBSTITUTE(AK157, CHAR(13), ""),CHAR(10),"\n"), "")&amp;"', textKo: '"&amp;SUBSTITUTE(SUBSTITUTE(SUBSTITUTE(AM157, CHAR(13), ""),CHAR(10),"\n"),"'","\'")&amp;IF(AM157&lt;&gt;"", "', textKoAdditional: '"&amp;SUBSTITUTE(SUBSTITUTE(AM157, CHAR(13), ""),CHAR(10),"\n"), "")&amp;"', textEn: '"&amp;SUBSTITUTE(SUBSTITUTE(SUBSTITUTE(AM157, CHAR(13), ""),CHAR(10),"\n"),"'","\'")&amp;IF(AN157&lt;&gt;"", "', textEnAdditional: '"&amp;SUBSTITUTE(SUBSTITUTE(AN157, CHAR(13), ""),CHAR(10),"\n"), "")&amp;"'"&amp;IF(AB157="○",", sealable: true","")&amp;IF(AC157="○",", removable: true","")&amp;IF(AA157="○",", lie: true","")&amp;IF(AD157="○",", investable: true","")&amp;"},")</x:f>
        <x:v>'10-kururu-o-n-6': {megami: 'kururu', name: 'もじゅるー', nameEn: 'Mozule', nameZh: '模块化', nameZhG156: '模块化', nameKo: '모듀르~', ruby: '', rubyEn: '', rubyZh: 'Module', baseType: 'normal', type: 'enhance', capacity: '3', text: '【展開中】あなたが《行動》カードを使用した時、その解決後に基本動作を1回行ってもよい。', textZh: '【展开中】每当你使用的《行动》牌结算完毕时，你可以执行一次基本动作。', textZhG156: '【展开中】每当你使用的《行动》牌结算完毕时，你可以执行一次基本动作。', textZhG156Additional: '【전개중】당신이 《행동》카드를 사용했을 때, 그 해결 후에 기본 동작을 1회 행해도 좋다.', textKo: 'Ongoing: Whenever you play an Action card, you may perform a basic action after it resolves.', textKoAdditional: 'Ongoing: Whenever you play an Action card, you may perform a basic action after it resolves.', textEn: 'Ongoing: Whenever you play an Action card, you may perform a basic action after it resolves.'},</x:v>
      </x:c>
      <x:c r="AU157" t="str">
        <x:f>IF($A157&lt;&gt;"", "    /** 《"&amp;$E157&amp;"》 */ export const "&amp;SUBSTITUTE(UPPER(IF(MID($A157, 3, 1)="-", RIGHT($A157,LEN($A157)-3), $A157)), "-", "_")&amp;": TCardId = '"&amp;$A157&amp;"';", "")</x:f>
        <x:v>    /** 《もじゅるー》 */ export const KURURU_O_N_6: TCardId = '10-kururu-o-n-6';</x:v>
      </x:c>
      <x:c r="AV157" t="str">
        <x:f>IF($A158&lt;&gt;"", "    | '"&amp;$A158&amp;"'", "")</x:f>
        <x:v>    | '10-kururu-o-n-7'</x:v>
      </x:c>
    </x:row>
    <x:row r="158" ht="83" customHeight="1">
      <x:c r="A158" t="str">
        <x:v>10-kururu-o-n-7</x:v>
      </x:c>
      <x:c r="B158" t="str">
        <x:v>kururu</x:v>
      </x:c>
      <x:c r="C158"/>
      <x:c r="D158"/>
      <x:c r="E158" t="str">
        <x:v>りふれくた</x:v>
      </x:c>
      <x:c r="F158"/>
      <x:c r="G158" t="str">
        <x:v>反射器</x:v>
      </x:c>
      <x:c r="H158" t="str">
        <x:v>反射</x:v>
      </x:c>
      <x:c r="I158" t="str">
        <x:v>Reflector</x:v>
      </x:c>
      <x:c r="J158" t="str">
        <x:v>리플렉터</x:v>
      </x:c>
      <x:c r="K158" t="str">
        <x:v>Reflecta</x:v>
      </x:c>
      <x:c r="L158"/>
      <x:c r="M158" t="str">
        <x:v>通常札</x:v>
      </x:c>
      <x:c r="N158"/>
      <x:c r="O158"/>
      <x:c r="P158"/>
      <x:c r="Q158"/>
      <x:c r="R158" t="str">
        <x:v>付与</x:v>
      </x:c>
      <x:c r="S158"/>
      <x:c r="T158"/>
      <x:c r="U158"/>
      <x:c r="V158"/>
      <x:c r="W158"/>
      <x:c r="X158" t="n">
        <x:v>0</x:v>
      </x:c>
      <x:c r="Y158"/>
      <x:c r="Z158"/>
      <x:c r="AA158"/>
      <x:c r="AB158"/>
      <x:c r="AC158"/>
      <x:c r="AD158"/>
      <x:c r="AE158" s="438" t="str">
        <x:v>機巧（攻対）:【展開時】このカードの上に桜花結晶を4個ダストから置く。
【展開中】各ターンにおける相手の2回目の《攻撃》は打ち消される。</x:v>
      </x:c>
      <x:c r="AF158" s="438"/>
      <x:c r="AG158" s="499" t="str">
        <x:v>----
&lt;攻对&gt; 【展开时】将虚中的4个樱花结晶移至此牌上。
----
【展开中】打消每回合对手的第二次《攻击》。</x:v>
      </x:c>
      <x:c r="AH158" s="438"/>
      <x:c r="AI158" s="499" t="str">
        <x:v>----
机巧：红紫 将虚中的4个樱花结晶移至此牌上。
----
【展开中】 打消每回合对手的第二次《攻击》。</x:v>
      </x:c>
      <x:c r="AJ158" s="438"/>
      <x:c r="AK158" s="499" t="str">
        <x:v>----
 &lt;공대&gt; 【전개시】이 카드 위에 벚꽃 결정을 4개 더스트로부터 올린다.
 ----
 【전개중】매 턴 상대의 2번째 《공격》은 무효화된다.</x:v>
      </x:c>
      <x:c r="AL158" s="438"/>
      <x:c r="AM158" s="499" t="str">
        <x:v>Mechanism (ATK REA) - Initialize: Move 4 Sakura tokens from Shadow to this card.
----
Ongoing: Your opponent's second attack each turn is automatically cancelled.</x:v>
      </x:c>
      <x:c r="AN158" s="438"/>
      <x:c r="AO158" s="438"/>
      <x:c r="AP158" s="438"/>
      <x:c r="AQ158" s="438"/>
      <x:c r="AR158" s="438"/>
      <x:c r="AS158" s="438"/>
      <x:c r="AT158" t="str">
        <x:f>IF(A158="", "","'"&amp;A158&amp;"': {megami: '"&amp;B158&amp;"'"&amp;IF(C158&lt;&gt;"",", anotherID: '"&amp;C158&amp;"', replace: '"&amp;D158&amp;"'","")&amp;", name: '"&amp;SUBSTITUTE(E158,"'","\'")&amp;"', nameEn: '"&amp;SUBSTITUTE(K158,"'","\'")&amp;"', nameZh: '"&amp;SUBSTITUTE(G158,"'","\'")&amp;"', nameZhG157: '"&amp;SUBSTITUTE(H158,"'","\'")&amp;"', nameKo: '"&amp;SUBSTITUTE(J158,"'","\'")&amp;"', ruby: '"&amp;F158&amp;"', rubyEn: '"&amp;L158&amp;IF(I158&lt;&gt;"", "', rubyZh: '"&amp;I158, "")&amp;"', baseType: '"&amp;IF(M158="通常札","normal",IF(M158="切札","special",IF(M158="追加札","extra",IF(M158="transform","transform",IF(M158="嵐","storm",IF(M158="兵員","troop",IF(M158="構想","plan",IF(M158="メインパーツ","mainParts",IF(M158="カスタムパーツ","customParts",IF(M158="運命","fate",IF(M158="仮想樹","virtualTree","")))))))))))&amp;"'"&amp;IF(N158="○",", extra: true","")&amp;IF(O158&lt;&gt;"",", extraFrom: '"&amp;O158&amp;"'","")&amp;IF(P158&lt;&gt;"",", exchangableTo: '"&amp;P158&amp;"'","")&amp;IF(Q158="○",", poison: true","")&amp;IF(R158&lt;&gt;"", ", type: '"&amp;IF(R158="攻撃","attack",IF(R158="行動","action",IF(R158="不定","variable",IF(R158="対応","reaction",IF(R158="全力","fullpower",IF(R158="付与","enhance",IF(R158="transform","transform","")))))))&amp;"'", "")&amp;IF(S158&lt;&gt;"",", subType: '"&amp;IF(S158="攻撃","attack",IF(S158="行動","action",IF(S158="不定","variable",IF(S158="対応","reaction",IF(S158="全力","fullpower",IF(S158="付与","enhance",IF(S158="transform","transform","")))))))&amp;"'","")&amp;""&amp;IF(T158&lt;&gt;"",", range: '"&amp;T158&amp;"'","")&amp;IF(V158&lt;&gt;"",", damage: '"&amp;V158&amp;"'","")&amp;IF(X158&lt;&gt;"",", capacity: '"&amp;X158&amp;"'","")&amp;IF(Y158&lt;&gt;"",", growth: "&amp;Y158&amp;"","")&amp;IF(Z158&lt;&gt;"",", cost: '"&amp;Z158&amp;"'","")&amp;", text: '"&amp;SUBSTITUTE(SUBSTITUTE(AE158, CHAR(13), ""),CHAR(10),"\n")&amp;IF(AF158&lt;&gt;"", "', textAdditional: '"&amp;SUBSTITUTE(SUBSTITUTE(AF158, CHAR(13), ""),CHAR(10),"\n"), "")&amp;"', textZh: '"&amp;SUBSTITUTE(SUBSTITUTE(SUBSTITUTE(AG158, CHAR(13), ""),CHAR(10),"\n"),"'","\'")&amp;"', textZhG157: '"&amp;SUBSTITUTE(SUBSTITUTE(SUBSTITUTE(AI158, CHAR(13), ""),CHAR(10),"\n"),"'","\'")&amp;IF(AH158&lt;&gt;"", "', textZhAdditional: '"&amp;SUBSTITUTE(SUBSTITUTE(AH158, CHAR(13), ""),CHAR(10),"\n"), "")&amp;IF(AK158&lt;&gt;"", "', textZhG157Additional: '"&amp;SUBSTITUTE(SUBSTITUTE(AK158, CHAR(13), ""),CHAR(10),"\n"), "")&amp;"', textKo: '"&amp;SUBSTITUTE(SUBSTITUTE(SUBSTITUTE(AM158, CHAR(13), ""),CHAR(10),"\n"),"'","\'")&amp;IF(AM158&lt;&gt;"", "', textKoAdditional: '"&amp;SUBSTITUTE(SUBSTITUTE(AM158, CHAR(13), ""),CHAR(10),"\n"), "")&amp;"', textEn: '"&amp;SUBSTITUTE(SUBSTITUTE(SUBSTITUTE(AM158, CHAR(13), ""),CHAR(10),"\n"),"'","\'")&amp;IF(AN158&lt;&gt;"", "', textEnAdditional: '"&amp;SUBSTITUTE(SUBSTITUTE(AN158, CHAR(13), ""),CHAR(10),"\n"), "")&amp;"'"&amp;IF(AB158="○",", sealable: true","")&amp;IF(AC158="○",", removable: true","")&amp;IF(AA158="○",", lie: true","")&amp;IF(AD158="○",", investable: true","")&amp;"},")</x:f>
        <x:v>'10-kururu-o-n-7': {megami: 'kururu', name: 'りふれくた', nameEn: 'Reflecta', nameZh: '反射器', nameZhG157: '反射', nameKo: '리플렉터', ruby: '', rubyEn: '', rubyZh: 'Reflector', baseType: 'normal', type: 'enhance', text: '機巧（攻対）:【展開時】このカードの上に桜花結晶を4個ダストから置く。\n【展開中】各ターンにおける相手の2回目の《攻撃》は打ち消される。', textZh: '----\n&lt;攻对&gt; 【展开时】将虚中的4个樱花结晶移至此牌上。\n----\n【展开中】打消每回合对手的第二次《攻击》。', textZhG157: '----\n机巧：红紫 将虚中的4个樱花结晶移至此牌上。\n----\n【展开中】 打消每回合对手的第二次《攻击》。', textZhG157Additional: '----\n &lt;공대&gt; 【전개시】이 카드 위에 벚꽃 결정을 4개 더스트로부터 올린다.\n ----\n 【전개중】매 턴 상대의 2번째 《공격》은 무효화된다.', textKo: 'Mechanism (ATK REA) - Initialize: Move 4 Sakura tokens from Shadow to this card.\n----\nOngoing: Your opponent\'s second attack each turn is automatically cancelled.', textKoAdditional: 'Mechanism (ATK REA) - Initialize: Move 4 Sakura tokens from Shadow to this card.\n----\nOngoing: Your opponent's second attack each turn is automatically cancelled.', textEn: 'Mechanism (ATK REA) - Initialize: Move 4 Sakura tokens from Shadow to this card.\n----\nOngoing: Your opponent\'s second attack each turn is automatically cancelled.'},</x:v>
      </x:c>
      <x:c r="AU158" t="str">
        <x:f>IF($A158&lt;&gt;"", "    /** 《"&amp;$E158&amp;"》 */ export const "&amp;SUBSTITUTE(UPPER(IF(MID($A158, 3, 1)="-", RIGHT($A158,LEN($A158)-3), $A158)), "-", "_")&amp;": TCardId = '"&amp;$A158&amp;"';", "")</x:f>
        <x:v>    /** 《りふれくた》 */ export const KURURU_O_N_7: TCardId = '10-kururu-o-n-7';</x:v>
      </x:c>
      <x:c r="AV158" t="str">
        <x:f>IF($A159&lt;&gt;"", "    | '"&amp;$A159&amp;"'", "")</x:f>
        <x:v>    | '10-kururu-o-s-1'</x:v>
      </x:c>
    </x:row>
    <x:row r="159" ht="83" customHeight="1">
      <x:c r="A159" t="str">
        <x:v>10-kururu-o-s-1</x:v>
      </x:c>
      <x:c r="B159" t="str">
        <x:v>kururu</x:v>
      </x:c>
      <x:c r="C159"/>
      <x:c r="D159"/>
      <x:c r="E159" t="str">
        <x:v>どれーんでびる</x:v>
      </x:c>
      <x:c r="F159"/>
      <x:c r="G159" t="str">
        <x:v>虹吸魔翼</x:v>
      </x:c>
      <x:c r="H159" t="str">
        <x:v>魔能吸收</x:v>
      </x:c>
      <x:c r="I159" t="str">
        <x:v>Drain Devil</x:v>
      </x:c>
      <x:c r="J159" t="str">
        <x:v>드레~인 데빌</x:v>
      </x:c>
      <x:c r="K159" t="str">
        <x:v>Drain Devil</x:v>
      </x:c>
      <x:c r="L159"/>
      <x:c r="M159" t="str">
        <x:v>切札</x:v>
      </x:c>
      <x:c r="N159"/>
      <x:c r="O159"/>
      <x:c r="P159"/>
      <x:c r="Q159"/>
      <x:c r="R159" t="str">
        <x:v>行動</x:v>
      </x:c>
      <x:c r="S159" t="str">
        <x:v>対応</x:v>
      </x:c>
      <x:c r="T159"/>
      <x:c r="U159"/>
      <x:c r="V159"/>
      <x:c r="W159"/>
      <x:c r="X159"/>
      <x:c r="Y159"/>
      <x:c r="Z159" t="n">
        <x:v>3</x:v>
      </x:c>
      <x:c r="AA159"/>
      <x:c r="AB159"/>
      <x:c r="AC159"/>
      <x:c r="AD159"/>
      <x:c r="AE159" s="438" t="str">
        <x:v>相オーラ→自オーラ：1
【使用済】あなたの使用済の切札が未使用に戻った時、このカードを消費を支払わずに使用してもよい。</x:v>
      </x:c>
      <x:c r="AF159" s="438"/>
      <x:c r="AG159" s="499" t="str">
        <x:v>敌装→1→自装 
【已使用】每当你的处于已使用状态的王牌变为未使用状态时，你可以使用此牌，而不需支付其费用。</x:v>
      </x:c>
      <x:c r="AH159" s="438"/>
      <x:c r="AI159" s="499" t="str">
        <x:v>敌装（1）→自装 
【已使用】每当你的正面朝上的王牌翻面时，你可以使用此牌，而不需支付其费用。</x:v>
      </x:c>
      <x:c r="AJ159" s="438"/>
      <x:c r="AK159" s="499" t="str">
        <x:v>상대 오라→자신 오라：1 
 【사용완료】당신의 사용완료 비장패가 미사용으로 되돌아갈때, 이 카드를 소비를 지불하지 않고 사용해도 좋다.</x:v>
      </x:c>
      <x:c r="AL159" s="438"/>
      <x:c r="AM159" s="499" t="str">
        <x:v>Opponent's Aura (1)→ Your Aura
Devoted: Whenever one of your Devoted Special cards is turned face-down, you may play this card without paying its cost.</x:v>
      </x:c>
      <x:c r="AN159" s="438"/>
      <x:c r="AO159" s="438"/>
      <x:c r="AP159" s="438"/>
      <x:c r="AQ159" s="438"/>
      <x:c r="AR159" s="438"/>
      <x:c r="AS159" s="438"/>
      <x:c r="AT159" t="str">
        <x:f>IF(A159="", "","'"&amp;A159&amp;"': {megami: '"&amp;B159&amp;"'"&amp;IF(C159&lt;&gt;"",", anotherID: '"&amp;C159&amp;"', replace: '"&amp;D159&amp;"'","")&amp;", name: '"&amp;SUBSTITUTE(E159,"'","\'")&amp;"', nameEn: '"&amp;SUBSTITUTE(K159,"'","\'")&amp;"', nameZh: '"&amp;SUBSTITUTE(G159,"'","\'")&amp;"', nameZhG158: '"&amp;SUBSTITUTE(H159,"'","\'")&amp;"', nameKo: '"&amp;SUBSTITUTE(J159,"'","\'")&amp;"', ruby: '"&amp;F159&amp;"', rubyEn: '"&amp;L159&amp;IF(I159&lt;&gt;"", "', rubyZh: '"&amp;I159, "")&amp;"', baseType: '"&amp;IF(M159="通常札","normal",IF(M159="切札","special",IF(M159="追加札","extra",IF(M159="transform","transform",IF(M159="嵐","storm",IF(M159="兵員","troop",IF(M159="構想","plan",IF(M159="メインパーツ","mainParts",IF(M159="カスタムパーツ","customParts",IF(M159="運命","fate",IF(M159="仮想樹","virtualTree","")))))))))))&amp;"'"&amp;IF(N159="○",", extra: true","")&amp;IF(O159&lt;&gt;"",", extraFrom: '"&amp;O159&amp;"'","")&amp;IF(P159&lt;&gt;"",", exchangableTo: '"&amp;P159&amp;"'","")&amp;IF(Q159="○",", poison: true","")&amp;IF(R159&lt;&gt;"", ", type: '"&amp;IF(R159="攻撃","attack",IF(R159="行動","action",IF(R159="不定","variable",IF(R159="対応","reaction",IF(R159="全力","fullpower",IF(R159="付与","enhance",IF(R159="transform","transform","")))))))&amp;"'", "")&amp;IF(S159&lt;&gt;"",", subType: '"&amp;IF(S159="攻撃","attack",IF(S159="行動","action",IF(S159="不定","variable",IF(S159="対応","reaction",IF(S159="全力","fullpower",IF(S159="付与","enhance",IF(S159="transform","transform","")))))))&amp;"'","")&amp;""&amp;IF(T159&lt;&gt;"",", range: '"&amp;T159&amp;"'","")&amp;IF(V159&lt;&gt;"",", damage: '"&amp;V159&amp;"'","")&amp;IF(X159&lt;&gt;"",", capacity: '"&amp;X159&amp;"'","")&amp;IF(Y159&lt;&gt;"",", growth: "&amp;Y159&amp;"","")&amp;IF(Z159&lt;&gt;"",", cost: '"&amp;Z159&amp;"'","")&amp;", text: '"&amp;SUBSTITUTE(SUBSTITUTE(AE159, CHAR(13), ""),CHAR(10),"\n")&amp;IF(AF159&lt;&gt;"", "', textAdditional: '"&amp;SUBSTITUTE(SUBSTITUTE(AF159, CHAR(13), ""),CHAR(10),"\n"), "")&amp;"', textZh: '"&amp;SUBSTITUTE(SUBSTITUTE(SUBSTITUTE(AG159, CHAR(13), ""),CHAR(10),"\n"),"'","\'")&amp;"', textZhG158: '"&amp;SUBSTITUTE(SUBSTITUTE(SUBSTITUTE(AI159, CHAR(13), ""),CHAR(10),"\n"),"'","\'")&amp;IF(AH159&lt;&gt;"", "', textZhAdditional: '"&amp;SUBSTITUTE(SUBSTITUTE(AH159, CHAR(13), ""),CHAR(10),"\n"), "")&amp;IF(AK159&lt;&gt;"", "', textZhG158Additional: '"&amp;SUBSTITUTE(SUBSTITUTE(AK159, CHAR(13), ""),CHAR(10),"\n"), "")&amp;"', textKo: '"&amp;SUBSTITUTE(SUBSTITUTE(SUBSTITUTE(AM159, CHAR(13), ""),CHAR(10),"\n"),"'","\'")&amp;IF(AM159&lt;&gt;"", "', textKoAdditional: '"&amp;SUBSTITUTE(SUBSTITUTE(AM159, CHAR(13), ""),CHAR(10),"\n"), "")&amp;"', textEn: '"&amp;SUBSTITUTE(SUBSTITUTE(SUBSTITUTE(AM159, CHAR(13), ""),CHAR(10),"\n"),"'","\'")&amp;IF(AN159&lt;&gt;"", "', textEnAdditional: '"&amp;SUBSTITUTE(SUBSTITUTE(AN159, CHAR(13), ""),CHAR(10),"\n"), "")&amp;"'"&amp;IF(AB159="○",", sealable: true","")&amp;IF(AC159="○",", removable: true","")&amp;IF(AA159="○",", lie: true","")&amp;IF(AD159="○",", investable: true","")&amp;"},")</x:f>
        <x:v>'10-kururu-o-s-1': {megami: 'kururu', name: 'どれーんでびる', nameEn: 'Drain Devil', nameZh: '虹吸魔翼', nameZhG158: '魔能吸收', nameKo: '드레~인 데빌', ruby: '', rubyEn: '', rubyZh: 'Drain Devil', baseType: 'special', type: 'action', subType: 'reaction', cost: '3', text: '相オーラ→自オーラ：1\n【使用済】あなたの使用済の切札が未使用に戻った時、このカードを消費を支払わずに使用してもよい。', textZh: '敌装→1→自装 \n【已使用】每当你的处于已使用状态的王牌变为未使用状态时，你可以使用此牌，而不需支付其费用。', textZhG158: '敌装（1）→自装 \n【已使用】每当你的正面朝上的王牌翻面时，你可以使用此牌，而不需支付其费用。', textZhG158Additional: '상대 오라→자신 오라：1 \n 【사용완료】당신의 사용완료 비장패가 미사용으로 되돌아갈때, 이 카드를 소비를 지불하지 않고 사용해도 좋다.', textKo: 'Opponent\'s Aura (1)→ Your Aura\n\nDevoted: Whenever one of your Devoted Special cards is turned face-down, you may play this card without paying its cost.', textKoAdditional: 'Opponent's Aura (1)→ Your Aura\n\nDevoted: Whenever one of your Devoted Special cards is turned face-down, you may play this card without paying its cost.', textEn: 'Opponent\'s Aura (1)→ Your Aura\n\nDevoted: Whenever one of your Devoted Special cards is turned face-down, you may play this card without paying its cost.'},</x:v>
      </x:c>
      <x:c r="AU159" t="str">
        <x:f>IF($A159&lt;&gt;"", "    /** 《"&amp;$E159&amp;"》 */ export const "&amp;SUBSTITUTE(UPPER(IF(MID($A159, 3, 1)="-", RIGHT($A159,LEN($A159)-3), $A159)), "-", "_")&amp;": TCardId = '"&amp;$A159&amp;"';", "")</x:f>
        <x:v>    /** 《どれーんでびる》 */ export const KURURU_O_S_1: TCardId = '10-kururu-o-s-1';</x:v>
      </x:c>
      <x:c r="AV159" t="str">
        <x:f>IF($A160&lt;&gt;"", "    | '"&amp;$A160&amp;"'", "")</x:f>
        <x:v>    | '10-kururu-o-s-2'</x:v>
      </x:c>
    </x:row>
    <x:row r="160" ht="98" customHeight="1">
      <x:c r="A160" t="str">
        <x:v>10-kururu-o-s-2</x:v>
      </x:c>
      <x:c r="B160" t="str">
        <x:v>kururu</x:v>
      </x:c>
      <x:c r="C160"/>
      <x:c r="D160"/>
      <x:c r="E160" t="str">
        <x:v>びっぐごーれむ</x:v>
      </x:c>
      <x:c r="F160"/>
      <x:c r="G160" t="str">
        <x:v>巨大魔像</x:v>
      </x:c>
      <x:c r="H160" t="str">
        <x:v>大魔像</x:v>
      </x:c>
      <x:c r="I160" t="str">
        <x:v>Big Golem</x:v>
      </x:c>
      <x:c r="J160" t="str">
        <x:v>빅 골~렘</x:v>
      </x:c>
      <x:c r="K160" t="str">
        <x:v>Big Golem</x:v>
      </x:c>
      <x:c r="L160"/>
      <x:c r="M160" t="str">
        <x:v>切札</x:v>
      </x:c>
      <x:c r="N160"/>
      <x:c r="O160"/>
      <x:c r="P160"/>
      <x:c r="Q160"/>
      <x:c r="R160" t="str">
        <x:v>行動</x:v>
      </x:c>
      <x:c r="S160"/>
      <x:c r="T160"/>
      <x:c r="U160"/>
      <x:c r="V160"/>
      <x:c r="W160"/>
      <x:c r="X160"/>
      <x:c r="Y160"/>
      <x:c r="Z160" t="n">
        <x:v>4</x:v>
      </x:c>
      <x:c r="AA160"/>
      <x:c r="AB160"/>
      <x:c r="AC160"/>
      <x:c r="AD160"/>
      <x:c r="AE160" s="438" t="str">
        <x:v>機巧（対全全）：【使用済】あなたの終了フェイズに相手のライフに1ダメージを与えてもよい。そうした場合、山札を再構成する。
【使用済】あなたが《全力》カードを使用した時、その解決後に基本動作を1回行ってもよい。</x:v>
      </x:c>
      <x:c r="AF160" s="438"/>
      <x:c r="AG160" s="499" t="str">
        <x:v>----
&lt;对全全&gt; 【已使用】在你的结束阶段，你可以给予敌命1点伤害。若如此做，则重铸你的牌库（你不会因此受到伤害）。
----
【已使用】每当你使用具《全力》副类别的牌时，结算完毕后你可以执行一次基本动作。</x:v>
      </x:c>
      <x:c r="AH160" s="438"/>
      <x:c r="AI160" s="499" t="str">
        <x:v>----
【已使用】机巧：黄黄紫  每当你的结束阶段结束时，你可以对敌命造成1点伤害并重铸你的牌库
（你不会因此受到伤害）。
----
【已使用】每当你使用的具《全力》副类别的牌结算完毕时，你可以执行一次基本动作。</x:v>
      </x:c>
      <x:c r="AJ160" s="438"/>
      <x:c r="AK160" s="499" t="str">
        <x:v>----
 &lt;대전전&gt; 【사용완료】당신의 종료 페이즈에 상대의 라이프에 1 대미지를 주어도 좋다. 그럴 경우, 패산을 재구성한다.
 ----
 【사용완료】당신이 《전력》카드를 사용했을 때, 그 해결 후에 기본동작을 1번 해도 좋다.</x:v>
      </x:c>
      <x:c r="AL160" s="438"/>
      <x:c r="AM160" s="499" t="str">
        <x:v>Mechanism (REA THR THR) - Devoted: At the end of your turn, you may deal 1 damage to your opponent's Life. If you do, reshuffle your deck.
----
Devoted: Whenever you play a Throughout card, you may perform a basic action after it resolves.</x:v>
      </x:c>
      <x:c r="AN160" s="438"/>
      <x:c r="AO160" s="438"/>
      <x:c r="AP160" s="438"/>
      <x:c r="AQ160" s="438"/>
      <x:c r="AR160" s="438"/>
      <x:c r="AS160" s="438"/>
      <x:c r="AT160" t="str">
        <x:f>IF(A160="", "","'"&amp;A160&amp;"': {megami: '"&amp;B160&amp;"'"&amp;IF(C160&lt;&gt;"",", anotherID: '"&amp;C160&amp;"', replace: '"&amp;D160&amp;"'","")&amp;", name: '"&amp;SUBSTITUTE(E160,"'","\'")&amp;"', nameEn: '"&amp;SUBSTITUTE(K160,"'","\'")&amp;"', nameZh: '"&amp;SUBSTITUTE(G160,"'","\'")&amp;"', nameZhG159: '"&amp;SUBSTITUTE(H160,"'","\'")&amp;"', nameKo: '"&amp;SUBSTITUTE(J160,"'","\'")&amp;"', ruby: '"&amp;F160&amp;"', rubyEn: '"&amp;L160&amp;IF(I160&lt;&gt;"", "', rubyZh: '"&amp;I160, "")&amp;"', baseType: '"&amp;IF(M160="通常札","normal",IF(M160="切札","special",IF(M160="追加札","extra",IF(M160="transform","transform",IF(M160="嵐","storm",IF(M160="兵員","troop",IF(M160="構想","plan",IF(M160="メインパーツ","mainParts",IF(M160="カスタムパーツ","customParts",IF(M160="運命","fate",IF(M160="仮想樹","virtualTree","")))))))))))&amp;"'"&amp;IF(N160="○",", extra: true","")&amp;IF(O160&lt;&gt;"",", extraFrom: '"&amp;O160&amp;"'","")&amp;IF(P160&lt;&gt;"",", exchangableTo: '"&amp;P160&amp;"'","")&amp;IF(Q160="○",", poison: true","")&amp;IF(R160&lt;&gt;"", ", type: '"&amp;IF(R160="攻撃","attack",IF(R160="行動","action",IF(R160="不定","variable",IF(R160="対応","reaction",IF(R160="全力","fullpower",IF(R160="付与","enhance",IF(R160="transform","transform","")))))))&amp;"'", "")&amp;IF(S160&lt;&gt;"",", subType: '"&amp;IF(S160="攻撃","attack",IF(S160="行動","action",IF(S160="不定","variable",IF(S160="対応","reaction",IF(S160="全力","fullpower",IF(S160="付与","enhance",IF(S160="transform","transform","")))))))&amp;"'","")&amp;""&amp;IF(T160&lt;&gt;"",", range: '"&amp;T160&amp;"'","")&amp;IF(V160&lt;&gt;"",", damage: '"&amp;V160&amp;"'","")&amp;IF(X160&lt;&gt;"",", capacity: '"&amp;X160&amp;"'","")&amp;IF(Y160&lt;&gt;"",", growth: "&amp;Y160&amp;"","")&amp;IF(Z160&lt;&gt;"",", cost: '"&amp;Z160&amp;"'","")&amp;", text: '"&amp;SUBSTITUTE(SUBSTITUTE(AE160, CHAR(13), ""),CHAR(10),"\n")&amp;IF(AF160&lt;&gt;"", "', textAdditional: '"&amp;SUBSTITUTE(SUBSTITUTE(AF160, CHAR(13), ""),CHAR(10),"\n"), "")&amp;"', textZh: '"&amp;SUBSTITUTE(SUBSTITUTE(SUBSTITUTE(AG160, CHAR(13), ""),CHAR(10),"\n"),"'","\'")&amp;"', textZhG159: '"&amp;SUBSTITUTE(SUBSTITUTE(SUBSTITUTE(AI160, CHAR(13), ""),CHAR(10),"\n"),"'","\'")&amp;IF(AH160&lt;&gt;"", "', textZhAdditional: '"&amp;SUBSTITUTE(SUBSTITUTE(AH160, CHAR(13), ""),CHAR(10),"\n"), "")&amp;IF(AK160&lt;&gt;"", "', textZhG159Additional: '"&amp;SUBSTITUTE(SUBSTITUTE(AK160, CHAR(13), ""),CHAR(10),"\n"), "")&amp;"', textKo: '"&amp;SUBSTITUTE(SUBSTITUTE(SUBSTITUTE(AM160, CHAR(13), ""),CHAR(10),"\n"),"'","\'")&amp;IF(AM160&lt;&gt;"", "', textKoAdditional: '"&amp;SUBSTITUTE(SUBSTITUTE(AM160, CHAR(13), ""),CHAR(10),"\n"), "")&amp;"', textEn: '"&amp;SUBSTITUTE(SUBSTITUTE(SUBSTITUTE(AM160, CHAR(13), ""),CHAR(10),"\n"),"'","\'")&amp;IF(AN160&lt;&gt;"", "', textEnAdditional: '"&amp;SUBSTITUTE(SUBSTITUTE(AN160, CHAR(13), ""),CHAR(10),"\n"), "")&amp;"'"&amp;IF(AB160="○",", sealable: true","")&amp;IF(AC160="○",", removable: true","")&amp;IF(AA160="○",", lie: true","")&amp;IF(AD160="○",", investable: true","")&amp;"},")</x:f>
        <x:v>'10-kururu-o-s-2': {megami: 'kururu', name: 'びっぐごーれむ', nameEn: 'Big Golem', nameZh: '巨大魔像', nameZhG159: '大魔像', nameKo: '빅 골~렘', ruby: '', rubyEn: '', rubyZh: 'Big Golem', baseType: 'special', type: 'action', cost: '4', text: '機巧（対全全）：【使用済】あなたの終了フェイズに相手のライフに1ダメージを与えてもよい。そうした場合、山札を再構成する。\n【使用済】あなたが《全力》カードを使用した時、その解決後に基本動作を1回行ってもよい。', textZh: '----\n&lt;对全全&gt; 【已使用】在你的结束阶段，你可以给予敌命1点伤害。若如此做，则重铸你的牌库（你不会因此受到伤害）。\n----\n【已使用】每当你使用具《全力》副类别的牌时，结算完毕后你可以执行一次基本动作。', textZhG159: '----\n【已使用】机巧：黄黄紫  每当你的结束阶段结束时，你可以对敌命造成1点伤害并重铸你的牌库\n（你不会因此受到伤害）。\n----\n【已使用】每当你使用的具《全力》副类别的牌结算完毕时，你可以执行一次基本动作。', textZhG159Additional: '----\n &lt;대전전&gt; 【사용완료】당신의 종료 페이즈에 상대의 라이프에 1 대미지를 주어도 좋다. 그럴 경우, 패산을 재구성한다.\n ----\n 【사용완료】당신이 《전력》카드를 사용했을 때, 그 해결 후에 기본동작을 1번 해도 좋다.', textKo: 'Mechanism (REA THR THR) - Devoted: At the end of your turn, you may deal 1 damage to your opponent\'s Life. If you do, reshuffle your deck.\n----\nDevoted: Whenever you play a Throughout card, you may perform a basic action after it resolves.', textKoAdditional: 'Mechanism (REA THR THR) - Devoted: At the end of your turn, you may deal 1 damage to your opponent's Life. If you do, reshuffle your deck.\n----\nDevoted: Whenever you play a Throughout card, you may perform a basic action after it resolves.', textEn: 'Mechanism (REA THR THR) - Devoted: At the end of your turn, you may deal 1 damage to your opponent\'s Life. If you do, reshuffle your deck.\n----\nDevoted: Whenever you play a Throughout card, you may perform a basic action after it resolves.'},</x:v>
      </x:c>
      <x:c r="AU160" t="str">
        <x:f>IF($A160&lt;&gt;"", "    /** 《"&amp;$E160&amp;"》 */ export const "&amp;SUBSTITUTE(UPPER(IF(MID($A160, 3, 1)="-", RIGHT($A160,LEN($A160)-3), $A160)), "-", "_")&amp;": TCardId = '"&amp;$A160&amp;"';", "")</x:f>
        <x:v>    /** 《びっぐごーれむ》 */ export const KURURU_O_S_2: TCardId = '10-kururu-o-s-2';</x:v>
      </x:c>
      <x:c r="AV160" t="str">
        <x:f>IF($A161&lt;&gt;"", "    | '"&amp;$A161&amp;"'", "")</x:f>
        <x:v>    | '10-kururu-o-s-3'</x:v>
      </x:c>
    </x:row>
    <x:row r="161" ht="143" customHeight="1">
      <x:c r="A161" t="str">
        <x:v>10-kururu-o-s-3</x:v>
      </x:c>
      <x:c r="B161" t="str">
        <x:v>kururu</x:v>
      </x:c>
      <x:c r="C161"/>
      <x:c r="D161"/>
      <x:c r="E161" t="str">
        <x:v>いんだすとりあ</x:v>
      </x:c>
      <x:c r="F161"/>
      <x:c r="G161" t="str">
        <x:v>工业量产</x:v>
      </x:c>
      <x:c r="H161" t="str">
        <x:v>复自黏贴</x:v>
      </x:c>
      <x:c r="I161" t="str">
        <x:v>Industria</x:v>
      </x:c>
      <x:c r="J161" t="str">
        <x:v>인더스트리아</x:v>
      </x:c>
      <x:c r="K161" t="str">
        <x:v>Industria</x:v>
      </x:c>
      <x:c r="L161"/>
      <x:c r="M161" t="str">
        <x:v>切札</x:v>
      </x:c>
      <x:c r="N161"/>
      <x:c r="O161"/>
      <x:c r="P161"/>
      <x:c r="Q161"/>
      <x:c r="R161" t="str">
        <x:v>行動</x:v>
      </x:c>
      <x:c r="S161"/>
      <x:c r="T161"/>
      <x:c r="U161"/>
      <x:c r="V161"/>
      <x:c r="W161"/>
      <x:c r="X161"/>
      <x:c r="Y161"/>
      <x:c r="Z161" t="n">
        <x:v>1</x:v>
      </x:c>
      <x:c r="AA161"/>
      <x:c r="AB161" t="str">
        <x:v>○</x:v>
      </x:c>
      <x:c r="AC161"/>
      <x:c r="AD161"/>
      <x:c r="AE161" s="438" t="str">
        <x:v>このカードがあなたのカードで、カードが封印されていないならば、手札または捨て札から《付与》でないカードを1枚選び、このカードの下に表向きで封印してもよい。
あなたの追加札から「でゅーぷりぎあ」を山札の底に1枚置く。（最大で合計3枚）
即再起:あなたが山札を再構成する（再構成の後に未使用に戻る）。</x:v>
      </x:c>
      <x:c r="AF161" s="438"/>
      <x:c r="AG161" s="499" t="str">
        <x:v>若此牌是你的牌且其下没有封印牌，则从你的手牌或弃牌中选择1张非《付与》的牌，封印在此牌下。
从追加牌区中将1张『复制品齿轮』置于你的牌库底。
----
【即再起】你重铸牌库后。</x:v>
      </x:c>
      <x:c r="AH161" s="438"/>
      <x:c r="AI161" s="499" t="str">
        <x:v>若此牌是你的牌且其下没有封印牌，则从你的手牌或弃牌中选择1张非《付与》的牌，封印在此牌下。（最多3张）
从追加牌区中将1张『复制品齿轮』置于你的牌库底。
----
【即再起】你重铸牌库后。</x:v>
      </x:c>
      <x:c r="AJ161" s="438"/>
      <x:c r="AK161" s="499" t="str">
        <x:v>이 카드에 카드가 봉인되어 있지 않다면, 당신의 손패 또는 버림패에서 《부여》가 아닌 카드 한 장을 골라, 그 카드를 이 카드 밑에 앞면으로 봉인해도 좋다.
 당신의 추가패에서 「듀플리기어」를 패산의 밑에 1장 둔다(최대 합계 3장). 
 ----
 【즉재기】당신이 패산을 재구성한다(재구성 후에 미사용으로 되돌린다).</x:v>
      </x:c>
      <x:c r="AL161" s="438"/>
      <x:c r="AM161" s="499" t="str">
        <x:v>If you own this card and no card is sealed under it, you may choose a non-Enhancement card in your hand or played pile and seal it under this card, face-up.
Put one of your set aside "Dupligear" on the bottom of your deck.
Immediate Resurgence: You reshuffle your deck. (Turn this card face-down after completing the reshuffle.)</x:v>
      </x:c>
      <x:c r="AN161" s="438"/>
      <x:c r="AO161" s="438"/>
      <x:c r="AP161" s="438"/>
      <x:c r="AQ161" s="438"/>
      <x:c r="AR161" s="438"/>
      <x:c r="AS161" s="438"/>
      <x:c r="AT161" t="str">
        <x:f>IF(A161="", "","'"&amp;A161&amp;"': {megami: '"&amp;B161&amp;"'"&amp;IF(C161&lt;&gt;"",", anotherID: '"&amp;C161&amp;"', replace: '"&amp;D161&amp;"'","")&amp;", name: '"&amp;SUBSTITUTE(E161,"'","\'")&amp;"', nameEn: '"&amp;SUBSTITUTE(K161,"'","\'")&amp;"', nameZh: '"&amp;SUBSTITUTE(G161,"'","\'")&amp;"', nameZhG160: '"&amp;SUBSTITUTE(H161,"'","\'")&amp;"', nameKo: '"&amp;SUBSTITUTE(J161,"'","\'")&amp;"', ruby: '"&amp;F161&amp;"', rubyEn: '"&amp;L161&amp;IF(I161&lt;&gt;"", "', rubyZh: '"&amp;I161, "")&amp;"', baseType: '"&amp;IF(M161="通常札","normal",IF(M161="切札","special",IF(M161="追加札","extra",IF(M161="transform","transform",IF(M161="嵐","storm",IF(M161="兵員","troop",IF(M161="構想","plan",IF(M161="メインパーツ","mainParts",IF(M161="カスタムパーツ","customParts",IF(M161="運命","fate",IF(M161="仮想樹","virtualTree","")))))))))))&amp;"'"&amp;IF(N161="○",", extra: true","")&amp;IF(O161&lt;&gt;"",", extraFrom: '"&amp;O161&amp;"'","")&amp;IF(P161&lt;&gt;"",", exchangableTo: '"&amp;P161&amp;"'","")&amp;IF(Q161="○",", poison: true","")&amp;IF(R161&lt;&gt;"", ", type: '"&amp;IF(R161="攻撃","attack",IF(R161="行動","action",IF(R161="不定","variable",IF(R161="対応","reaction",IF(R161="全力","fullpower",IF(R161="付与","enhance",IF(R161="transform","transform","")))))))&amp;"'", "")&amp;IF(S161&lt;&gt;"",", subType: '"&amp;IF(S161="攻撃","attack",IF(S161="行動","action",IF(S161="不定","variable",IF(S161="対応","reaction",IF(S161="全力","fullpower",IF(S161="付与","enhance",IF(S161="transform","transform","")))))))&amp;"'","")&amp;""&amp;IF(T161&lt;&gt;"",", range: '"&amp;T161&amp;"'","")&amp;IF(V161&lt;&gt;"",", damage: '"&amp;V161&amp;"'","")&amp;IF(X161&lt;&gt;"",", capacity: '"&amp;X161&amp;"'","")&amp;IF(Y161&lt;&gt;"",", growth: "&amp;Y161&amp;"","")&amp;IF(Z161&lt;&gt;"",", cost: '"&amp;Z161&amp;"'","")&amp;", text: '"&amp;SUBSTITUTE(SUBSTITUTE(AE161, CHAR(13), ""),CHAR(10),"\n")&amp;IF(AF161&lt;&gt;"", "', textAdditional: '"&amp;SUBSTITUTE(SUBSTITUTE(AF161, CHAR(13), ""),CHAR(10),"\n"), "")&amp;"', textZh: '"&amp;SUBSTITUTE(SUBSTITUTE(SUBSTITUTE(AG161, CHAR(13), ""),CHAR(10),"\n"),"'","\'")&amp;"', textZhG160: '"&amp;SUBSTITUTE(SUBSTITUTE(SUBSTITUTE(AI161, CHAR(13), ""),CHAR(10),"\n"),"'","\'")&amp;IF(AH161&lt;&gt;"", "', textZhAdditional: '"&amp;SUBSTITUTE(SUBSTITUTE(AH161, CHAR(13), ""),CHAR(10),"\n"), "")&amp;IF(AK161&lt;&gt;"", "', textZhG160Additional: '"&amp;SUBSTITUTE(SUBSTITUTE(AK161, CHAR(13), ""),CHAR(10),"\n"), "")&amp;"', textKo: '"&amp;SUBSTITUTE(SUBSTITUTE(SUBSTITUTE(AM161, CHAR(13), ""),CHAR(10),"\n"),"'","\'")&amp;IF(AM161&lt;&gt;"", "', textKoAdditional: '"&amp;SUBSTITUTE(SUBSTITUTE(AM161, CHAR(13), ""),CHAR(10),"\n"), "")&amp;"', textEn: '"&amp;SUBSTITUTE(SUBSTITUTE(SUBSTITUTE(AM161, CHAR(13), ""),CHAR(10),"\n"),"'","\'")&amp;IF(AN161&lt;&gt;"", "', textEnAdditional: '"&amp;SUBSTITUTE(SUBSTITUTE(AN161, CHAR(13), ""),CHAR(10),"\n"), "")&amp;"'"&amp;IF(AB161="○",", sealable: true","")&amp;IF(AC161="○",", removable: true","")&amp;IF(AA161="○",", lie: true","")&amp;IF(AD161="○",", investable: true","")&amp;"},")</x:f>
        <x:v>'10-kururu-o-s-3': {megami: 'kururu', name: 'いんだすとりあ', nameEn: 'Industria', nameZh: '工业量产', nameZhG160: '复自黏贴', nameKo: '인더스트리아', ruby: '', rubyEn: '', rubyZh: 'Industria', baseType: 'special', type: 'action', cost: '1', text: 'このカードがあなたのカードで、カードが封印されていないならば、手札または捨て札から《付与》でないカードを1枚選び、このカードの下に表向きで封印してもよい。\nあなたの追加札から「でゅーぷりぎあ」を山札の底に1枚置く。（最大で合計3枚）\n即再起:あなたが山札を再構成する（再構成の後に未使用に戻る）。', textZh: '若此牌是你的牌且其下没有封印牌，则从你的手牌或弃牌中选择1张非《付与》的牌，封印在此牌下。\n从追加牌区中将1张『复制品齿轮』置于你的牌库底。\n----\n【即再起】你重铸牌库后。', textZhG160: '若此牌是你的牌且其下没有封印牌，则从你的手牌或弃牌中选择1张非《付与》的牌，封印在此牌下。（最多3张）\n从追加牌区中将1张『复制品齿轮』置于你的牌库底。\n----\n【即再起】你重铸牌库后。', textZhG160Additional: '이 카드에 카드가 봉인되어 있지 않다면, 당신의 손패 또는 버림패에서 《부여》가 아닌 카드 한 장을 골라, 그 카드를 이 카드 밑에 앞면으로 봉인해도 좋다.\n 당신의 추가패에서 「듀플리기어」를 패산의 밑에 1장 둔다(최대 합계 3장). \n ----\n 【즉재기】당신이 패산을 재구성한다(재구성 후에 미사용으로 되돌린다).', textKo: 'If you own this card and no card is sealed under it, you may choose a non-Enhancement card in your hand or played pile and seal it under this card, face-up.\n\nPut one of your set aside "Dupligear" on the bottom of your deck.\n\nImmediate Resurgence: You reshuffle your deck. (Turn this card face-down after completing the reshuffle.)', textKoAdditional: 'If you own this card and no card is sealed under it, you may choose a non-Enhancement card in your hand or played pile and seal it under this card, face-up.\n\nPut one of your set aside "Dupligear" on the bottom of your deck.\n\nImmediate Resurgence: You reshuffle your deck. (Turn this card face-down after completing the reshuffle.)', textEn: 'If you own this card and no card is sealed under it, you may choose a non-Enhancement card in your hand or played pile and seal it under this card, face-up.\n\nPut one of your set aside "Dupligear" on the bottom of your deck.\n\nImmediate Resurgence: You reshuffle your deck. (Turn this card face-down after completing the reshuffle.)', sealable: true},</x:v>
      </x:c>
      <x:c r="AU161" t="str">
        <x:f>IF($A161&lt;&gt;"", "    /** 《"&amp;$E161&amp;"》 */ export const "&amp;SUBSTITUTE(UPPER(IF(MID($A161, 3, 1)="-", RIGHT($A161,LEN($A161)-3), $A161)), "-", "_")&amp;": TCardId = '"&amp;$A161&amp;"';", "")</x:f>
        <x:v>    /** 《いんだすとりあ》 */ export const KURURU_O_S_3: TCardId = '10-kururu-o-s-3';</x:v>
      </x:c>
      <x:c r="AV161" t="str">
        <x:f>IF($A162&lt;&gt;"", "    | '"&amp;$A162&amp;"'", "")</x:f>
        <x:v>    | '10-kururu-o-s-4'</x:v>
      </x:c>
    </x:row>
    <x:row r="162" ht="113" customHeight="1">
      <x:c r="A162" t="str">
        <x:v>10-kururu-o-s-4</x:v>
      </x:c>
      <x:c r="B162" t="str">
        <x:v>kururu</x:v>
      </x:c>
      <x:c r="C162"/>
      <x:c r="D162"/>
      <x:c r="E162" t="str">
        <x:v>神渉装置：枢式</x:v>
      </x:c>
      <x:c r="F162" t="str">
        <x:v>かんしょうそうち　くるるしき</x:v>
      </x:c>
      <x:c r="G162" t="str">
        <x:v>神涉装置：枢式</x:v>
      </x:c>
      <x:c r="H162" t="str">
        <x:v>神涉装置：枢式</x:v>
      </x:c>
      <x:c r="I162"/>
      <x:c r="J162" t="str">
        <x:v>신섭장치:쿠루루식</x:v>
      </x:c>
      <x:c r="K162" t="str">
        <x:v>Godly Intervention Simulator: Kururu-Type</x:v>
      </x:c>
      <x:c r="L162"/>
      <x:c r="M162" t="str">
        <x:v>切札</x:v>
      </x:c>
      <x:c r="N162"/>
      <x:c r="O162"/>
      <x:c r="P162"/>
      <x:c r="Q162"/>
      <x:c r="R162" t="str">
        <x:v>行動</x:v>
      </x:c>
      <x:c r="S162"/>
      <x:c r="T162"/>
      <x:c r="U162"/>
      <x:c r="V162"/>
      <x:c r="W162"/>
      <x:c r="X162"/>
      <x:c r="Y162"/>
      <x:c r="Z162" t="n">
        <x:v>3</x:v>
      </x:c>
      <x:c r="AA162"/>
      <x:c r="AB162"/>
      <x:c r="AC162" t="str">
        <x:v>○</x:v>
      </x:c>
      <x:c r="AD162"/>
      <x:c r="AE162" s="438" t="str">
        <x:v>機巧（攻攻行行行付付）：相手の切札を見て、その中から1枚選び、それを使用済にしてもよい。
相手の使用済の切札を1枚まで選び、消費を支払わずにそれを使用してもよい。（《全力》カードでもよい）
その後、このカードを取り除く。</x:v>
      </x:c>
      <x:c r="AF162" s="438"/>
      <x:c r="AG162" s="499" t="str">
        <x:v>----
&lt;攻攻行行行付付&gt; 检视对手的王牌。你可以从中选择1张处于未使用状态的牌，将其变为已使用状态。
----
你可以使用对手的1张处于已使用状态的王牌，而不需支付其费用。结算完毕后将此牌移出游戏。</x:v>
      </x:c>
      <x:c r="AH162" s="438"/>
      <x:c r="AI162" s="499" t="str">
        <x:v>----
机巧：红红蓝蓝蓝绿绿 检视对手的王牌，你可以从中选择背面朝上的一张，将其翻面。
----
你可以使用对手的一张正面朝上的王牌，而不需支付其费用，结算完毕后将此牌移出游戏。</x:v>
      </x:c>
      <x:c r="AJ162" s="438"/>
      <x:c r="AK162" s="499" t="str">
        <x:v>----
 &lt;공공행행행부부&gt; 상대의 비장패를 보고, 그 중 1장을 골라, 그것을 사용완료로 해도 좋다.
 ----
 상대의 사용완료 비장패를 1장 골라도 좋다. 그 카드를 소비를 지불하지 않고 사용한다(《전력》카드여도 좋다). 그 후, 이 카드를 제외한다.</x:v>
      </x:c>
      <x:c r="AL162" s="438"/>
      <x:c r="AM162" s="499" t="str">
        <x:v>Mechanism (ATK ATK ACT ACT ACT ENH ENH) - Look at your opponent's Special cards. You may choose 1 of them. That card becomes Devoted.
----
You may choose one of your oppponent's Devoted Special cards. Play that card without paying its cost. Remove this card from the game.</x:v>
      </x:c>
      <x:c r="AN162" s="438"/>
      <x:c r="AO162" s="438"/>
      <x:c r="AP162" s="438"/>
      <x:c r="AQ162" s="438"/>
      <x:c r="AR162" s="438"/>
      <x:c r="AS162" s="438"/>
      <x:c r="AT162" t="str">
        <x:f>IF(A162="", "","'"&amp;A162&amp;"': {megami: '"&amp;B162&amp;"'"&amp;IF(C162&lt;&gt;"",", anotherID: '"&amp;C162&amp;"', replace: '"&amp;D162&amp;"'","")&amp;", name: '"&amp;SUBSTITUTE(E162,"'","\'")&amp;"', nameEn: '"&amp;SUBSTITUTE(K162,"'","\'")&amp;"', nameZh: '"&amp;SUBSTITUTE(G162,"'","\'")&amp;"', nameZhG161: '"&amp;SUBSTITUTE(H162,"'","\'")&amp;"', nameKo: '"&amp;SUBSTITUTE(J162,"'","\'")&amp;"', ruby: '"&amp;F162&amp;"', rubyEn: '"&amp;L162&amp;IF(I162&lt;&gt;"", "', rubyZh: '"&amp;I162, "")&amp;"', baseType: '"&amp;IF(M162="通常札","normal",IF(M162="切札","special",IF(M162="追加札","extra",IF(M162="transform","transform",IF(M162="嵐","storm",IF(M162="兵員","troop",IF(M162="構想","plan",IF(M162="メインパーツ","mainParts",IF(M162="カスタムパーツ","customParts",IF(M162="運命","fate",IF(M162="仮想樹","virtualTree","")))))))))))&amp;"'"&amp;IF(N162="○",", extra: true","")&amp;IF(O162&lt;&gt;"",", extraFrom: '"&amp;O162&amp;"'","")&amp;IF(P162&lt;&gt;"",", exchangableTo: '"&amp;P162&amp;"'","")&amp;IF(Q162="○",", poison: true","")&amp;IF(R162&lt;&gt;"", ", type: '"&amp;IF(R162="攻撃","attack",IF(R162="行動","action",IF(R162="不定","variable",IF(R162="対応","reaction",IF(R162="全力","fullpower",IF(R162="付与","enhance",IF(R162="transform","transform","")))))))&amp;"'", "")&amp;IF(S162&lt;&gt;"",", subType: '"&amp;IF(S162="攻撃","attack",IF(S162="行動","action",IF(S162="不定","variable",IF(S162="対応","reaction",IF(S162="全力","fullpower",IF(S162="付与","enhance",IF(S162="transform","transform","")))))))&amp;"'","")&amp;""&amp;IF(T162&lt;&gt;"",", range: '"&amp;T162&amp;"'","")&amp;IF(V162&lt;&gt;"",", damage: '"&amp;V162&amp;"'","")&amp;IF(X162&lt;&gt;"",", capacity: '"&amp;X162&amp;"'","")&amp;IF(Y162&lt;&gt;"",", growth: "&amp;Y162&amp;"","")&amp;IF(Z162&lt;&gt;"",", cost: '"&amp;Z162&amp;"'","")&amp;", text: '"&amp;SUBSTITUTE(SUBSTITUTE(AE162, CHAR(13), ""),CHAR(10),"\n")&amp;IF(AF162&lt;&gt;"", "', textAdditional: '"&amp;SUBSTITUTE(SUBSTITUTE(AF162, CHAR(13), ""),CHAR(10),"\n"), "")&amp;"', textZh: '"&amp;SUBSTITUTE(SUBSTITUTE(SUBSTITUTE(AG162, CHAR(13), ""),CHAR(10),"\n"),"'","\'")&amp;"', textZhG161: '"&amp;SUBSTITUTE(SUBSTITUTE(SUBSTITUTE(AI162, CHAR(13), ""),CHAR(10),"\n"),"'","\'")&amp;IF(AH162&lt;&gt;"", "', textZhAdditional: '"&amp;SUBSTITUTE(SUBSTITUTE(AH162, CHAR(13), ""),CHAR(10),"\n"), "")&amp;IF(AK162&lt;&gt;"", "', textZhG161Additional: '"&amp;SUBSTITUTE(SUBSTITUTE(AK162, CHAR(13), ""),CHAR(10),"\n"), "")&amp;"', textKo: '"&amp;SUBSTITUTE(SUBSTITUTE(SUBSTITUTE(AM162, CHAR(13), ""),CHAR(10),"\n"),"'","\'")&amp;IF(AM162&lt;&gt;"", "', textKoAdditional: '"&amp;SUBSTITUTE(SUBSTITUTE(AM162, CHAR(13), ""),CHAR(10),"\n"), "")&amp;"', textEn: '"&amp;SUBSTITUTE(SUBSTITUTE(SUBSTITUTE(AM162, CHAR(13), ""),CHAR(10),"\n"),"'","\'")&amp;IF(AN162&lt;&gt;"", "', textEnAdditional: '"&amp;SUBSTITUTE(SUBSTITUTE(AN162, CHAR(13), ""),CHAR(10),"\n"), "")&amp;"'"&amp;IF(AB162="○",", sealable: true","")&amp;IF(AC162="○",", removable: true","")&amp;IF(AA162="○",", lie: true","")&amp;IF(AD162="○",", investable: true","")&amp;"},")</x:f>
        <x:v>'10-kururu-o-s-4': {megami: 'kururu', name: '神渉装置：枢式', nameEn: 'Godly Intervention Simulator: Kururu-Type', nameZh: '神涉装置：枢式', nameZhG161: '神涉装置：枢式', nameKo: '신섭장치:쿠루루식', ruby: 'かんしょうそうち　くるるしき', rubyEn: '', baseType: 'special', type: 'action', cost: '3', text: '機巧（攻攻行行行付付）：相手の切札を見て、その中から1枚選び、それを使用済にしてもよい。\n相手の使用済の切札を1枚まで選び、消費を支払わずにそれを使用してもよい。（《全力》カードでもよい）\n\nその後、このカードを取り除く。', textZh: '----\n&lt;攻攻行行行付付&gt; 检视对手的王牌。你可以从中选择1张处于未使用状态的牌，将其变为已使用状态。\n----\n你可以使用对手的1张处于已使用状态的王牌，而不需支付其费用。结算完毕后将此牌移出游戏。', textZhG161: '----\n机巧：红红蓝蓝蓝绿绿 检视对手的王牌，你可以从中选择背面朝上的一张，将其翻面。\n----\n你可以使用对手的一张正面朝上的王牌，而不需支付其费用，结算完毕后将此牌移出游戏。', textZhG161Additional: '----\n &lt;공공행행행부부&gt; 상대의 비장패를 보고, 그 중 1장을 골라, 그것을 사용완료로 해도 좋다.\n ----\n 상대의 사용완료 비장패를 1장 골라도 좋다. 그 카드를 소비를 지불하지 않고 사용한다(《전력》카드여도 좋다). 그 후, 이 카드를 제외한다.', textKo: 'Mechanism (ATK ATK ACT ACT ACT ENH ENH) - Look at your opponent\'s Special cards. You may choose 1 of them. That card becomes Devoted.\n----\nYou may choose one of your oppponent\'s Devoted Special cards. Play that card without paying its cost. Remove this card from the game.', textKoAdditional: 'Mechanism (ATK ATK ACT ACT ACT ENH ENH) - Look at your opponent's Special cards. You may choose 1 of them. That card becomes Devoted.\n----\nYou may choose one of your oppponent's Devoted Special cards. Play that card without paying its cost. Remove this card from the game.', textEn: 'Mechanism (ATK ATK ACT ACT ACT ENH ENH) - Look at your opponent\'s Special cards. You may choose 1 of them. That card becomes Devoted.\n----\nYou may choose one of your oppponent\'s Devoted Special cards. Play that card without paying its cost. Remove this card from the game.', removable: true},</x:v>
      </x:c>
      <x:c r="AU162" t="str">
        <x:f>IF($A162&lt;&gt;"", "    /** 《"&amp;$E162&amp;"》 */ export const "&amp;SUBSTITUTE(UPPER(IF(MID($A162, 3, 1)="-", RIGHT($A162,LEN($A162)-3), $A162)), "-", "_")&amp;": TCardId = '"&amp;$A162&amp;"';", "")</x:f>
        <x:v>    /** 《神渉装置：枢式》 */ export const KURURU_O_S_4: TCardId = '10-kururu-o-s-4';</x:v>
      </x:c>
      <x:c r="AV162" t="str">
        <x:f>IF($A163&lt;&gt;"", "    | '"&amp;$A163&amp;"'", "")</x:f>
        <x:v>    | '10-kururu-o-s-3-ex1'</x:v>
      </x:c>
    </x:row>
    <x:row r="163" ht="68" customHeight="1">
      <x:c r="A163" t="str">
        <x:v>10-kururu-o-s-3-ex1</x:v>
      </x:c>
      <x:c r="B163" t="str">
        <x:v>kururu</x:v>
      </x:c>
      <x:c r="C163"/>
      <x:c r="D163"/>
      <x:c r="E163" t="str">
        <x:v>でゅーぷりぎあ</x:v>
      </x:c>
      <x:c r="F163"/>
      <x:c r="G163" t="str">
        <x:v>复制品齿轮</x:v>
      </x:c>
      <x:c r="H163" t="str">
        <x:v>复制品齿轮</x:v>
      </x:c>
      <x:c r="I163" t="str">
        <x:v>Dupli-Gear</x:v>
      </x:c>
      <x:c r="J163" t="str">
        <x:v>듀~플리기어</x:v>
      </x:c>
      <x:c r="K163" t="str">
        <x:v>Dupligear</x:v>
      </x:c>
      <x:c r="L163"/>
      <x:c r="M163" t="str">
        <x:v>通常札</x:v>
      </x:c>
      <x:c r="N163" t="str">
        <x:v>○</x:v>
      </x:c>
      <x:c r="O163" t="str">
        <x:v>10-kururu-o-s-3</x:v>
      </x:c>
      <x:c r="P163"/>
      <x:c r="Q163"/>
      <x:c r="R163" t="str">
        <x:v>不定</x:v>
      </x:c>
      <x:c r="S163" t="str">
        <x:v>不定</x:v>
      </x:c>
      <x:c r="T163"/>
      <x:c r="U163"/>
      <x:c r="V163"/>
      <x:c r="W163"/>
      <x:c r="X163"/>
      <x:c r="Y163"/>
      <x:c r="Z163"/>
      <x:c r="AA163"/>
      <x:c r="AB163"/>
      <x:c r="AC163"/>
      <x:c r="AD163"/>
      <x:c r="AE163" s="438" t="str">
        <x:v>【常時】このカードはあなたの「いんだすとりあ」に封印されたカードの複製となる。ただし、名前は変更されない。（「いんだすとりあ」が未使用なら複製とならないので、使用できない）</x:v>
      </x:c>
      <x:c r="AF163" s="438"/>
      <x:c r="AG163" s="499" t="str">
        <x:v>（未复制卡牌时不能使用）
【常时】此牌为被『工业量产』封印的牌之复制，但名称仍为『复制品齿轮』。
（『工业量产』处于未使用时，此牌无法使用）</x:v>
      </x:c>
      <x:c r="AH163" s="438"/>
      <x:c r="AI163" s="499" t="str">
        <x:v>【常时】此牌为被复自黏贴封印的牌之复制，但名称仍为复制品齿轮（复自黏贴没有封印牌时不能使用此牌）。</x:v>
      </x:c>
      <x:c r="AJ163" s="438"/>
      <x:c r="AK163" s="499" t="str">
        <x:v>(카드 타입이 정해지지 않은 카드는 사용 할 수 없다) 
 【상시】이 카드는 당신의 「인더스트리아」에 봉인된 카드의 복제가 된다. 단, 이름은 변경되지 않는다.
 (「인더스트리아」가 미사용이라면 복제가 안되었기에, 사용 할 수 없다)</x:v>
      </x:c>
      <x:c r="AL163" s="438"/>
      <x:c r="AM163" s="499" t="str">
        <x:v>Forced: This card is a copy of the card sealed under your "Industria", except its name is still "Dupligear".
(If your "Industria" is face-down, this does not copy anything and cannot be played.)</x:v>
      </x:c>
      <x:c r="AN163" s="438"/>
      <x:c r="AO163" s="438"/>
      <x:c r="AP163" s="438"/>
      <x:c r="AQ163" s="438"/>
      <x:c r="AR163" s="438"/>
      <x:c r="AS163" s="438"/>
      <x:c r="AT163" t="str">
        <x:f>IF(A163="", "","'"&amp;A163&amp;"': {megami: '"&amp;B163&amp;"'"&amp;IF(C163&lt;&gt;"",", anotherID: '"&amp;C163&amp;"', replace: '"&amp;D163&amp;"'","")&amp;", name: '"&amp;SUBSTITUTE(E163,"'","\'")&amp;"', nameEn: '"&amp;SUBSTITUTE(K163,"'","\'")&amp;"', nameZh: '"&amp;SUBSTITUTE(G163,"'","\'")&amp;"', nameZhG162: '"&amp;SUBSTITUTE(H163,"'","\'")&amp;"', nameKo: '"&amp;SUBSTITUTE(J163,"'","\'")&amp;"', ruby: '"&amp;F163&amp;"', rubyEn: '"&amp;L163&amp;IF(I163&lt;&gt;"", "', rubyZh: '"&amp;I163, "")&amp;"', baseType: '"&amp;IF(M163="通常札","normal",IF(M163="切札","special",IF(M163="追加札","extra",IF(M163="transform","transform",IF(M163="嵐","storm",IF(M163="兵員","troop",IF(M163="構想","plan",IF(M163="メインパーツ","mainParts",IF(M163="カスタムパーツ","customParts",IF(M163="運命","fate",IF(M163="仮想樹","virtualTree","")))))))))))&amp;"'"&amp;IF(N163="○",", extra: true","")&amp;IF(O163&lt;&gt;"",", extraFrom: '"&amp;O163&amp;"'","")&amp;IF(P163&lt;&gt;"",", exchangableTo: '"&amp;P163&amp;"'","")&amp;IF(Q163="○",", poison: true","")&amp;IF(R163&lt;&gt;"", ", type: '"&amp;IF(R163="攻撃","attack",IF(R163="行動","action",IF(R163="不定","variable",IF(R163="対応","reaction",IF(R163="全力","fullpower",IF(R163="付与","enhance",IF(R163="transform","transform","")))))))&amp;"'", "")&amp;IF(S163&lt;&gt;"",", subType: '"&amp;IF(S163="攻撃","attack",IF(S163="行動","action",IF(S163="不定","variable",IF(S163="対応","reaction",IF(S163="全力","fullpower",IF(S163="付与","enhance",IF(S163="transform","transform","")))))))&amp;"'","")&amp;""&amp;IF(T163&lt;&gt;"",", range: '"&amp;T163&amp;"'","")&amp;IF(V163&lt;&gt;"",", damage: '"&amp;V163&amp;"'","")&amp;IF(X163&lt;&gt;"",", capacity: '"&amp;X163&amp;"'","")&amp;IF(Y163&lt;&gt;"",", growth: "&amp;Y163&amp;"","")&amp;IF(Z163&lt;&gt;"",", cost: '"&amp;Z163&amp;"'","")&amp;", text: '"&amp;SUBSTITUTE(SUBSTITUTE(AE163, CHAR(13), ""),CHAR(10),"\n")&amp;IF(AF163&lt;&gt;"", "', textAdditional: '"&amp;SUBSTITUTE(SUBSTITUTE(AF163, CHAR(13), ""),CHAR(10),"\n"), "")&amp;"', textZh: '"&amp;SUBSTITUTE(SUBSTITUTE(SUBSTITUTE(AG163, CHAR(13), ""),CHAR(10),"\n"),"'","\'")&amp;"', textZhG162: '"&amp;SUBSTITUTE(SUBSTITUTE(SUBSTITUTE(AI163, CHAR(13), ""),CHAR(10),"\n"),"'","\'")&amp;IF(AH163&lt;&gt;"", "', textZhAdditional: '"&amp;SUBSTITUTE(SUBSTITUTE(AH163, CHAR(13), ""),CHAR(10),"\n"), "")&amp;IF(AK163&lt;&gt;"", "', textZhG162Additional: '"&amp;SUBSTITUTE(SUBSTITUTE(AK163, CHAR(13), ""),CHAR(10),"\n"), "")&amp;"', textKo: '"&amp;SUBSTITUTE(SUBSTITUTE(SUBSTITUTE(AM163, CHAR(13), ""),CHAR(10),"\n"),"'","\'")&amp;IF(AM163&lt;&gt;"", "', textKoAdditional: '"&amp;SUBSTITUTE(SUBSTITUTE(AM163, CHAR(13), ""),CHAR(10),"\n"), "")&amp;"', textEn: '"&amp;SUBSTITUTE(SUBSTITUTE(SUBSTITUTE(AM163, CHAR(13), ""),CHAR(10),"\n"),"'","\'")&amp;IF(AN163&lt;&gt;"", "', textEnAdditional: '"&amp;SUBSTITUTE(SUBSTITUTE(AN163, CHAR(13), ""),CHAR(10),"\n"), "")&amp;"'"&amp;IF(AB163="○",", sealable: true","")&amp;IF(AC163="○",", removable: true","")&amp;IF(AA163="○",", lie: true","")&amp;IF(AD163="○",", investable: true","")&amp;"},")</x:f>
        <x:v>'10-kururu-o-s-3-ex1': {megami: 'kururu', name: 'でゅーぷりぎあ', nameEn: 'Dupligear', nameZh: '复制品齿轮', nameZhG162: '复制品齿轮', nameKo: '듀~플리기어', ruby: '', rubyEn: '', rubyZh: 'Dupli-Gear', baseType: 'normal', extra: true, extraFrom: '10-kururu-o-s-3', type: 'variable', subType: 'variable', text: '【常時】このカードはあなたの「いんだすとりあ」に封印されたカードの複製となる。ただし、名前は変更されない。（「いんだすとりあ」が未使用なら複製とならないので、使用できない）', textZh: '（未复制卡牌时不能使用）\n【常时】此牌为被『工业量产』封印的牌之复制，但名称仍为『复制品齿轮』。\n（『工业量产』处于未使用时，此牌无法使用）', textZhG162: '【常时】此牌为被复自黏贴封印的牌之复制，但名称仍为复制品齿轮（复自黏贴没有封印牌时不能使用此牌）。', textZhG162Additional: '(카드 타입이 정해지지 않은 카드는 사용 할 수 없다) \n 【상시】이 카드는 당신의 「인더스트리아」에 봉인된 카드의 복제가 된다. 단, 이름은 변경되지 않는다.\n (「인더스트리아」가 미사용이라면 복제가 안되었기에, 사용 할 수 없다)', textKo: 'Forced: This card is a copy of the card sealed under your "Industria", except its name is still "Dupligear".\n(If your "Industria" is face-down, this does not copy anything and cannot be played.)', textKoAdditional: 'Forced: This card is a copy of the card sealed under your "Industria", except its name is still "Dupligear".\n(If your "Industria" is face-down, this does not copy anything and cannot be played.)', textEn: 'Forced: This card is a copy of the card sealed under your "Industria", except its name is still "Dupligear".\n(If your "Industria" is face-down, this does not copy anything and cannot be played.)'},</x:v>
      </x:c>
      <x:c r="AU163" t="str">
        <x:f>IF($A163&lt;&gt;"", "    /** 《"&amp;$E163&amp;"》 */ export const "&amp;SUBSTITUTE(UPPER(IF(MID($A163, 3, 1)="-", RIGHT($A163,LEN($A163)-3), $A163)), "-", "_")&amp;": TCardId = '"&amp;$A163&amp;"';", "")</x:f>
        <x:v>    /** 《でゅーぷりぎあ》 */ export const KURURU_O_S_3_EX1: TCardId = '10-kururu-o-s-3-ex1';</x:v>
      </x:c>
      <x:c r="AV163" t="str">
        <x:f>IF($A164&lt;&gt;"", "    | '"&amp;$A164&amp;"'", "")</x:f>
        <x:v>    | '10-kururu-A1-n-1'</x:v>
      </x:c>
    </x:row>
    <x:row r="164" ht="98" customHeight="1">
      <x:c r="A164" t="str">
        <x:v>10-kururu-A1-n-1</x:v>
      </x:c>
      <x:c r="B164" t="str">
        <x:v>kururu</x:v>
      </x:c>
      <x:c r="C164" t="str">
        <x:v>A1</x:v>
      </x:c>
      <x:c r="D164" t="str">
        <x:v>10-kururu-o-n-1</x:v>
      </x:c>
      <x:c r="E164" t="str">
        <x:v>あならいず</x:v>
      </x:c>
      <x:c r="F164"/>
      <x:c r="G164" t="str">
        <x:v>分析</x:v>
      </x:c>
      <x:c r="H164" t="str">
        <x:v>分析</x:v>
      </x:c>
      <x:c r="I164" t="str">
        <x:v>Analyze</x:v>
      </x:c>
      <x:c r="J164" t="str">
        <x:v>애널라이즈</x:v>
      </x:c>
      <x:c r="K164" t="str">
        <x:v>Analyze</x:v>
      </x:c>
      <x:c r="L164"/>
      <x:c r="M164" t="str">
        <x:v>通常札</x:v>
      </x:c>
      <x:c r="N164"/>
      <x:c r="O164"/>
      <x:c r="P164"/>
      <x:c r="Q164"/>
      <x:c r="R164" t="str">
        <x:v>行動</x:v>
      </x:c>
      <x:c r="S164"/>
      <x:c r="T164"/>
      <x:c r="U164"/>
      <x:c r="V164"/>
      <x:c r="W164"/>
      <x:c r="X164"/>
      <x:c r="Y164"/>
      <x:c r="Z164"/>
      <x:c r="AA164"/>
      <x:c r="AB164"/>
      <x:c r="AC164"/>
      <x:c r="AD164"/>
      <x:c r="AE164" s="438" t="str">
        <x:v>機巧（攻付対）：あなたの任意の伏せ札1枚または相手の無作為な伏せ札1枚を捨て札にする。そのカードが《攻撃》ならば相手のライフに1ダメージを与える。そうでなければ相手は手札を1枚伏せ札にする。</x:v>
      </x:c>
      <x:c r="AF164" s="438"/>
      <x:c r="AG164" s="499" t="str">
        <x:v>----
&lt;付攻对&gt; 从你的盖牌区中选择1张牌或者从对手的盖牌区中随机选择1张牌，将其置入弃牌区。若此牌为《攻击》，则给予敌命1点伤害。否则对手盖伏1张手牌。</x:v>
      </x:c>
      <x:c r="AH164" s="438"/>
      <x:c r="AI164" s="499" t="str">
        <x:v>机巧：绿红紫～从你的盖牌区中选择1张牌或者从对手的盖牌区中随机选择1张牌，将其置入弃牌区。若此牌为《攻击》，则对敌命造成1点伤害。否则对手盖伏1张手牌。</x:v>
      </x:c>
      <x:c r="AJ164" s="438"/>
      <x:c r="AK164" s="499" t="str">
        <x:v>----
&lt;공부대&gt;당신의 임의의 덮임패 1장 또는 상대의 무작위 덮임패 1장을 버림패로 한다. 그 카드가 《공격》이라면 상대의 라이프에 1데미지를 준다. 그렇지 않다면 상대는 손패를 1장 덮임패로 한다.</x:v>
      </x:c>
      <x:c r="AL164" s="438"/>
      <x:c r="AM164" s="499" t="str">
        <x:v>Mechanism (ENH ATK REA) - Choose 1 card in your discard pile, or 1 random card in your opponent's discard pile. Put that card into its owner's played pile. If the chosen card is an Attack card, deal 1 damage to your opponent's Life. Otherwise, your opponent puts 1 card from their hand into their discard pile.</x:v>
      </x:c>
      <x:c r="AN164" s="438"/>
      <x:c r="AO164" s="438"/>
      <x:c r="AP164" s="438"/>
      <x:c r="AQ164" s="438"/>
      <x:c r="AR164" s="438"/>
      <x:c r="AS164" s="438"/>
      <x:c r="AT164" t="str">
        <x:f>IF(A164="", "","'"&amp;A164&amp;"': {megami: '"&amp;B164&amp;"'"&amp;IF(C164&lt;&gt;"",", anotherID: '"&amp;C164&amp;"', replace: '"&amp;D164&amp;"'","")&amp;", name: '"&amp;SUBSTITUTE(E164,"'","\'")&amp;"', nameEn: '"&amp;SUBSTITUTE(K164,"'","\'")&amp;"', nameZh: '"&amp;SUBSTITUTE(G164,"'","\'")&amp;"', nameZhG163: '"&amp;SUBSTITUTE(H164,"'","\'")&amp;"', nameKo: '"&amp;SUBSTITUTE(J164,"'","\'")&amp;"', ruby: '"&amp;F164&amp;"', rubyEn: '"&amp;L164&amp;IF(I164&lt;&gt;"", "', rubyZh: '"&amp;I164, "")&amp;"', baseType: '"&amp;IF(M164="通常札","normal",IF(M164="切札","special",IF(M164="追加札","extra",IF(M164="transform","transform",IF(M164="嵐","storm",IF(M164="兵員","troop",IF(M164="構想","plan",IF(M164="メインパーツ","mainParts",IF(M164="カスタムパーツ","customParts",IF(M164="運命","fate",IF(M164="仮想樹","virtualTree","")))))))))))&amp;"'"&amp;IF(N164="○",", extra: true","")&amp;IF(O164&lt;&gt;"",", extraFrom: '"&amp;O164&amp;"'","")&amp;IF(P164&lt;&gt;"",", exchangableTo: '"&amp;P164&amp;"'","")&amp;IF(Q164="○",", poison: true","")&amp;IF(R164&lt;&gt;"", ", type: '"&amp;IF(R164="攻撃","attack",IF(R164="行動","action",IF(R164="不定","variable",IF(R164="対応","reaction",IF(R164="全力","fullpower",IF(R164="付与","enhance",IF(R164="transform","transform","")))))))&amp;"'", "")&amp;IF(S164&lt;&gt;"",", subType: '"&amp;IF(S164="攻撃","attack",IF(S164="行動","action",IF(S164="不定","variable",IF(S164="対応","reaction",IF(S164="全力","fullpower",IF(S164="付与","enhance",IF(S164="transform","transform","")))))))&amp;"'","")&amp;""&amp;IF(T164&lt;&gt;"",", range: '"&amp;T164&amp;"'","")&amp;IF(V164&lt;&gt;"",", damage: '"&amp;V164&amp;"'","")&amp;IF(X164&lt;&gt;"",", capacity: '"&amp;X164&amp;"'","")&amp;IF(Y164&lt;&gt;"",", growth: "&amp;Y164&amp;"","")&amp;IF(Z164&lt;&gt;"",", cost: '"&amp;Z164&amp;"'","")&amp;", text: '"&amp;SUBSTITUTE(SUBSTITUTE(AE164, CHAR(13), ""),CHAR(10),"\n")&amp;IF(AF164&lt;&gt;"", "', textAdditional: '"&amp;SUBSTITUTE(SUBSTITUTE(AF164, CHAR(13), ""),CHAR(10),"\n"), "")&amp;"', textZh: '"&amp;SUBSTITUTE(SUBSTITUTE(SUBSTITUTE(AG164, CHAR(13), ""),CHAR(10),"\n"),"'","\'")&amp;"', textZhG163: '"&amp;SUBSTITUTE(SUBSTITUTE(SUBSTITUTE(AI164, CHAR(13), ""),CHAR(10),"\n"),"'","\'")&amp;IF(AH164&lt;&gt;"", "', textZhAdditional: '"&amp;SUBSTITUTE(SUBSTITUTE(AH164, CHAR(13), ""),CHAR(10),"\n"), "")&amp;IF(AK164&lt;&gt;"", "', textZhG163Additional: '"&amp;SUBSTITUTE(SUBSTITUTE(AK164, CHAR(13), ""),CHAR(10),"\n"), "")&amp;"', textKo: '"&amp;SUBSTITUTE(SUBSTITUTE(SUBSTITUTE(AM164, CHAR(13), ""),CHAR(10),"\n"),"'","\'")&amp;IF(AM164&lt;&gt;"", "', textKoAdditional: '"&amp;SUBSTITUTE(SUBSTITUTE(AM164, CHAR(13), ""),CHAR(10),"\n"), "")&amp;"', textEn: '"&amp;SUBSTITUTE(SUBSTITUTE(SUBSTITUTE(AM164, CHAR(13), ""),CHAR(10),"\n"),"'","\'")&amp;IF(AN164&lt;&gt;"", "', textEnAdditional: '"&amp;SUBSTITUTE(SUBSTITUTE(AN164, CHAR(13), ""),CHAR(10),"\n"), "")&amp;"'"&amp;IF(AB164="○",", sealable: true","")&amp;IF(AC164="○",", removable: true","")&amp;IF(AA164="○",", lie: true","")&amp;IF(AD164="○",", investable: true","")&amp;"},")</x:f>
        <x:v>'10-kururu-A1-n-1': {megami: 'kururu', anotherID: 'A1', replace: '10-kururu-o-n-1', name: 'あならいず', nameEn: 'Analyze', nameZh: '分析', nameZhG163: '分析', nameKo: '애널라이즈', ruby: '', rubyEn: '', rubyZh: 'Analyze', baseType: 'normal', type: 'action', text: '機巧（攻付対）：あなたの任意の伏せ札1枚または相手の無作為な伏せ札1枚を捨て札にする。そのカードが《攻撃》ならば相手のライフに1ダメージを与える。そうでなければ相手は手札を1枚伏せ札にする。', textZh: '----\n&lt;付攻对&gt; 从你的盖牌区中选择1张牌或者从对手的盖牌区中随机选择1张牌，将其置入弃牌区。若此牌为《攻击》，则给予敌命1点伤害。否则对手盖伏1张手牌。', textZhG163: '机巧：绿红紫～从你的盖牌区中选择1张牌或者从对手的盖牌区中随机选择1张牌，将其置入弃牌区。若此牌为《攻击》，则对敌命造成1点伤害。否则对手盖伏1张手牌。', textZhG163Additional: '----\n&lt;공부대&gt;당신의 임의의 덮임패 1장 또는 상대의 무작위 덮임패 1장을 버림패로 한다. 그 카드가 《공격》이라면 상대의 라이프에 1데미지를 준다. 그렇지 않다면 상대는 손패를 1장 덮임패로 한다.', textKo: 'Mechanism (ENH ATK REA) - Choose 1 card in your discard pile, or 1 random card in your opponent\'s discard pile. Put that card into its owner\'s played pile. If the chosen card is an Attack card, deal 1 damage to your opponent\'s Life. Otherwise, your opponent puts 1 card from their hand into their discard pile.', textKoAdditional: 'Mechanism (ENH ATK REA) - Choose 1 card in your discard pile, or 1 random card in your opponent's discard pile. Put that card into its owner's played pile. If the chosen card is an Attack card, deal 1 damage to your opponent's Life. Otherwise, your opponent puts 1 card from their hand into their discard pile.', textEn: 'Mechanism (ENH ATK REA) - Choose 1 card in your discard pile, or 1 random card in your opponent\'s discard pile. Put that card into its owner\'s played pile. If the chosen card is an Attack card, deal 1 damage to your opponent\'s Life. Otherwise, your opponent puts 1 card from their hand into their discard pile.'},</x:v>
      </x:c>
      <x:c r="AU164" t="str">
        <x:f>IF($A164&lt;&gt;"", "    /** 《"&amp;$E164&amp;"》 */ export const "&amp;SUBSTITUTE(UPPER(IF(MID($A164, 3, 1)="-", RIGHT($A164,LEN($A164)-3), $A164)), "-", "_")&amp;": TCardId = '"&amp;$A164&amp;"';", "")</x:f>
        <x:v>    /** 《あならいず》 */ export const KURURU_A1_N_1: TCardId = '10-kururu-A1-n-1';</x:v>
      </x:c>
      <x:c r="AV164" t="str">
        <x:f>IF($A165&lt;&gt;"", "    | '"&amp;$A165&amp;"'", "")</x:f>
        <x:v>    | '10-kururu-A1-n-3'</x:v>
      </x:c>
    </x:row>
    <x:row r="165" ht="113" customHeight="1">
      <x:c r="A165" t="str">
        <x:v>10-kururu-A1-n-3</x:v>
      </x:c>
      <x:c r="B165" t="str">
        <x:v>kururu</x:v>
      </x:c>
      <x:c r="C165" t="str">
        <x:v>A1</x:v>
      </x:c>
      <x:c r="D165" t="str">
        <x:v>10-kururu-o-n-3</x:v>
      </x:c>
      <x:c r="E165" t="str">
        <x:v>だうじんぐ</x:v>
      </x:c>
      <x:c r="F165"/>
      <x:c r="G165" t="str">
        <x:v>探测</x:v>
      </x:c>
      <x:c r="H165" t="str">
        <x:v>探测</x:v>
      </x:c>
      <x:c r="I165" t="str">
        <x:v>Dowsing</x:v>
      </x:c>
      <x:c r="J165" t="str">
        <x:v>다우징</x:v>
      </x:c>
      <x:c r="K165" t="str">
        <x:v>Dowsing</x:v>
      </x:c>
      <x:c r="L165"/>
      <x:c r="M165" t="str">
        <x:v>通常札</x:v>
      </x:c>
      <x:c r="N165"/>
      <x:c r="O165"/>
      <x:c r="P165"/>
      <x:c r="Q165"/>
      <x:c r="R165" t="str">
        <x:v>行動</x:v>
      </x:c>
      <x:c r="S165"/>
      <x:c r="T165"/>
      <x:c r="U165"/>
      <x:c r="V165"/>
      <x:c r="W165"/>
      <x:c r="X165"/>
      <x:c r="Y165"/>
      <x:c r="Z165"/>
      <x:c r="AA165"/>
      <x:c r="AB165"/>
      <x:c r="AC165"/>
      <x:c r="AD165"/>
      <x:c r="AE165" s="438" t="str">
        <x:v>相手の山札の上から1枚を捨て札にする。その後、相手の捨て札を1枚選ぶ。
機巧（攻XY）：選んだカードを使用する。Xは選んだカードタイプに、Yはサブタイプに等しい。</x:v>
      </x:c>
      <x:c r="AF165" s="438"/>
      <x:c r="AG165" s="499" t="str">
        <x:v>弃置对手的牌库顶牌。然后从对手的弃牌区中选择1张牌。
----
&lt;攻ⓍⓎ&gt; 使用所选择的牌。Ⓧ为所选择的牌的主类别，Ⓨ为所选择的牌的副类别。</x:v>
      </x:c>
      <x:c r="AH165" s="438"/>
      <x:c r="AI165" s="499" t="str">
        <x:v>弃置对手的牌库顶牌。然后从对手的弃牌区中选择1张牌。
机巧：X红Y～使用所选择的牌。X为所选择的牌的主类别，Y为所选择的牌的副类别。</x:v>
      </x:c>
      <x:c r="AJ165" s="438"/>
      <x:c r="AK165" s="499" t="str">
        <x:v>상대의 패산 위에서 1장을 버림패로 한다. 그 후에 상대 버림패를 1장 고른다.
----
&lt;X공Y&gt;고른 카드를 사용한다. X는 고른 카드의 카드 타입에 해당되고 Y는 서브 타입에 해당된다.</x:v>
      </x:c>
      <x:c r="AL165" s="438"/>
      <x:c r="AM165" s="499" t="str">
        <x:v>Put the top card of your opponent's deck into their played pile, then choose a card in their played pile.
----------
Mechanism (X ATK Y) - Play the chosen card. X is that card's type. Y is that card's subtype.</x:v>
      </x:c>
      <x:c r="AN165" s="438"/>
      <x:c r="AO165" s="438"/>
      <x:c r="AP165" s="438"/>
      <x:c r="AQ165" s="438"/>
      <x:c r="AR165" s="438"/>
      <x:c r="AS165" s="438"/>
      <x:c r="AT165" t="str">
        <x:f>IF(A165="", "","'"&amp;A165&amp;"': {megami: '"&amp;B165&amp;"'"&amp;IF(C165&lt;&gt;"",", anotherID: '"&amp;C165&amp;"', replace: '"&amp;D165&amp;"'","")&amp;", name: '"&amp;SUBSTITUTE(E165,"'","\'")&amp;"', nameEn: '"&amp;SUBSTITUTE(K165,"'","\'")&amp;"', nameZh: '"&amp;SUBSTITUTE(G165,"'","\'")&amp;"', nameZhG164: '"&amp;SUBSTITUTE(H165,"'","\'")&amp;"', nameKo: '"&amp;SUBSTITUTE(J165,"'","\'")&amp;"', ruby: '"&amp;F165&amp;"', rubyEn: '"&amp;L165&amp;IF(I165&lt;&gt;"", "', rubyZh: '"&amp;I165, "")&amp;"', baseType: '"&amp;IF(M165="通常札","normal",IF(M165="切札","special",IF(M165="追加札","extra",IF(M165="transform","transform",IF(M165="嵐","storm",IF(M165="兵員","troop",IF(M165="構想","plan",IF(M165="メインパーツ","mainParts",IF(M165="カスタムパーツ","customParts",IF(M165="運命","fate",IF(M165="仮想樹","virtualTree","")))))))))))&amp;"'"&amp;IF(N165="○",", extra: true","")&amp;IF(O165&lt;&gt;"",", extraFrom: '"&amp;O165&amp;"'","")&amp;IF(P165&lt;&gt;"",", exchangableTo: '"&amp;P165&amp;"'","")&amp;IF(Q165="○",", poison: true","")&amp;IF(R165&lt;&gt;"", ", type: '"&amp;IF(R165="攻撃","attack",IF(R165="行動","action",IF(R165="不定","variable",IF(R165="対応","reaction",IF(R165="全力","fullpower",IF(R165="付与","enhance",IF(R165="transform","transform","")))))))&amp;"'", "")&amp;IF(S165&lt;&gt;"",", subType: '"&amp;IF(S165="攻撃","attack",IF(S165="行動","action",IF(S165="不定","variable",IF(S165="対応","reaction",IF(S165="全力","fullpower",IF(S165="付与","enhance",IF(S165="transform","transform","")))))))&amp;"'","")&amp;""&amp;IF(T165&lt;&gt;"",", range: '"&amp;T165&amp;"'","")&amp;IF(V165&lt;&gt;"",", damage: '"&amp;V165&amp;"'","")&amp;IF(X165&lt;&gt;"",", capacity: '"&amp;X165&amp;"'","")&amp;IF(Y165&lt;&gt;"",", growth: "&amp;Y165&amp;"","")&amp;IF(Z165&lt;&gt;"",", cost: '"&amp;Z165&amp;"'","")&amp;", text: '"&amp;SUBSTITUTE(SUBSTITUTE(AE165, CHAR(13), ""),CHAR(10),"\n")&amp;IF(AF165&lt;&gt;"", "', textAdditional: '"&amp;SUBSTITUTE(SUBSTITUTE(AF165, CHAR(13), ""),CHAR(10),"\n"), "")&amp;"', textZh: '"&amp;SUBSTITUTE(SUBSTITUTE(SUBSTITUTE(AG165, CHAR(13), ""),CHAR(10),"\n"),"'","\'")&amp;"', textZhG164: '"&amp;SUBSTITUTE(SUBSTITUTE(SUBSTITUTE(AI165, CHAR(13), ""),CHAR(10),"\n"),"'","\'")&amp;IF(AH165&lt;&gt;"", "', textZhAdditional: '"&amp;SUBSTITUTE(SUBSTITUTE(AH165, CHAR(13), ""),CHAR(10),"\n"), "")&amp;IF(AK165&lt;&gt;"", "', textZhG164Additional: '"&amp;SUBSTITUTE(SUBSTITUTE(AK165, CHAR(13), ""),CHAR(10),"\n"), "")&amp;"', textKo: '"&amp;SUBSTITUTE(SUBSTITUTE(SUBSTITUTE(AM165, CHAR(13), ""),CHAR(10),"\n"),"'","\'")&amp;IF(AM165&lt;&gt;"", "', textKoAdditional: '"&amp;SUBSTITUTE(SUBSTITUTE(AM165, CHAR(13), ""),CHAR(10),"\n"), "")&amp;"', textEn: '"&amp;SUBSTITUTE(SUBSTITUTE(SUBSTITUTE(AM165, CHAR(13), ""),CHAR(10),"\n"),"'","\'")&amp;IF(AN165&lt;&gt;"", "', textEnAdditional: '"&amp;SUBSTITUTE(SUBSTITUTE(AN165, CHAR(13), ""),CHAR(10),"\n"), "")&amp;"'"&amp;IF(AB165="○",", sealable: true","")&amp;IF(AC165="○",", removable: true","")&amp;IF(AA165="○",", lie: true","")&amp;IF(AD165="○",", investable: true","")&amp;"},")</x:f>
        <x:v>'10-kururu-A1-n-3': {megami: 'kururu', anotherID: 'A1', replace: '10-kururu-o-n-3', name: 'だうじんぐ', nameEn: 'Dowsing', nameZh: '探测', nameZhG164: '探测', nameKo: '다우징', ruby: '', rubyEn: '', rubyZh: 'Dowsing', baseType: 'normal', type: 'action', text: '相手の山札の上から1枚を捨て札にする。その後、相手の捨て札を1枚選ぶ。\n機巧（攻XY）：選んだカードを使用する。Xは選んだカードタイプに、Yはサブタイプに等しい。', textZh: '弃置对手的牌库顶牌。然后从对手的弃牌区中选择1张牌。\n----\n&lt;攻ⓍⓎ&gt; 使用所选择的牌。Ⓧ为所选择的牌的主类别，Ⓨ为所选择的牌的副类别。', textZhG164: '弃置对手的牌库顶牌。然后从对手的弃牌区中选择1张牌。\n机巧：X红Y～使用所选择的牌。X为所选择的牌的主类别，Y为所选择的牌的副类别。', textZhG164Additional: '상대의 패산 위에서 1장을 버림패로 한다. 그 후에 상대 버림패를 1장 고른다.\n----\n&lt;X공Y&gt;고른 카드를 사용한다. X는 고른 카드의 카드 타입에 해당되고 Y는 서브 타입에 해당된다.', textKo: 'Put the top card of your opponent\'s deck into their played pile, then choose a card in their played pile.\n\n----------\n\nMechanism (X ATK Y) - Play the chosen card. X is that card\'s type. Y is that card\'s subtype.', textKoAdditional: 'Put the top card of your opponent's deck into their played pile, then choose a card in their played pile.\n\n----------\n\nMechanism (X ATK Y) - Play the chosen card. X is that card's type. Y is that card's subtype.', textEn: 'Put the top card of your opponent\'s deck into their played pile, then choose a card in their played pile.\n\n----------\n\nMechanism (X ATK Y) - Play the chosen card. X is that card\'s type. Y is that card\'s subtype.'},</x:v>
      </x:c>
      <x:c r="AU165" t="str">
        <x:f>IF($A165&lt;&gt;"", "    /** 《"&amp;$E165&amp;"》 */ export const "&amp;SUBSTITUTE(UPPER(IF(MID($A165, 3, 1)="-", RIGHT($A165,LEN($A165)-3), $A165)), "-", "_")&amp;": TCardId = '"&amp;$A165&amp;"';", "")</x:f>
        <x:v>    /** 《だうじんぐ》 */ export const KURURU_A1_N_3: TCardId = '10-kururu-A1-n-3';</x:v>
      </x:c>
      <x:c r="AV165" t="str">
        <x:f>IF($A166&lt;&gt;"", "    | '"&amp;$A166&amp;"'", "")</x:f>
        <x:v>    | '10-kururu-A1-s-3'</x:v>
      </x:c>
    </x:row>
    <x:row r="166" ht="180" customHeight="1">
      <x:c r="A166" t="str">
        <x:v>10-kururu-A1-s-3</x:v>
      </x:c>
      <x:c r="B166" t="str">
        <x:v>kururu</x:v>
      </x:c>
      <x:c r="C166" t="str">
        <x:v>A1</x:v>
      </x:c>
      <x:c r="D166" t="str">
        <x:v>10-kururu-o-s-3</x:v>
      </x:c>
      <x:c r="E166" t="str">
        <x:v>らすとりさーち</x:v>
      </x:c>
      <x:c r="F166"/>
      <x:c r="G166" t="str">
        <x:v>终极探索</x:v>
      </x:c>
      <x:c r="H166" t="str">
        <x:v>不懈探索</x:v>
      </x:c>
      <x:c r="I166" t="str">
        <x:v>Last Research</x:v>
      </x:c>
      <x:c r="J166" t="str">
        <x:v>라스트 리서치</x:v>
      </x:c>
      <x:c r="K166" t="str">
        <x:v>Last Research</x:v>
      </x:c>
      <x:c r="L166"/>
      <x:c r="M166" t="str">
        <x:v>切札</x:v>
      </x:c>
      <x:c r="N166"/>
      <x:c r="O166"/>
      <x:c r="P166"/>
      <x:c r="Q166"/>
      <x:c r="R166" t="str">
        <x:v>行動</x:v>
      </x:c>
      <x:c r="S166"/>
      <x:c r="T166"/>
      <x:c r="U166"/>
      <x:c r="V166"/>
      <x:c r="W166"/>
      <x:c r="X166"/>
      <x:c r="Y166"/>
      <x:c r="Z166" t="n">
        <x:v>2</x:v>
      </x:c>
      <x:c r="AA166"/>
      <x:c r="AB166"/>
      <x:c r="AC166"/>
      <x:c r="AD166"/>
      <x:c r="AE166" s="438" t="str">
        <x:v>機巧（攻）：相手の伏せ札が0枚ならば相手の山札の上から1枚を伏せ札にする。相手は伏せ札から1枚を選ぶ。あなたはカード名を1つ宣言し、相手は選んだカードを捨て札にする。そのカード名が一致したらこのカードの上にゲーム外から桜花結晶を1つ置く。2つになったら世紀の大発見を行う。
【使用済】あなたが山札を再構成した時ならびに、《全力》カードを使用した時、このターンの終了フェイズにこのカードをコストを支払ずに使用してもよい。</x:v>
      </x:c>
      <x:c r="AF166" s="438" t="str">
        <x:v>「世紀の大発見」- 相手の切札を全て見る。その後、あなたか対戦相手のどちらかを選び、そのプレイヤーが宿しているメガミの切札の内、眼前構築で選ばれていない切札5枚をゲーム外から未使用状態で得る。 さらに、使用したあなたの「らすとりさーち」を取り除き、追加札領域にある「ぐらんがりばー」を未使用状態で得る。
（条件を満たした状態で、このカードを右クリックすることにより発動可能）</x:v>
      </x:c>
      <x:c r="AG166" s="499" t="str">
        <x:v>----
&lt;攻&gt; 若对手盖牌为0张则盖伏对手牌库顶1张牌。对手选择其盖牌区中的1张牌。你宣言1个牌名，并弃置所选择的牌。若你宣言的牌名与所选择牌的牌名一致，则从游戏外将1个樱花结晶移至此牌上。达到2个后，进行世纪的大发现。
----
【已使用】你重铸牌库时或者使用《全力》牌时，那个回合的结束阶段可以免费使用此牌。</x:v>
      </x:c>
      <x:c r="AH166" s="499" t="str">
        <x:v>「世纪的大发现」～查看对手的所有王牌。这之后选择你或者对手，将所选玩家寄宿的女神的王牌中在眼前构筑时没有被选上的5张，从游戏外以未使用的状态获得。再将『终极探索』移出游戏并从追加牌区以未使用的状态获得王牌『壮绝旅途』。</x:v>
      </x:c>
      <x:c r="AI166" s="438"/>
      <x:c r="AJ166" s="438"/>
      <x:c r="AK166" s="499" t="str">
        <x:v>----
&lt;공&gt; 상대의 덮은패가 0장이라면 상대의 패산 위에서 1장 덮은패로 보낸다. 상대는 덮음패에서 카드를 1장 선택한다. 당신은 카드 이름을 1개 선언하고, 상대는 선택한 카드를 버림패로 만든다. 그 카드의 이름이 일치했다면, 게임 바깥에서 벚꽃결정을 1개 가져와 이 카드 위에 놓는다. 벚꽃결정이 2개가 되었다면, 세기의 대발견을 수행한다.
----
【사용됨】 당신이 패산을 재구성했거나 《전력》 카드를 사용했을 때, 그 턴의 종료 페이즈에 이 카드를 소모값을 지불하지 않고 사용해도 된다.</x:v>
      </x:c>
      <x:c r="AL166" s="438"/>
      <x:c r="AM166" s="499" t="str">
        <x:v>Mechanism (ATK) - If your opponent's discard pile has 0 cards in it, put 1 card from the top of your opponent's deck into their discard. Your opponent chooses a card in their discard pile, then you declare a card name. Put your opponent's chosen card into their played pile. If the name matched, move 1 Sakura token from Out-of-Game to this card. If there are 2 Sakura tokens on this card, you make the Discovery of the Century.
----------
Devoted: When you reshuffle your deck or play a Throughout card, at the end of this turn you may play this card ignoring any costs. (This effect can stack for multiple uses)</x:v>
      </x:c>
      <x:c r="AN166" s="438"/>
      <x:c r="AO166" s="438"/>
      <x:c r="AP166" s="438"/>
      <x:c r="AQ166" s="438"/>
      <x:c r="AR166" s="438"/>
      <x:c r="AS166" s="438"/>
      <x:c r="AT166" t="str">
        <x:f>IF(A166="", "","'"&amp;A166&amp;"': {megami: '"&amp;B166&amp;"'"&amp;IF(C166&lt;&gt;"",", anotherID: '"&amp;C166&amp;"', replace: '"&amp;D166&amp;"'","")&amp;", name: '"&amp;SUBSTITUTE(E166,"'","\'")&amp;"', nameEn: '"&amp;SUBSTITUTE(K166,"'","\'")&amp;"', nameZh: '"&amp;SUBSTITUTE(G166,"'","\'")&amp;"', nameZhG165: '"&amp;SUBSTITUTE(H166,"'","\'")&amp;"', nameKo: '"&amp;SUBSTITUTE(J166,"'","\'")&amp;"', ruby: '"&amp;F166&amp;"', rubyEn: '"&amp;L166&amp;IF(I166&lt;&gt;"", "', rubyZh: '"&amp;I166, "")&amp;"', baseType: '"&amp;IF(M166="通常札","normal",IF(M166="切札","special",IF(M166="追加札","extra",IF(M166="transform","transform",IF(M166="嵐","storm",IF(M166="兵員","troop",IF(M166="構想","plan",IF(M166="メインパーツ","mainParts",IF(M166="カスタムパーツ","customParts",IF(M166="運命","fate",IF(M166="仮想樹","virtualTree","")))))))))))&amp;"'"&amp;IF(N166="○",", extra: true","")&amp;IF(O166&lt;&gt;"",", extraFrom: '"&amp;O166&amp;"'","")&amp;IF(P166&lt;&gt;"",", exchangableTo: '"&amp;P166&amp;"'","")&amp;IF(Q166="○",", poison: true","")&amp;IF(R166&lt;&gt;"", ", type: '"&amp;IF(R166="攻撃","attack",IF(R166="行動","action",IF(R166="不定","variable",IF(R166="対応","reaction",IF(R166="全力","fullpower",IF(R166="付与","enhance",IF(R166="transform","transform","")))))))&amp;"'", "")&amp;IF(S166&lt;&gt;"",", subType: '"&amp;IF(S166="攻撃","attack",IF(S166="行動","action",IF(S166="不定","variable",IF(S166="対応","reaction",IF(S166="全力","fullpower",IF(S166="付与","enhance",IF(S166="transform","transform","")))))))&amp;"'","")&amp;""&amp;IF(T166&lt;&gt;"",", range: '"&amp;T166&amp;"'","")&amp;IF(V166&lt;&gt;"",", damage: '"&amp;V166&amp;"'","")&amp;IF(X166&lt;&gt;"",", capacity: '"&amp;X166&amp;"'","")&amp;IF(Y166&lt;&gt;"",", growth: "&amp;Y166&amp;"","")&amp;IF(Z166&lt;&gt;"",", cost: '"&amp;Z166&amp;"'","")&amp;", text: '"&amp;SUBSTITUTE(SUBSTITUTE(AE166, CHAR(13), ""),CHAR(10),"\n")&amp;IF(AF166&lt;&gt;"", "', textAdditional: '"&amp;SUBSTITUTE(SUBSTITUTE(AF166, CHAR(13), ""),CHAR(10),"\n"), "")&amp;"', textZh: '"&amp;SUBSTITUTE(SUBSTITUTE(SUBSTITUTE(AG166, CHAR(13), ""),CHAR(10),"\n"),"'","\'")&amp;"', textZhG165: '"&amp;SUBSTITUTE(SUBSTITUTE(SUBSTITUTE(AI166, CHAR(13), ""),CHAR(10),"\n"),"'","\'")&amp;IF(AH166&lt;&gt;"", "', textZhAdditional: '"&amp;SUBSTITUTE(SUBSTITUTE(AH166, CHAR(13), ""),CHAR(10),"\n"), "")&amp;IF(AK166&lt;&gt;"", "', textZhG165Additional: '"&amp;SUBSTITUTE(SUBSTITUTE(AK166, CHAR(13), ""),CHAR(10),"\n"), "")&amp;"', textKo: '"&amp;SUBSTITUTE(SUBSTITUTE(SUBSTITUTE(AM166, CHAR(13), ""),CHAR(10),"\n"),"'","\'")&amp;IF(AM166&lt;&gt;"", "', textKoAdditional: '"&amp;SUBSTITUTE(SUBSTITUTE(AM166, CHAR(13), ""),CHAR(10),"\n"), "")&amp;"', textEn: '"&amp;SUBSTITUTE(SUBSTITUTE(SUBSTITUTE(AM166, CHAR(13), ""),CHAR(10),"\n"),"'","\'")&amp;IF(AN166&lt;&gt;"", "', textEnAdditional: '"&amp;SUBSTITUTE(SUBSTITUTE(AN166, CHAR(13), ""),CHAR(10),"\n"), "")&amp;"'"&amp;IF(AB166="○",", sealable: true","")&amp;IF(AC166="○",", removable: true","")&amp;IF(AA166="○",", lie: true","")&amp;IF(AD166="○",", investable: true","")&amp;"},")</x:f>
        <x:v>'10-kururu-A1-s-3': {megami: 'kururu', anotherID: 'A1', replace: '10-kururu-o-s-3', name: 'らすとりさーち', nameEn: 'Last Research', nameZh: '终极探索', nameZhG165: '不懈探索', nameKo: '라스트 리서치', ruby: '', rubyEn: '', rubyZh: 'Last Research', baseType: 'special', type: 'action', cost: '2', text: '機巧（攻）：相手の伏せ札が0枚ならば相手の山札の上から1枚を伏せ札にする。相手は伏せ札から1枚を選ぶ。あなたはカード名を1つ宣言し、相手は選んだカードを捨て札にする。そのカード名が一致したらこのカードの上にゲーム外から桜花結晶を1つ置く。2つになったら世紀の大発見を行う。\n【使用済】あなたが山札を再構成した時ならびに、《全力》カードを使用した時、このターンの終了フェイズにこのカードをコストを支払ずに使用してもよい。', textAdditional: '「世紀の大発見」- 相手の切札を全て見る。その後、あなたか対戦相手のどちらかを選び、そのプレイヤーが宿しているメガミの切札の内、眼前構築で選ばれていない切札5枚をゲーム外から未使用状態で得る。 さらに、使用したあなたの「らすとりさーち」を取り除き、追加札領域にある「ぐらんがりばー」を未使用状態で得る。\n（条件を満たした状態で、このカードを右クリックすることにより発動可能）', textZh: '----\n&lt;攻&gt; 若对手盖牌为0张则盖伏对手牌库顶1张牌。对手选择其盖牌区中的1张牌。你宣言1个牌名，并弃置所选择的牌。若你宣言的牌名与所选择牌的牌名一致，则从游戏外将1个樱花结晶移至此牌上。达到2个后，进行世纪的大发现。\n----\n【已使用】你重铸牌库时或者使用《全力》牌时，那个回合的结束阶段可以免费使用此牌。', textZhG165: '', textZhAdditional: '「世纪的大发现」～查看对手的所有王牌。这之后选择你或者对手，将所选玩家寄宿的女神的王牌中在眼前构筑时没有被选上的5张，从游戏外以未使用的状态获得。再将『终极探索』移出游戏并从追加牌区以未使用的状态获得王牌『壮绝旅途』。', textZhG165Additional: '----\n&lt;공&gt; 상대의 덮은패가 0장이라면 상대의 패산 위에서 1장 덮은패로 보낸다. 상대는 덮음패에서 카드를 1장 선택한다. 당신은 카드 이름을 1개 선언하고, 상대는 선택한 카드를 버림패로 만든다. 그 카드의 이름이 일치했다면, 게임 바깥에서 벚꽃결정을 1개 가져와 이 카드 위에 놓는다. 벚꽃결정이 2개가 되었다면, 세기의 대발견을 수행한다.\n----\n【사용됨】 당신이 패산을 재구성했거나 《전력》 카드를 사용했을 때, 그 턴의 종료 페이즈에 이 카드를 소모값을 지불하지 않고 사용해도 된다.', textKo: 'Mechanism (ATK) - If your opponent\'s discard pile has 0 cards in it, put 1 card from the top of your opponent\'s deck into their discard. Your opponent chooses a card in their discard pile, then you declare a card name. Put your opponent\'s chosen card into their played pile. If the name matched, move 1 Sakura token from Out-of-Game to this card. If there are 2 Sakura tokens on this card, you make the Discovery of the Century.\n\n----------\n\nDevoted: When you reshuffle your deck or play a Throughout card, at the end of this turn you may play this card ignoring any costs. (This effect can stack for multiple uses)', textKoAdditional: 'Mechanism (ATK) - If your opponent's discard pile has 0 cards in it, put 1 card from the top of your opponent's deck into their discard. Your opponent chooses a card in their discard pile, then you declare a card name. Put your opponent's chosen card into their played pile. If the name matched, move 1 Sakura token from Out-of-Game to this card. If there are 2 Sakura tokens on this card, you make the Discovery of the Century.\n\n----------\n\nDevoted: When you reshuffle your deck or play a Throughout card, at the end of this turn you may play this card ignoring any costs. (This effect can stack for multiple uses)', textEn: 'Mechanism (ATK) - If your opponent\'s discard pile has 0 cards in it, put 1 card from the top of your opponent\'s deck into their discard. Your opponent chooses a card in their discard pile, then you declare a card name. Put your opponent\'s chosen card into their played pile. If the name matched, move 1 Sakura token from Out-of-Game to this card. If there are 2 Sakura tokens on this card, you make the Discovery of the Century.\n\n----------\n\nDevoted: When you reshuffle your deck or play a Throughout card, at the end of this turn you may play this card ignoring any costs. (This effect can stack for multiple uses)'},</x:v>
      </x:c>
      <x:c r="AU166" t="str">
        <x:f>IF($A166&lt;&gt;"", "    /** 《"&amp;$E166&amp;"》 */ export const "&amp;SUBSTITUTE(UPPER(IF(MID($A166, 3, 1)="-", RIGHT($A166,LEN($A166)-3), $A166)), "-", "_")&amp;": TCardId = '"&amp;$A166&amp;"';", "")</x:f>
        <x:v>    /** 《らすとりさーち》 */ export const KURURU_A1_S_3: TCardId = '10-kururu-A1-s-3';</x:v>
      </x:c>
      <x:c r="AV166" t="str">
        <x:f>IF($A167&lt;&gt;"", "    | '"&amp;$A167&amp;"'", "")</x:f>
        <x:v>    | '10-kururu-A1-s-3-ex1'</x:v>
      </x:c>
    </x:row>
    <x:row r="167" ht="68" customHeight="1">
      <x:c r="A167" t="str">
        <x:v>10-kururu-A1-s-3-ex1</x:v>
      </x:c>
      <x:c r="B167" t="str">
        <x:v>kururu</x:v>
      </x:c>
      <x:c r="C167" t="str">
        <x:v>A1</x:v>
      </x:c>
      <x:c r="D167"/>
      <x:c r="E167" t="str">
        <x:v>ぐらんがりばー</x:v>
      </x:c>
      <x:c r="F167"/>
      <x:c r="G167" t="str">
        <x:v>壮绝旅途</x:v>
      </x:c>
      <x:c r="H167" t="str">
        <x:v>壮绝旅途</x:v>
      </x:c>
      <x:c r="I167" t="str">
        <x:v>Grand Gulliver</x:v>
      </x:c>
      <x:c r="J167" t="str">
        <x:v>그랑 걸리버~</x:v>
      </x:c>
      <x:c r="K167" t="str">
        <x:v> Grand Gulliver</x:v>
      </x:c>
      <x:c r="L167"/>
      <x:c r="M167" t="str">
        <x:v>切札</x:v>
      </x:c>
      <x:c r="N167" t="str">
        <x:v>○</x:v>
      </x:c>
      <x:c r="O167" t="str">
        <x:v>10-kururu-A1-s-3</x:v>
      </x:c>
      <x:c r="P167"/>
      <x:c r="Q167"/>
      <x:c r="R167" t="str">
        <x:v>行動</x:v>
      </x:c>
      <x:c r="S167"/>
      <x:c r="T167"/>
      <x:c r="U167"/>
      <x:c r="V167"/>
      <x:c r="W167"/>
      <x:c r="X167"/>
      <x:c r="Y167"/>
      <x:c r="Z167" t="str">
        <x:v>X</x:v>
      </x:c>
      <x:c r="AA167"/>
      <x:c r="AB167"/>
      <x:c r="AC167"/>
      <x:c r="AD167"/>
      <x:c r="AE167" s="438" t="str">
        <x:v>【常時】Xはあなたのフレアに等しい。
【使用済】あなたの切札の消費は0となる。</x:v>
      </x:c>
      <x:c r="AF167" s="438"/>
      <x:c r="AG167" s="499" t="str">
        <x:v>【常时】X等于自气中樱花结晶的数目。
【已使用】你的王牌的费用变为0。</x:v>
      </x:c>
      <x:c r="AH167" s="438"/>
      <x:c r="AI167" s="499" t="str">
        <x:v>【常时】X等于自气中樱花结晶的数目。
【已使用】你的王牌的费用变为0。</x:v>
      </x:c>
      <x:c r="AJ167" s="438"/>
      <x:c r="AK167" s="499" t="str">
        <x:v>【상시】X는 당신의 플레어에 해당된다.
【사용됨】당신의 비장패의 코스트는 0이 된다.</x:v>
      </x:c>
      <x:c r="AL167" s="438"/>
      <x:c r="AM167" s="499" t="str">
        <x:v>Forced: X is the number of Sakura tokens on your Flare.
Devoted: The Flare Costs of your Special cards become 0.</x:v>
      </x:c>
      <x:c r="AN167" s="438"/>
      <x:c r="AO167" s="438"/>
      <x:c r="AP167" s="438"/>
      <x:c r="AQ167" s="438"/>
      <x:c r="AR167" s="438"/>
      <x:c r="AS167" s="438"/>
      <x:c r="AT167" t="str">
        <x:f>IF(A167="", "","'"&amp;A167&amp;"': {megami: '"&amp;B167&amp;"'"&amp;IF(C167&lt;&gt;"",", anotherID: '"&amp;C167&amp;"', replace: '"&amp;D167&amp;"'","")&amp;", name: '"&amp;SUBSTITUTE(E167,"'","\'")&amp;"', nameEn: '"&amp;SUBSTITUTE(K167,"'","\'")&amp;"', nameZh: '"&amp;SUBSTITUTE(G167,"'","\'")&amp;"', nameZhG166: '"&amp;SUBSTITUTE(H167,"'","\'")&amp;"', nameKo: '"&amp;SUBSTITUTE(J167,"'","\'")&amp;"', ruby: '"&amp;F167&amp;"', rubyEn: '"&amp;L167&amp;IF(I167&lt;&gt;"", "', rubyZh: '"&amp;I167, "")&amp;"', baseType: '"&amp;IF(M167="通常札","normal",IF(M167="切札","special",IF(M167="追加札","extra",IF(M167="transform","transform",IF(M167="嵐","storm",IF(M167="兵員","troop",IF(M167="構想","plan",IF(M167="メインパーツ","mainParts",IF(M167="カスタムパーツ","customParts",IF(M167="運命","fate",IF(M167="仮想樹","virtualTree","")))))))))))&amp;"'"&amp;IF(N167="○",", extra: true","")&amp;IF(O167&lt;&gt;"",", extraFrom: '"&amp;O167&amp;"'","")&amp;IF(P167&lt;&gt;"",", exchangableTo: '"&amp;P167&amp;"'","")&amp;IF(Q167="○",", poison: true","")&amp;IF(R167&lt;&gt;"", ", type: '"&amp;IF(R167="攻撃","attack",IF(R167="行動","action",IF(R167="不定","variable",IF(R167="対応","reaction",IF(R167="全力","fullpower",IF(R167="付与","enhance",IF(R167="transform","transform","")))))))&amp;"'", "")&amp;IF(S167&lt;&gt;"",", subType: '"&amp;IF(S167="攻撃","attack",IF(S167="行動","action",IF(S167="不定","variable",IF(S167="対応","reaction",IF(S167="全力","fullpower",IF(S167="付与","enhance",IF(S167="transform","transform","")))))))&amp;"'","")&amp;""&amp;IF(T167&lt;&gt;"",", range: '"&amp;T167&amp;"'","")&amp;IF(V167&lt;&gt;"",", damage: '"&amp;V167&amp;"'","")&amp;IF(X167&lt;&gt;"",", capacity: '"&amp;X167&amp;"'","")&amp;IF(Y167&lt;&gt;"",", growth: "&amp;Y167&amp;"","")&amp;IF(Z167&lt;&gt;"",", cost: '"&amp;Z167&amp;"'","")&amp;", text: '"&amp;SUBSTITUTE(SUBSTITUTE(AE167, CHAR(13), ""),CHAR(10),"\n")&amp;IF(AF167&lt;&gt;"", "', textAdditional: '"&amp;SUBSTITUTE(SUBSTITUTE(AF167, CHAR(13), ""),CHAR(10),"\n"), "")&amp;"', textZh: '"&amp;SUBSTITUTE(SUBSTITUTE(SUBSTITUTE(AG167, CHAR(13), ""),CHAR(10),"\n"),"'","\'")&amp;"', textZhG166: '"&amp;SUBSTITUTE(SUBSTITUTE(SUBSTITUTE(AI167, CHAR(13), ""),CHAR(10),"\n"),"'","\'")&amp;IF(AH167&lt;&gt;"", "', textZhAdditional: '"&amp;SUBSTITUTE(SUBSTITUTE(AH167, CHAR(13), ""),CHAR(10),"\n"), "")&amp;IF(AK167&lt;&gt;"", "', textZhG166Additional: '"&amp;SUBSTITUTE(SUBSTITUTE(AK167, CHAR(13), ""),CHAR(10),"\n"), "")&amp;"', textKo: '"&amp;SUBSTITUTE(SUBSTITUTE(SUBSTITUTE(AM167, CHAR(13), ""),CHAR(10),"\n"),"'","\'")&amp;IF(AM167&lt;&gt;"", "', textKoAdditional: '"&amp;SUBSTITUTE(SUBSTITUTE(AM167, CHAR(13), ""),CHAR(10),"\n"), "")&amp;"', textEn: '"&amp;SUBSTITUTE(SUBSTITUTE(SUBSTITUTE(AM167, CHAR(13), ""),CHAR(10),"\n"),"'","\'")&amp;IF(AN167&lt;&gt;"", "', textEnAdditional: '"&amp;SUBSTITUTE(SUBSTITUTE(AN167, CHAR(13), ""),CHAR(10),"\n"), "")&amp;"'"&amp;IF(AB167="○",", sealable: true","")&amp;IF(AC167="○",", removable: true","")&amp;IF(AA167="○",", lie: true","")&amp;IF(AD167="○",", investable: true","")&amp;"},")</x:f>
        <x:v>'10-kururu-A1-s-3-ex1': {megami: 'kururu', anotherID: 'A1', replace: '', name: 'ぐらんがりばー', nameEn: ' Grand Gulliver', nameZh: '壮绝旅途', nameZhG166: '壮绝旅途', nameKo: '그랑 걸리버~', ruby: '', rubyEn: '', rubyZh: 'Grand Gulliver', baseType: 'special', extra: true, extraFrom: '10-kururu-A1-s-3', type: 'action', cost: 'X', text: '【常時】Xはあなたのフレアに等しい。\n【使用済】あなたの切札の消費は0となる。', textZh: '【常时】X等于自气中樱花结晶的数目。\n【已使用】你的王牌的费用变为0。', textZhG166: '【常时】X等于自气中樱花结晶的数目。\n【已使用】你的王牌的费用变为0。', textZhG166Additional: '【상시】X는 당신의 플레어에 해당된다.\n【사용됨】당신의 비장패의 코스트는 0이 된다.', textKo: 'Forced: X is the number of Sakura tokens on your Flare.\n\nDevoted: The Flare Costs of your Special cards become 0.', textKoAdditional: 'Forced: X is the number of Sakura tokens on your Flare.\n\nDevoted: The Flare Costs of your Special cards become 0.', textEn: 'Forced: X is the number of Sakura tokens on your Flare.\n\nDevoted: The Flare Costs of your Special cards become 0.'},</x:v>
      </x:c>
      <x:c r="AU167" t="str">
        <x:f>IF($A167&lt;&gt;"", "    /** 《"&amp;$E167&amp;"》 */ export const "&amp;SUBSTITUTE(UPPER(IF(MID($A167, 3, 1)="-", RIGHT($A167,LEN($A167)-3), $A167)), "-", "_")&amp;": TCardId = '"&amp;$A167&amp;"';", "")</x:f>
        <x:v>    /** 《ぐらんがりばー》 */ export const KURURU_A1_S_3_EX1: TCardId = '10-kururu-A1-s-3-ex1';</x:v>
      </x:c>
      <x:c r="AV167" t="str">
        <x:f>IF($A168&lt;&gt;"", "    | '"&amp;$A168&amp;"'", "")</x:f>
        <x:v>    | '10-kururu-A2-n-5'</x:v>
      </x:c>
    </x:row>
    <x:row r="168" ht="143" customHeight="1">
      <x:c r="A168" t="str">
        <x:v>10-kururu-A2-n-5</x:v>
      </x:c>
      <x:c r="B168" t="str">
        <x:v>kururu</x:v>
      </x:c>
      <x:c r="C168" t="str">
        <x:v>A2</x:v>
      </x:c>
      <x:c r="D168" t="str">
        <x:v>10-kururu-o-n-5</x:v>
      </x:c>
      <x:c r="E168" t="str">
        <x:v>ぶらすたー</x:v>
      </x:c>
      <x:c r="F168"/>
      <x:c r="G168" t="str">
        <x:v>冲击波</x:v>
      </x:c>
      <x:c r="H168" t="str">
        <x:v>激光枪</x:v>
      </x:c>
      <x:c r="I168" t="str">
        <x:v>Blaster</x:v>
      </x:c>
      <x:c r="J168" t="str">
        <x:v>블래스터~</x:v>
      </x:c>
      <x:c r="K168" t="str">
        <x:v>Blaster</x:v>
      </x:c>
      <x:c r="L168"/>
      <x:c r="M168" t="str">
        <x:v>通常札</x:v>
      </x:c>
      <x:c r="N168"/>
      <x:c r="O168"/>
      <x:c r="P168"/>
      <x:c r="Q168"/>
      <x:c r="R168" t="str">
        <x:v>攻撃</x:v>
      </x:c>
      <x:c r="S168"/>
      <x:c r="T168" t="str">
        <x:v>2-6</x:v>
      </x:c>
      <x:c r="U168"/>
      <x:c r="V168" t="str">
        <x:v>0/0</x:v>
      </x:c>
      <x:c r="W168"/>
      <x:c r="X168"/>
      <x:c r="Y168"/>
      <x:c r="Z168"/>
      <x:c r="AA168"/>
      <x:c r="AB168"/>
      <x:c r="AC168"/>
      <x:c r="AD168"/>
      <x:c r="AE168" s="438" t="str">
        <x:v>対応不可（通常札）
機巧（付）: 【攻撃後】他のメガミのカードで組み立てたならば、攻撃『適正距離 0-6、1/1』を行う。
機巧（対）: 【攻撃後】他のメガミのカードで組み立てたならば、攻撃『適正距離 0-6、1/1』を行う。</x:v>
      </x:c>
      <x:c r="AF168" s="438"/>
      <x:c r="AG168" s="499" t="str">
        <x:v>不可被对应（通常牌）
----
&lt;付&gt; 【攻击后】如果是用其他女神的牌组装的机巧槽，则进行一次“攻击距离0-6、伤害1/1”的攻击。
----
&lt;行对&gt; 【攻击后】如果是用其他女神的牌组装的机巧槽，则进行一次“攻击距离0-6、伤害1/1”的攻击。</x:v>
      </x:c>
      <x:c r="AH168" s="438"/>
      <x:c r="AI168" s="499" t="str">
        <x:v>不可被对应（通常牌）
机巧：绿～【攻击后】若此机巧全部由其他女神的牌组装，则进行一次“攻击距离0-6 伤害1/1”的攻击。
机巧：蓝紫～【攻击后】若此机巧全部由其他女神的牌组装，则进行一次“攻击距离0-6 伤害1/1”的攻击。</x:v>
      </x:c>
      <x:c r="AJ168" s="438"/>
      <x:c r="AK168" s="499" t="str">
        <x:v>대응불가(통상패)
----
&lt;부&gt; 【공격후】 다른 여신에 의해 기교가 완성됐다면,
공격 『적정거리0-6、1/1』을 수행한다.
----
&lt;행대&gt; 【공격후】 다른 여신에 의해 기교가 완성됐다면,
공격 『적정거리0-6、1/1』을 수행한다.</x:v>
      </x:c>
      <x:c r="AL168" s="438"/>
      <x:c r="AM168" s="499" t="str">
        <x:v>No Reactions (Normal)
----
Mechanism (ENH) - After Attack: If this was completed using only non-Kururu Megami cards, you attack with "Range: 0-6, Damage: 1/1."
----
Mechanism (ACT REA) - After Attack: If this was completed using only non-Kururu Megami cards, you attack with "Range: 0-6, Damage: 1/1."</x:v>
      </x:c>
      <x:c r="AN168" s="438"/>
      <x:c r="AO168" s="438"/>
      <x:c r="AP168" s="438"/>
      <x:c r="AQ168" s="438"/>
      <x:c r="AR168" s="438"/>
      <x:c r="AS168" s="438"/>
      <x:c r="AT168" t="str">
        <x:f>IF(A168="", "","'"&amp;A168&amp;"': {megami: '"&amp;B168&amp;"'"&amp;IF(C168&lt;&gt;"",", anotherID: '"&amp;C168&amp;"', replace: '"&amp;D168&amp;"'","")&amp;", name: '"&amp;SUBSTITUTE(E168,"'","\'")&amp;"', nameEn: '"&amp;SUBSTITUTE(K168,"'","\'")&amp;"', nameZh: '"&amp;SUBSTITUTE(G168,"'","\'")&amp;"', nameZhG167: '"&amp;SUBSTITUTE(H168,"'","\'")&amp;"', nameKo: '"&amp;SUBSTITUTE(J168,"'","\'")&amp;"', ruby: '"&amp;F168&amp;"', rubyEn: '"&amp;L168&amp;IF(I168&lt;&gt;"", "', rubyZh: '"&amp;I168, "")&amp;"', baseType: '"&amp;IF(M168="通常札","normal",IF(M168="切札","special",IF(M168="追加札","extra",IF(M168="transform","transform",IF(M168="嵐","storm",IF(M168="兵員","troop",IF(M168="構想","plan",IF(M168="メインパーツ","mainParts",IF(M168="カスタムパーツ","customParts",IF(M168="運命","fate",IF(M168="仮想樹","virtualTree","")))))))))))&amp;"'"&amp;IF(N168="○",", extra: true","")&amp;IF(O168&lt;&gt;"",", extraFrom: '"&amp;O168&amp;"'","")&amp;IF(P168&lt;&gt;"",", exchangableTo: '"&amp;P168&amp;"'","")&amp;IF(Q168="○",", poison: true","")&amp;IF(R168&lt;&gt;"", ", type: '"&amp;IF(R168="攻撃","attack",IF(R168="行動","action",IF(R168="不定","variable",IF(R168="対応","reaction",IF(R168="全力","fullpower",IF(R168="付与","enhance",IF(R168="transform","transform","")))))))&amp;"'", "")&amp;IF(S168&lt;&gt;"",", subType: '"&amp;IF(S168="攻撃","attack",IF(S168="行動","action",IF(S168="不定","variable",IF(S168="対応","reaction",IF(S168="全力","fullpower",IF(S168="付与","enhance",IF(S168="transform","transform","")))))))&amp;"'","")&amp;""&amp;IF(T168&lt;&gt;"",", range: '"&amp;T168&amp;"'","")&amp;IF(V168&lt;&gt;"",", damage: '"&amp;V168&amp;"'","")&amp;IF(X168&lt;&gt;"",", capacity: '"&amp;X168&amp;"'","")&amp;IF(Y168&lt;&gt;"",", growth: "&amp;Y168&amp;"","")&amp;IF(Z168&lt;&gt;"",", cost: '"&amp;Z168&amp;"'","")&amp;", text: '"&amp;SUBSTITUTE(SUBSTITUTE(AE168, CHAR(13), ""),CHAR(10),"\n")&amp;IF(AF168&lt;&gt;"", "', textAdditional: '"&amp;SUBSTITUTE(SUBSTITUTE(AF168, CHAR(13), ""),CHAR(10),"\n"), "")&amp;"', textZh: '"&amp;SUBSTITUTE(SUBSTITUTE(SUBSTITUTE(AG168, CHAR(13), ""),CHAR(10),"\n"),"'","\'")&amp;"', textZhG167: '"&amp;SUBSTITUTE(SUBSTITUTE(SUBSTITUTE(AI168, CHAR(13), ""),CHAR(10),"\n"),"'","\'")&amp;IF(AH168&lt;&gt;"", "', textZhAdditional: '"&amp;SUBSTITUTE(SUBSTITUTE(AH168, CHAR(13), ""),CHAR(10),"\n"), "")&amp;IF(AK168&lt;&gt;"", "', textZhG167Additional: '"&amp;SUBSTITUTE(SUBSTITUTE(AK168, CHAR(13), ""),CHAR(10),"\n"), "")&amp;"', textKo: '"&amp;SUBSTITUTE(SUBSTITUTE(SUBSTITUTE(AM168, CHAR(13), ""),CHAR(10),"\n"),"'","\'")&amp;IF(AM168&lt;&gt;"", "', textKoAdditional: '"&amp;SUBSTITUTE(SUBSTITUTE(AM168, CHAR(13), ""),CHAR(10),"\n"), "")&amp;"', textEn: '"&amp;SUBSTITUTE(SUBSTITUTE(SUBSTITUTE(AM168, CHAR(13), ""),CHAR(10),"\n"),"'","\'")&amp;IF(AN168&lt;&gt;"", "', textEnAdditional: '"&amp;SUBSTITUTE(SUBSTITUTE(AN168, CHAR(13), ""),CHAR(10),"\n"), "")&amp;"'"&amp;IF(AB168="○",", sealable: true","")&amp;IF(AC168="○",", removable: true","")&amp;IF(AA168="○",", lie: true","")&amp;IF(AD168="○",", investable: true","")&amp;"},")</x:f>
        <x:v>'10-kururu-A2-n-5': {megami: 'kururu', anotherID: 'A2', replace: '10-kururu-o-n-5', name: 'ぶらすたー', nameEn: 'Blaster', nameZh: '冲击波', nameZhG167: '激光枪', nameKo: '블래스터~', ruby: '', rubyEn: '', rubyZh: 'Blaster', baseType: 'normal', type: 'attack', range: '2-6', damage: '0/0', text: '対応不可（通常札）\n機巧（付）: 【攻撃後】他のメガミのカードで組み立てたならば、攻撃『適正距離 0-6、1/1』を行う。\n機巧（対）: 【攻撃後】他のメガミのカードで組み立てたならば、攻撃『適正距離 0-6、1/1』を行う。', textZh: '不可被对应（通常牌）\n----\n&lt;付&gt; 【攻击后】如果是用其他女神的牌组装的机巧槽，则进行一次“攻击距离0-6、伤害1/1”的攻击。\n----\n&lt;行对&gt; 【攻击后】如果是用其他女神的牌组装的机巧槽，则进行一次“攻击距离0-6、伤害1/1”的攻击。', textZhG167: '不可被对应（通常牌）\n机巧：绿～【攻击后】若此机巧全部由其他女神的牌组装，则进行一次“攻击距离0-6 伤害1/1”的攻击。\n机巧：蓝紫～【攻击后】若此机巧全部由其他女神的牌组装，则进行一次“攻击距离0-6 伤害1/1”的攻击。', textZhG167Additional: '대응불가(통상패)\n----\n&lt;부&gt; 【공격후】 다른 여신에 의해 기교가 완성됐다면,\n공격 『적정거리0-6、1/1』을 수행한다.\n----\n&lt;행대&gt; 【공격후】 다른 여신에 의해 기교가 완성됐다면,\n공격 『적정거리0-6、1/1』을 수행한다.', textKo: 'No Reactions (Normal)\n----\nMechanism (ENH) - After Attack: If this was completed using only non-Kururu Megami cards, you attack with "Range: 0-6, Damage: 1/1."\n----\nMechanism (ACT REA) - After Attack: If this was completed using only non-Kururu Megami cards, you attack with "Range: 0-6, Damage: 1/1."', textKoAdditional: 'No Reactions (Normal)\n----\nMechanism (ENH) - After Attack: If this was completed using only non-Kururu Megami cards, you attack with "Range: 0-6, Damage: 1/1."\n----\nMechanism (ACT REA) - After Attack: If this was completed using only non-Kururu Megami cards, you attack with "Range: 0-6, Damage: 1/1."', textEn: 'No Reactions (Normal)\n----\nMechanism (ENH) - After Attack: If this was completed using only non-Kururu Megami cards, you attack with "Range: 0-6, Damage: 1/1."\n----\nMechanism (ACT REA) - After Attack: If this was completed using only non-Kururu Megami cards, you attack with "Range: 0-6, Damage: 1/1."'},</x:v>
      </x:c>
      <x:c r="AU168" t="str">
        <x:f>IF($A168&lt;&gt;"", "    /** 《"&amp;$E168&amp;"》 */ export const "&amp;SUBSTITUTE(UPPER(IF(MID($A168, 3, 1)="-", RIGHT($A168,LEN($A168)-3), $A168)), "-", "_")&amp;": TCardId = '"&amp;$A168&amp;"';", "")</x:f>
        <x:v>    /** 《ぶらすたー》 */ export const KURURU_A2_N_5: TCardId = '10-kururu-A2-n-5';</x:v>
      </x:c>
      <x:c r="AV168" t="str">
        <x:f>IF($A169&lt;&gt;"", "    | '"&amp;$A169&amp;"'", "")</x:f>
        <x:v>    | '10-kururu-A2-n-2'</x:v>
      </x:c>
    </x:row>
    <x:row r="169" ht="98" customHeight="1">
      <x:c r="A169" t="str">
        <x:v>10-kururu-A2-n-2</x:v>
      </x:c>
      <x:c r="B169" t="str">
        <x:v>kururu</x:v>
      </x:c>
      <x:c r="C169" t="str">
        <x:v>A2</x:v>
      </x:c>
      <x:c r="D169" t="str">
        <x:v>10-kururu-o-n-2</x:v>
      </x:c>
      <x:c r="E169" t="str">
        <x:v>れーるがん</x:v>
      </x:c>
      <x:c r="F169"/>
      <x:c r="G169" t="str">
        <x:v>电磁炮</x:v>
      </x:c>
      <x:c r="H169" t="str">
        <x:v>电磁炮</x:v>
      </x:c>
      <x:c r="I169" t="str">
        <x:v>Railgun</x:v>
      </x:c>
      <x:c r="J169" t="str">
        <x:v>레~일건</x:v>
      </x:c>
      <x:c r="K169" t="str">
        <x:v>Railgun</x:v>
      </x:c>
      <x:c r="L169"/>
      <x:c r="M169" t="str">
        <x:v>通常札</x:v>
      </x:c>
      <x:c r="N169"/>
      <x:c r="O169"/>
      <x:c r="P169"/>
      <x:c r="Q169"/>
      <x:c r="R169" t="str">
        <x:v>攻撃</x:v>
      </x:c>
      <x:c r="S169"/>
      <x:c r="T169" t="str">
        <x:v>2-6</x:v>
      </x:c>
      <x:c r="U169"/>
      <x:c r="V169" t="str">
        <x:v>1/2</x:v>
      </x:c>
      <x:c r="W169"/>
      <x:c r="X169"/>
      <x:c r="Y169"/>
      <x:c r="Z169"/>
      <x:c r="AA169"/>
      <x:c r="AB169"/>
      <x:c r="AC169"/>
      <x:c r="AD169"/>
      <x:c r="AE169" s="438" t="str">
        <x:v>機巧（攻攻）: 【常時】この《攻撃》が行われた時、この《攻撃》は+1/+0となる。
機巧（全）: 終端 【常時】この《攻撃》が行われた時、この《攻撃》は+1/+1となり、打ち消されない。</x:v>
      </x:c>
      <x:c r="AF169" s="438"/>
      <x:c r="AG169" s="499" t="str">
        <x:v>----
&lt;攻攻&gt; 【常时】进行此《攻击》时，此《攻击》得+2/+0。
----
&lt;全&gt; 终端
【常时】进行此《攻击》时，此《攻击》得+0/+1且不可被打消。</x:v>
      </x:c>
      <x:c r="AH169" s="438"/>
      <x:c r="AI169" s="499" t="str">
        <x:v>机巧：红红～【常时】进行此《攻击》时，此《攻击》获得+2/+0。
机巧：黄～终端
【常时】进行此《攻击》时，此《攻击》获得+0/+1和不可被打消。</x:v>
      </x:c>
      <x:c r="AJ169" s="438"/>
      <x:c r="AK169" s="499" t="str">
        <x:v>----
&lt;공공&gt; 【상시】 이 《공격》을 사용할 때, 이 《공격》은 +2/+0을 얻는다.
----
&lt;전&gt; 종단
【상시】 이 《공격》을 사용할 때,
이 《공격》은 +0/+1을 얻고, 무효화당하지 않는다.</x:v>
      </x:c>
      <x:c r="AL169" s="438"/>
      <x:c r="AM169" s="499" t="str">
        <x:v>Mechanism (ATK ATK) - Forced: This attack gains +2/+0 as long as it has initiated.
----
Mechanism (THR) - Terminal
Forced: This attack gains +0/+1 and cannot be cancelled as long as it has initiated.</x:v>
      </x:c>
      <x:c r="AN169" s="438"/>
      <x:c r="AO169" s="438"/>
      <x:c r="AP169" s="438"/>
      <x:c r="AQ169" s="438"/>
      <x:c r="AR169" s="438"/>
      <x:c r="AS169" s="438"/>
      <x:c r="AT169" t="str">
        <x:f>IF(A169="", "","'"&amp;A169&amp;"': {megami: '"&amp;B169&amp;"'"&amp;IF(C169&lt;&gt;"",", anotherID: '"&amp;C169&amp;"', replace: '"&amp;D169&amp;"'","")&amp;", name: '"&amp;SUBSTITUTE(E169,"'","\'")&amp;"', nameEn: '"&amp;SUBSTITUTE(K169,"'","\'")&amp;"', nameZh: '"&amp;SUBSTITUTE(G169,"'","\'")&amp;"', nameZhG168: '"&amp;SUBSTITUTE(H169,"'","\'")&amp;"', nameKo: '"&amp;SUBSTITUTE(J169,"'","\'")&amp;"', ruby: '"&amp;F169&amp;"', rubyEn: '"&amp;L169&amp;IF(I169&lt;&gt;"", "', rubyZh: '"&amp;I169, "")&amp;"', baseType: '"&amp;IF(M169="通常札","normal",IF(M169="切札","special",IF(M169="追加札","extra",IF(M169="transform","transform",IF(M169="嵐","storm",IF(M169="兵員","troop",IF(M169="構想","plan",IF(M169="メインパーツ","mainParts",IF(M169="カスタムパーツ","customParts",IF(M169="運命","fate",IF(M169="仮想樹","virtualTree","")))))))))))&amp;"'"&amp;IF(N169="○",", extra: true","")&amp;IF(O169&lt;&gt;"",", extraFrom: '"&amp;O169&amp;"'","")&amp;IF(P169&lt;&gt;"",", exchangableTo: '"&amp;P169&amp;"'","")&amp;IF(Q169="○",", poison: true","")&amp;IF(R169&lt;&gt;"", ", type: '"&amp;IF(R169="攻撃","attack",IF(R169="行動","action",IF(R169="不定","variable",IF(R169="対応","reaction",IF(R169="全力","fullpower",IF(R169="付与","enhance",IF(R169="transform","transform","")))))))&amp;"'", "")&amp;IF(S169&lt;&gt;"",", subType: '"&amp;IF(S169="攻撃","attack",IF(S169="行動","action",IF(S169="不定","variable",IF(S169="対応","reaction",IF(S169="全力","fullpower",IF(S169="付与","enhance",IF(S169="transform","transform","")))))))&amp;"'","")&amp;""&amp;IF(T169&lt;&gt;"",", range: '"&amp;T169&amp;"'","")&amp;IF(V169&lt;&gt;"",", damage: '"&amp;V169&amp;"'","")&amp;IF(X169&lt;&gt;"",", capacity: '"&amp;X169&amp;"'","")&amp;IF(Y169&lt;&gt;"",", growth: "&amp;Y169&amp;"","")&amp;IF(Z169&lt;&gt;"",", cost: '"&amp;Z169&amp;"'","")&amp;", text: '"&amp;SUBSTITUTE(SUBSTITUTE(AE169, CHAR(13), ""),CHAR(10),"\n")&amp;IF(AF169&lt;&gt;"", "', textAdditional: '"&amp;SUBSTITUTE(SUBSTITUTE(AF169, CHAR(13), ""),CHAR(10),"\n"), "")&amp;"', textZh: '"&amp;SUBSTITUTE(SUBSTITUTE(SUBSTITUTE(AG169, CHAR(13), ""),CHAR(10),"\n"),"'","\'")&amp;"', textZhG168: '"&amp;SUBSTITUTE(SUBSTITUTE(SUBSTITUTE(AI169, CHAR(13), ""),CHAR(10),"\n"),"'","\'")&amp;IF(AH169&lt;&gt;"", "', textZhAdditional: '"&amp;SUBSTITUTE(SUBSTITUTE(AH169, CHAR(13), ""),CHAR(10),"\n"), "")&amp;IF(AK169&lt;&gt;"", "', textZhG168Additional: '"&amp;SUBSTITUTE(SUBSTITUTE(AK169, CHAR(13), ""),CHAR(10),"\n"), "")&amp;"', textKo: '"&amp;SUBSTITUTE(SUBSTITUTE(SUBSTITUTE(AM169, CHAR(13), ""),CHAR(10),"\n"),"'","\'")&amp;IF(AM169&lt;&gt;"", "', textKoAdditional: '"&amp;SUBSTITUTE(SUBSTITUTE(AM169, CHAR(13), ""),CHAR(10),"\n"), "")&amp;"', textEn: '"&amp;SUBSTITUTE(SUBSTITUTE(SUBSTITUTE(AM169, CHAR(13), ""),CHAR(10),"\n"),"'","\'")&amp;IF(AN169&lt;&gt;"", "', textEnAdditional: '"&amp;SUBSTITUTE(SUBSTITUTE(AN169, CHAR(13), ""),CHAR(10),"\n"), "")&amp;"'"&amp;IF(AB169="○",", sealable: true","")&amp;IF(AC169="○",", removable: true","")&amp;IF(AA169="○",", lie: true","")&amp;IF(AD169="○",", investable: true","")&amp;"},")</x:f>
        <x:v>'10-kururu-A2-n-2': {megami: 'kururu', anotherID: 'A2', replace: '10-kururu-o-n-2', name: 'れーるがん', nameEn: 'Railgun', nameZh: '电磁炮', nameZhG168: '电磁炮', nameKo: '레~일건', ruby: '', rubyEn: '', rubyZh: 'Railgun', baseType: 'normal', type: 'attack', range: '2-6', damage: '1/2', text: '機巧（攻攻）: 【常時】この《攻撃》が行われた時、この《攻撃》は+1/+0となる。\n機巧（全）: 終端 【常時】この《攻撃》が行われた時、この《攻撃》は+1/+1となり、打ち消されない。', textZh: '----\n&lt;攻攻&gt; 【常时】进行此《攻击》时，此《攻击》得+2/+0。\n----\n&lt;全&gt; 终端\n【常时】进行此《攻击》时，此《攻击》得+0/+1且不可被打消。', textZhG168: '机巧：红红～【常时】进行此《攻击》时，此《攻击》获得+2/+0。\n机巧：黄～终端\n【常时】进行此《攻击》时，此《攻击》获得+0/+1和不可被打消。', textZhG168Additional: '----\n&lt;공공&gt; 【상시】 이 《공격》을 사용할 때, 이 《공격》은 +2/+0을 얻는다.\n----\n&lt;전&gt; 종단\n【상시】 이 《공격》을 사용할 때,\n이 《공격》은 +0/+1을 얻고, 무효화당하지 않는다.', textKo: 'Mechanism (ATK ATK) - Forced: This attack gains +2/+0 as long as it has initiated.\n----\nMechanism (THR) - Terminal\nForced: This attack gains +0/+1 and cannot be cancelled as long as it has initiated.', textKoAdditional: 'Mechanism (ATK ATK) - Forced: This attack gains +2/+0 as long as it has initiated.\n----\nMechanism (THR) - Terminal\nForced: This attack gains +0/+1 and cannot be cancelled as long as it has initiated.', textEn: 'Mechanism (ATK ATK) - Forced: This attack gains +2/+0 as long as it has initiated.\n----\nMechanism (THR) - Terminal\nForced: This attack gains +0/+1 and cannot be cancelled as long as it has initiated.'},</x:v>
      </x:c>
      <x:c r="AU169" t="str">
        <x:f>IF($A169&lt;&gt;"", "    /** 《"&amp;$E169&amp;"》 */ export const "&amp;SUBSTITUTE(UPPER(IF(MID($A169, 3, 1)="-", RIGHT($A169,LEN($A169)-3), $A169)), "-", "_")&amp;": TCardId = '"&amp;$A169&amp;"';", "")</x:f>
        <x:v>    /** 《れーるがん》 */ export const KURURU_A2_N_2: TCardId = '10-kururu-A2-n-2';</x:v>
      </x:c>
      <x:c r="AV169" t="str">
        <x:f>IF($A170&lt;&gt;"", "    | '"&amp;$A170&amp;"'", "")</x:f>
        <x:v>    | '10-kururu-A2-s-4'</x:v>
      </x:c>
    </x:row>
    <x:row r="170" ht="143" customHeight="1">
      <x:c r="A170" t="str">
        <x:v>10-kururu-A2-s-4</x:v>
      </x:c>
      <x:c r="B170" t="str">
        <x:v>kururu</x:v>
      </x:c>
      <x:c r="C170" t="str">
        <x:v>A2</x:v>
      </x:c>
      <x:c r="D170" t="str">
        <x:v>10-kururu-o-s-4</x:v>
      </x:c>
      <x:c r="E170" t="str">
        <x:v>こねくとだいぶ</x:v>
      </x:c>
      <x:c r="F170"/>
      <x:c r="G170" t="str">
        <x:v>浸入连接</x:v>
      </x:c>
      <x:c r="H170" t="str">
        <x:v>深层连结</x:v>
      </x:c>
      <x:c r="I170" t="str">
        <x:v>Connect Dive</x:v>
      </x:c>
      <x:c r="J170" t="str">
        <x:v>커넥트 다이브</x:v>
      </x:c>
      <x:c r="K170" t="str">
        <x:v>Connecdive</x:v>
      </x:c>
      <x:c r="L170"/>
      <x:c r="M170" t="str">
        <x:v>通常札</x:v>
      </x:c>
      <x:c r="N170"/>
      <x:c r="O170"/>
      <x:c r="P170"/>
      <x:c r="Q170"/>
      <x:c r="R170" t="str">
        <x:v>行動</x:v>
      </x:c>
      <x:c r="S170"/>
      <x:c r="T170"/>
      <x:c r="U170"/>
      <x:c r="V170"/>
      <x:c r="W170"/>
      <x:c r="X170"/>
      <x:c r="Y170"/>
      <x:c r="Z170" t="n">
        <x:v>1</x:v>
      </x:c>
      <x:c r="AA170"/>
      <x:c r="AB170"/>
      <x:c r="AC170"/>
      <x:c r="AD170"/>
      <x:c r="AE170" s="438" t="str">
        <x:v>機巧（行付対）: 【使用時/使用済】他のメガミのカードで組み立てたならば、使用時とあなたのターン終了フェイズにダストまたはあなたのオーラからこのカードの上に桜花結晶を1つ置いてもよい。
【使用済】あなたがある歯車枠の効果を解決するに際し、このカードの上の桜花結晶を1つダストに送ってもよい。そうした場合、その歯車枠の中に書かれた数字全てを2倍にする。</x:v>
      </x:c>
      <x:c r="AF170" s="438"/>
      <x:c r="AG170" s="499" t="str">
        <x:v>----
&lt;付行对&gt; 【使用时/已使用】如果是用其他女神的牌组装的机巧槽，在使用时和你的结束阶段可以从虚或自装中将1个樱花结晶放到此牌上。
----
【已使用】你结算机巧槽的效果的时候，可以将此牌上的1个樱花结晶移到虚。若如此做，则那个机巧槽中所写的数字全部变成两倍。</x:v>
      </x:c>
      <x:c r="AH170" s="438"/>
      <x:c r="AI170" s="499" t="str">
        <x:v>机巧：绿蓝紫～【使用时/已使用】若此机巧全部由其他女神的牌组装，则使用此牌时和你的结束阶段开始时你可以从虚或自装中选择1个樱花结晶移至此牌上。
【已使用】当你结算齿轮框中的效果时，你可以将此牌上的1个樱花结晶移至虚。若如此做，该齿轮框中记述的所有数字变为原来的2倍。</x:v>
      </x:c>
      <x:c r="AJ170" s="438"/>
      <x:c r="AK170" s="499" t="str">
        <x:v>----
&lt;부행대&gt; 【사용시/사용됨】다른 여신의 카드로 기교가 완성되었다면, 사용시와 당신 턴의 종료 페이즈에 더스트 또는 당신의 오라로부터 이 카드 위에 벛꽃결정을 올릴 수 있다.
----
【사용됨】당신이 어떤 기교 조건의 효과를 해결할 때마다, 이 카드 위의 벛꽃결정을 하나 더스트로 보낼 수 있다.
그렇게 하면 그 기교칸에 씌여진 숫자를 모두 2배로 한다.</x:v>
      </x:c>
      <x:c r="AL170" s="438"/>
      <x:c r="AM170" s="499" t="str">
        <x:v>Mechanism (ENH ACT REA) - Played/Devoted: If this was completed using only non-Kururu Megami cards, when this card resolves, and at the end of your turn, you may move 1 Sakura token from Shadow or your Aura to this card.
----
Devoted: When you would resolve a Mechanism effect, you may move 1 Sakura token from this card to Shadow. If you do, double the value of all numbers printed in that Mechanism.</x:v>
      </x:c>
      <x:c r="AN170" s="438"/>
      <x:c r="AO170" s="438"/>
      <x:c r="AP170" s="438"/>
      <x:c r="AQ170" s="438"/>
      <x:c r="AR170" s="438"/>
      <x:c r="AS170" s="438"/>
      <x:c r="AT170" t="str">
        <x:f>IF(A170="", "","'"&amp;A170&amp;"': {megami: '"&amp;B170&amp;"'"&amp;IF(C170&lt;&gt;"",", anotherID: '"&amp;C170&amp;"', replace: '"&amp;D170&amp;"'","")&amp;", name: '"&amp;SUBSTITUTE(E170,"'","\'")&amp;"', nameEn: '"&amp;SUBSTITUTE(K170,"'","\'")&amp;"', nameZh: '"&amp;SUBSTITUTE(G170,"'","\'")&amp;"', nameZhG169: '"&amp;SUBSTITUTE(H170,"'","\'")&amp;"', nameKo: '"&amp;SUBSTITUTE(J170,"'","\'")&amp;"', ruby: '"&amp;F170&amp;"', rubyEn: '"&amp;L170&amp;IF(I170&lt;&gt;"", "', rubyZh: '"&amp;I170, "")&amp;"', baseType: '"&amp;IF(M170="通常札","normal",IF(M170="切札","special",IF(M170="追加札","extra",IF(M170="transform","transform",IF(M170="嵐","storm",IF(M170="兵員","troop",IF(M170="構想","plan",IF(M170="メインパーツ","mainParts",IF(M170="カスタムパーツ","customParts",IF(M170="運命","fate",IF(M170="仮想樹","virtualTree","")))))))))))&amp;"'"&amp;IF(N170="○",", extra: true","")&amp;IF(O170&lt;&gt;"",", extraFrom: '"&amp;O170&amp;"'","")&amp;IF(P170&lt;&gt;"",", exchangableTo: '"&amp;P170&amp;"'","")&amp;IF(Q170="○",", poison: true","")&amp;IF(R170&lt;&gt;"", ", type: '"&amp;IF(R170="攻撃","attack",IF(R170="行動","action",IF(R170="不定","variable",IF(R170="対応","reaction",IF(R170="全力","fullpower",IF(R170="付与","enhance",IF(R170="transform","transform","")))))))&amp;"'", "")&amp;IF(S170&lt;&gt;"",", subType: '"&amp;IF(S170="攻撃","attack",IF(S170="行動","action",IF(S170="不定","variable",IF(S170="対応","reaction",IF(S170="全力","fullpower",IF(S170="付与","enhance",IF(S170="transform","transform","")))))))&amp;"'","")&amp;""&amp;IF(T170&lt;&gt;"",", range: '"&amp;T170&amp;"'","")&amp;IF(V170&lt;&gt;"",", damage: '"&amp;V170&amp;"'","")&amp;IF(X170&lt;&gt;"",", capacity: '"&amp;X170&amp;"'","")&amp;IF(Y170&lt;&gt;"",", growth: "&amp;Y170&amp;"","")&amp;IF(Z170&lt;&gt;"",", cost: '"&amp;Z170&amp;"'","")&amp;", text: '"&amp;SUBSTITUTE(SUBSTITUTE(AE170, CHAR(13), ""),CHAR(10),"\n")&amp;IF(AF170&lt;&gt;"", "', textAdditional: '"&amp;SUBSTITUTE(SUBSTITUTE(AF170, CHAR(13), ""),CHAR(10),"\n"), "")&amp;"', textZh: '"&amp;SUBSTITUTE(SUBSTITUTE(SUBSTITUTE(AG170, CHAR(13), ""),CHAR(10),"\n"),"'","\'")&amp;"', textZhG169: '"&amp;SUBSTITUTE(SUBSTITUTE(SUBSTITUTE(AI170, CHAR(13), ""),CHAR(10),"\n"),"'","\'")&amp;IF(AH170&lt;&gt;"", "', textZhAdditional: '"&amp;SUBSTITUTE(SUBSTITUTE(AH170, CHAR(13), ""),CHAR(10),"\n"), "")&amp;IF(AK170&lt;&gt;"", "', textZhG169Additional: '"&amp;SUBSTITUTE(SUBSTITUTE(AK170, CHAR(13), ""),CHAR(10),"\n"), "")&amp;"', textKo: '"&amp;SUBSTITUTE(SUBSTITUTE(SUBSTITUTE(AM170, CHAR(13), ""),CHAR(10),"\n"),"'","\'")&amp;IF(AM170&lt;&gt;"", "', textKoAdditional: '"&amp;SUBSTITUTE(SUBSTITUTE(AM170, CHAR(13), ""),CHAR(10),"\n"), "")&amp;"', textEn: '"&amp;SUBSTITUTE(SUBSTITUTE(SUBSTITUTE(AM170, CHAR(13), ""),CHAR(10),"\n"),"'","\'")&amp;IF(AN170&lt;&gt;"", "', textEnAdditional: '"&amp;SUBSTITUTE(SUBSTITUTE(AN170, CHAR(13), ""),CHAR(10),"\n"), "")&amp;"'"&amp;IF(AB170="○",", sealable: true","")&amp;IF(AC170="○",", removable: true","")&amp;IF(AA170="○",", lie: true","")&amp;IF(AD170="○",", investable: true","")&amp;"},")</x:f>
        <x:v>'10-kururu-A2-s-4': {megami: 'kururu', anotherID: 'A2', replace: '10-kururu-o-s-4', name: 'こねくとだいぶ', nameEn: 'Connecdive', nameZh: '浸入连接', nameZhG169: '深层连结', nameKo: '커넥트 다이브', ruby: '', rubyEn: '', rubyZh: 'Connect Dive', baseType: 'normal', type: 'action', cost: '1', text: '機巧（行付対）: 【使用時/使用済】他のメガミのカードで組み立てたならば、使用時とあなたのターン終了フェイズにダストまたはあなたのオーラからこのカードの上に桜花結晶を1つ置いてもよい。\n【使用済】あなたがある歯車枠の効果を解決するに際し、このカードの上の桜花結晶を1つダストに送ってもよい。そうした場合、その歯車枠の中に書かれた数字全てを2倍にする。', textZh: '----\n&lt;付行对&gt; 【使用时/已使用】如果是用其他女神的牌组装的机巧槽，在使用时和你的结束阶段可以从虚或自装中将1个樱花结晶放到此牌上。\n----\n【已使用】你结算机巧槽的效果的时候，可以将此牌上的1个樱花结晶移到虚。若如此做，则那个机巧槽中所写的数字全部变成两倍。', textZhG169: '机巧：绿蓝紫～【使用时/已使用】若此机巧全部由其他女神的牌组装，则使用此牌时和你的结束阶段开始时你可以从虚或自装中选择1个樱花结晶移至此牌上。\n【已使用】当你结算齿轮框中的效果时，你可以将此牌上的1个樱花结晶移至虚。若如此做，该齿轮框中记述的所有数字变为原来的2倍。', textZhG169Additional: '----\n&lt;부행대&gt; 【사용시/사용됨】다른 여신의 카드로 기교가 완성되었다면, 사용시와 당신 턴의 종료 페이즈에 더스트 또는 당신의 오라로부터 이 카드 위에 벛꽃결정을 올릴 수 있다.\n----\n【사용됨】당신이 어떤 기교 조건의 효과를 해결할 때마다, 이 카드 위의 벛꽃결정을 하나 더스트로 보낼 수 있다.\n그렇게 하면 그 기교칸에 씌여진 숫자를 모두 2배로 한다.', textKo: 'Mechanism (ENH ACT REA) - Played/Devoted: If this was completed using only non-Kururu Megami cards, when this card resolves, and at the end of your turn, you may move 1 Sakura token from Shadow or your Aura to this card.\n----\nDevoted: When you would resolve a Mechanism effect, you may move 1 Sakura token from this card to Shadow. If you do, double the value of all numbers printed in that Mechanism.', textKoAdditional: 'Mechanism (ENH ACT REA) - Played/Devoted: If this was completed using only non-Kururu Megami cards, when this card resolves, and at the end of your turn, you may move 1 Sakura token from Shadow or your Aura to this card.\n----\nDevoted: When you would resolve a Mechanism effect, you may move 1 Sakura token from this card to Shadow. If you do, double the value of all numbers printed in that Mechanism.', textEn: 'Mechanism (ENH ACT REA) - Played/Devoted: If this was completed using only non-Kururu Megami cards, when this card resolves, and at the end of your turn, you may move 1 Sakura token from Shadow or your Aura to this card.\n----\nDevoted: When you would resolve a Mechanism effect, you may move 1 Sakura token from this card to Shadow. If you do, double the value of all numbers printed in that Mechanism.'},</x:v>
      </x:c>
      <x:c r="AU170" t="str">
        <x:f>IF($A170&lt;&gt;"", "    /** 《"&amp;$E170&amp;"》 */ export const "&amp;SUBSTITUTE(UPPER(IF(MID($A170, 3, 1)="-", RIGHT($A170,LEN($A170)-3), $A170)), "-", "_")&amp;": TCardId = '"&amp;$A170&amp;"';", "")</x:f>
        <x:v>    /** 《こねくとだいぶ》 */ export const KURURU_A2_S_4: TCardId = '10-kururu-A2-s-4';</x:v>
      </x:c>
      <x:c r="AV170" t="str">
        <x:f>IF($A171&lt;&gt;"", "    | '"&amp;$A171&amp;"'", "")</x:f>
        <x:v>    | '11-thallya-o-n-1'</x:v>
      </x:c>
    </x:row>
    <x:row r="171" ht="30" customHeight="1">
      <x:c r="A171" t="str">
        <x:v>11-thallya-o-n-1</x:v>
      </x:c>
      <x:c r="B171" t="str">
        <x:v>thallya</x:v>
      </x:c>
      <x:c r="C171"/>
      <x:c r="D171"/>
      <x:c r="E171" t="str">
        <x:v>Burning Steam</x:v>
      </x:c>
      <x:c r="F171" t="str">
        <x:v>バーニングスチーム</x:v>
      </x:c>
      <x:c r="G171" t="str">
        <x:v>Burning Steam</x:v>
      </x:c>
      <x:c r="H171" t="str">
        <x:v>Burning Steam</x:v>
      </x:c>
      <x:c r="I171" t="str">
        <x:v>灼热蒸汽</x:v>
      </x:c>
      <x:c r="J171" t="str">
        <x:v>Burning Steam</x:v>
      </x:c>
      <x:c r="K171" t="str">
        <x:v>Burning Steam</x:v>
      </x:c>
      <x:c r="L171"/>
      <x:c r="M171" t="str">
        <x:v>通常札</x:v>
      </x:c>
      <x:c r="N171"/>
      <x:c r="O171"/>
      <x:c r="P171"/>
      <x:c r="Q171"/>
      <x:c r="R171" t="str">
        <x:v>攻撃</x:v>
      </x:c>
      <x:c r="S171"/>
      <x:c r="T171" t="str">
        <x:v>3-7</x:v>
      </x:c>
      <x:c r="U171"/>
      <x:c r="V171" t="str">
        <x:v>2/1</x:v>
      </x:c>
      <x:c r="W171"/>
      <x:c r="X171"/>
      <x:c r="Y171"/>
      <x:c r="Z171"/>
      <x:c r="AA171"/>
      <x:c r="AB171"/>
      <x:c r="AC171"/>
      <x:c r="AD171"/>
      <x:c r="AE171" s="438" t="str">
        <x:v>【攻撃後】騎動を行う。</x:v>
      </x:c>
      <x:c r="AF171" s="438"/>
      <x:c r="AG171" s="438" t="str">
        <x:v>【攻击后】骑动</x:v>
      </x:c>
      <x:c r="AH171" s="438"/>
      <x:c r="AI171" s="438" t="str">
        <x:v>【攻击后】骑动 </x:v>
      </x:c>
      <x:c r="AJ171" s="438"/>
      <x:c r="AK171" s="438" t="str">
        <x:v>【공격후】기동을 행한다.</x:v>
      </x:c>
      <x:c r="AL171" s="438"/>
      <x:c r="AM171" s="438" t="str">
        <x:v>After Attack: Maneuver.</x:v>
      </x:c>
      <x:c r="AN171" s="438"/>
      <x:c r="AO171" s="438"/>
      <x:c r="AP171" s="438"/>
      <x:c r="AQ171" s="438"/>
      <x:c r="AR171" s="438"/>
      <x:c r="AS171" s="438"/>
      <x:c r="AT171" t="str">
        <x:f>IF(A171="", "","'"&amp;A171&amp;"': {megami: '"&amp;B171&amp;"'"&amp;IF(C171&lt;&gt;"",", anotherID: '"&amp;C171&amp;"', replace: '"&amp;D171&amp;"'","")&amp;", name: '"&amp;SUBSTITUTE(E171,"'","\'")&amp;"', nameEn: '"&amp;SUBSTITUTE(K171,"'","\'")&amp;"', nameZh: '"&amp;SUBSTITUTE(G171,"'","\'")&amp;"', nameZhG170: '"&amp;SUBSTITUTE(H171,"'","\'")&amp;"', nameKo: '"&amp;SUBSTITUTE(J171,"'","\'")&amp;"', ruby: '"&amp;F171&amp;"', rubyEn: '"&amp;L171&amp;IF(I171&lt;&gt;"", "', rubyZh: '"&amp;I171, "")&amp;"', baseType: '"&amp;IF(M171="通常札","normal",IF(M171="切札","special",IF(M171="追加札","extra",IF(M171="transform","transform",IF(M171="嵐","storm",IF(M171="兵員","troop",IF(M171="構想","plan",IF(M171="メインパーツ","mainParts",IF(M171="カスタムパーツ","customParts",IF(M171="運命","fate",IF(M171="仮想樹","virtualTree","")))))))))))&amp;"'"&amp;IF(N171="○",", extra: true","")&amp;IF(O171&lt;&gt;"",", extraFrom: '"&amp;O171&amp;"'","")&amp;IF(P171&lt;&gt;"",", exchangableTo: '"&amp;P171&amp;"'","")&amp;IF(Q171="○",", poison: true","")&amp;IF(R171&lt;&gt;"", ", type: '"&amp;IF(R171="攻撃","attack",IF(R171="行動","action",IF(R171="不定","variable",IF(R171="対応","reaction",IF(R171="全力","fullpower",IF(R171="付与","enhance",IF(R171="transform","transform","")))))))&amp;"'", "")&amp;IF(S171&lt;&gt;"",", subType: '"&amp;IF(S171="攻撃","attack",IF(S171="行動","action",IF(S171="不定","variable",IF(S171="対応","reaction",IF(S171="全力","fullpower",IF(S171="付与","enhance",IF(S171="transform","transform","")))))))&amp;"'","")&amp;""&amp;IF(T171&lt;&gt;"",", range: '"&amp;T171&amp;"'","")&amp;IF(V171&lt;&gt;"",", damage: '"&amp;V171&amp;"'","")&amp;IF(X171&lt;&gt;"",", capacity: '"&amp;X171&amp;"'","")&amp;IF(Y171&lt;&gt;"",", growth: "&amp;Y171&amp;"","")&amp;IF(Z171&lt;&gt;"",", cost: '"&amp;Z171&amp;"'","")&amp;", text: '"&amp;SUBSTITUTE(SUBSTITUTE(AE171, CHAR(13), ""),CHAR(10),"\n")&amp;IF(AF171&lt;&gt;"", "', textAdditional: '"&amp;SUBSTITUTE(SUBSTITUTE(AF171, CHAR(13), ""),CHAR(10),"\n"), "")&amp;"', textZh: '"&amp;SUBSTITUTE(SUBSTITUTE(SUBSTITUTE(AG171, CHAR(13), ""),CHAR(10),"\n"),"'","\'")&amp;"', textZhG170: '"&amp;SUBSTITUTE(SUBSTITUTE(SUBSTITUTE(AI171, CHAR(13), ""),CHAR(10),"\n"),"'","\'")&amp;IF(AH171&lt;&gt;"", "', textZhAdditional: '"&amp;SUBSTITUTE(SUBSTITUTE(AH171, CHAR(13), ""),CHAR(10),"\n"), "")&amp;IF(AK171&lt;&gt;"", "', textZhG170Additional: '"&amp;SUBSTITUTE(SUBSTITUTE(AK171, CHAR(13), ""),CHAR(10),"\n"), "")&amp;"', textKo: '"&amp;SUBSTITUTE(SUBSTITUTE(SUBSTITUTE(AM171, CHAR(13), ""),CHAR(10),"\n"),"'","\'")&amp;IF(AM171&lt;&gt;"", "', textKoAdditional: '"&amp;SUBSTITUTE(SUBSTITUTE(AM171, CHAR(13), ""),CHAR(10),"\n"), "")&amp;"', textEn: '"&amp;SUBSTITUTE(SUBSTITUTE(SUBSTITUTE(AM171, CHAR(13), ""),CHAR(10),"\n"),"'","\'")&amp;IF(AN171&lt;&gt;"", "', textEnAdditional: '"&amp;SUBSTITUTE(SUBSTITUTE(AN171, CHAR(13), ""),CHAR(10),"\n"), "")&amp;"'"&amp;IF(AB171="○",", sealable: true","")&amp;IF(AC171="○",", removable: true","")&amp;IF(AA171="○",", lie: true","")&amp;IF(AD171="○",", investable: true","")&amp;"},")</x:f>
        <x:v>'11-thallya-o-n-1': {megami: 'thallya', name: 'Burning Steam', nameEn: 'Burning Steam', nameZh: 'Burning Steam', nameZhG170: 'Burning Steam', nameKo: 'Burning Steam', ruby: 'バーニングスチーム', rubyEn: '', rubyZh: '灼热蒸汽', baseType: 'normal', type: 'attack', range: '3-7', damage: '2/1', text: '【攻撃後】騎動を行う。', textZh: '【攻击后】骑动', textZhG170: '【攻击后】骑动 ', textZhG170Additional: '【공격후】기동을 행한다.', textKo: 'After Attack: Maneuver.', textKoAdditional: 'After Attack: Maneuver.', textEn: 'After Attack: Maneuver.'},</x:v>
      </x:c>
      <x:c r="AU171" t="str">
        <x:f>IF($A171&lt;&gt;"", "    /** 《"&amp;$E171&amp;"》 */ export const "&amp;SUBSTITUTE(UPPER(IF(MID($A171, 3, 1)="-", RIGHT($A171,LEN($A171)-3), $A171)), "-", "_")&amp;": TCardId = '"&amp;$A171&amp;"';", "")</x:f>
        <x:v>    /** 《Burning Steam》 */ export const THALLYA_O_N_1: TCardId = '11-thallya-o-n-1';</x:v>
      </x:c>
      <x:c r="AV171" t="str">
        <x:f>IF($A172&lt;&gt;"", "    | '"&amp;$A172&amp;"'", "")</x:f>
        <x:v>    | '11-thallya-o-n-2'</x:v>
      </x:c>
    </x:row>
    <x:row r="172" ht="53" customHeight="1">
      <x:c r="A172" t="str">
        <x:v>11-thallya-o-n-2</x:v>
      </x:c>
      <x:c r="B172" t="str">
        <x:v>thallya</x:v>
      </x:c>
      <x:c r="C172"/>
      <x:c r="D172"/>
      <x:c r="E172" t="str">
        <x:v>Waving Edge</x:v>
      </x:c>
      <x:c r="F172" t="str">
        <x:v>ウェービングエッジ</x:v>
      </x:c>
      <x:c r="G172" t="str">
        <x:v>Waving Edge</x:v>
      </x:c>
      <x:c r="H172" t="str">
        <x:v>Waving Edge</x:v>
      </x:c>
      <x:c r="I172" t="str">
        <x:v>跃动突击</x:v>
      </x:c>
      <x:c r="J172" t="str">
        <x:v>Waving Edge</x:v>
      </x:c>
      <x:c r="K172" t="str">
        <x:v>Waving Edge</x:v>
      </x:c>
      <x:c r="L172"/>
      <x:c r="M172" t="str">
        <x:v>通常札</x:v>
      </x:c>
      <x:c r="N172"/>
      <x:c r="O172"/>
      <x:c r="P172"/>
      <x:c r="Q172"/>
      <x:c r="R172" t="str">
        <x:v>攻撃</x:v>
      </x:c>
      <x:c r="S172"/>
      <x:c r="T172" t="str">
        <x:v>1-3</x:v>
      </x:c>
      <x:c r="U172"/>
      <x:c r="V172" t="str">
        <x:v>3/1</x:v>
      </x:c>
      <x:c r="W172"/>
      <x:c r="X172"/>
      <x:c r="Y172"/>
      <x:c r="Z172"/>
      <x:c r="AA172"/>
      <x:c r="AB172"/>
      <x:c r="AC172"/>
      <x:c r="AD172"/>
      <x:c r="AE172" s="438" t="str">
        <x:v>燃焼
【攻撃後】騎動を行う。</x:v>
      </x:c>
      <x:c r="AF172" s="438"/>
      <x:c r="AG172" s="499" t="str">
        <x:v>燃烧
【攻击后】进行最多1次基本动作，进行骑动。</x:v>
      </x:c>
      <x:c r="AH172" s="438"/>
      <x:c r="AI172" s="438"/>
      <x:c r="AJ172" s="438"/>
      <x:c r="AK172" s="499" t="str">
        <x:v>연소 
 【공격후】기본동작을 1회까지 수행한 뒤, 기동을 수행한다.</x:v>
      </x:c>
      <x:c r="AL172" s="438"/>
      <x:c r="AM172" s="499" t="str">
        <x:v>Combust
After Attack: ○○</x:v>
      </x:c>
      <x:c r="AN172" s="438"/>
      <x:c r="AO172" s="438"/>
      <x:c r="AP172" s="438"/>
      <x:c r="AQ172" s="438"/>
      <x:c r="AR172" s="438"/>
      <x:c r="AS172" s="438"/>
      <x:c r="AT172" t="str">
        <x:f>IF(A172="", "","'"&amp;A172&amp;"': {megami: '"&amp;B172&amp;"'"&amp;IF(C172&lt;&gt;"",", anotherID: '"&amp;C172&amp;"', replace: '"&amp;D172&amp;"'","")&amp;", name: '"&amp;SUBSTITUTE(E172,"'","\'")&amp;"', nameEn: '"&amp;SUBSTITUTE(K172,"'","\'")&amp;"', nameZh: '"&amp;SUBSTITUTE(G172,"'","\'")&amp;"', nameZhG171: '"&amp;SUBSTITUTE(H172,"'","\'")&amp;"', nameKo: '"&amp;SUBSTITUTE(J172,"'","\'")&amp;"', ruby: '"&amp;F172&amp;"', rubyEn: '"&amp;L172&amp;IF(I172&lt;&gt;"", "', rubyZh: '"&amp;I172, "")&amp;"', baseType: '"&amp;IF(M172="通常札","normal",IF(M172="切札","special",IF(M172="追加札","extra",IF(M172="transform","transform",IF(M172="嵐","storm",IF(M172="兵員","troop",IF(M172="構想","plan",IF(M172="メインパーツ","mainParts",IF(M172="カスタムパーツ","customParts",IF(M172="運命","fate",IF(M172="仮想樹","virtualTree","")))))))))))&amp;"'"&amp;IF(N172="○",", extra: true","")&amp;IF(O172&lt;&gt;"",", extraFrom: '"&amp;O172&amp;"'","")&amp;IF(P172&lt;&gt;"",", exchangableTo: '"&amp;P172&amp;"'","")&amp;IF(Q172="○",", poison: true","")&amp;IF(R172&lt;&gt;"", ", type: '"&amp;IF(R172="攻撃","attack",IF(R172="行動","action",IF(R172="不定","variable",IF(R172="対応","reaction",IF(R172="全力","fullpower",IF(R172="付与","enhance",IF(R172="transform","transform","")))))))&amp;"'", "")&amp;IF(S172&lt;&gt;"",", subType: '"&amp;IF(S172="攻撃","attack",IF(S172="行動","action",IF(S172="不定","variable",IF(S172="対応","reaction",IF(S172="全力","fullpower",IF(S172="付与","enhance",IF(S172="transform","transform","")))))))&amp;"'","")&amp;""&amp;IF(T172&lt;&gt;"",", range: '"&amp;T172&amp;"'","")&amp;IF(V172&lt;&gt;"",", damage: '"&amp;V172&amp;"'","")&amp;IF(X172&lt;&gt;"",", capacity: '"&amp;X172&amp;"'","")&amp;IF(Y172&lt;&gt;"",", growth: "&amp;Y172&amp;"","")&amp;IF(Z172&lt;&gt;"",", cost: '"&amp;Z172&amp;"'","")&amp;", text: '"&amp;SUBSTITUTE(SUBSTITUTE(AE172, CHAR(13), ""),CHAR(10),"\n")&amp;IF(AF172&lt;&gt;"", "', textAdditional: '"&amp;SUBSTITUTE(SUBSTITUTE(AF172, CHAR(13), ""),CHAR(10),"\n"), "")&amp;"', textZh: '"&amp;SUBSTITUTE(SUBSTITUTE(SUBSTITUTE(AG172, CHAR(13), ""),CHAR(10),"\n"),"'","\'")&amp;"', textZhG171: '"&amp;SUBSTITUTE(SUBSTITUTE(SUBSTITUTE(AI172, CHAR(13), ""),CHAR(10),"\n"),"'","\'")&amp;IF(AH172&lt;&gt;"", "', textZhAdditional: '"&amp;SUBSTITUTE(SUBSTITUTE(AH172, CHAR(13), ""),CHAR(10),"\n"), "")&amp;IF(AK172&lt;&gt;"", "', textZhG171Additional: '"&amp;SUBSTITUTE(SUBSTITUTE(AK172, CHAR(13), ""),CHAR(10),"\n"), "")&amp;"', textKo: '"&amp;SUBSTITUTE(SUBSTITUTE(SUBSTITUTE(AM172, CHAR(13), ""),CHAR(10),"\n"),"'","\'")&amp;IF(AM172&lt;&gt;"", "', textKoAdditional: '"&amp;SUBSTITUTE(SUBSTITUTE(AM172, CHAR(13), ""),CHAR(10),"\n"), "")&amp;"', textEn: '"&amp;SUBSTITUTE(SUBSTITUTE(SUBSTITUTE(AM172, CHAR(13), ""),CHAR(10),"\n"),"'","\'")&amp;IF(AN172&lt;&gt;"", "', textEnAdditional: '"&amp;SUBSTITUTE(SUBSTITUTE(AN172, CHAR(13), ""),CHAR(10),"\n"), "")&amp;"'"&amp;IF(AB172="○",", sealable: true","")&amp;IF(AC172="○",", removable: true","")&amp;IF(AA172="○",", lie: true","")&amp;IF(AD172="○",", investable: true","")&amp;"},")</x:f>
        <x:v>'11-thallya-o-n-2': {megami: 'thallya', name: 'Waving Edge', nameEn: 'Waving Edge', nameZh: 'Waving Edge', nameZhG171: 'Waving Edge', nameKo: 'Waving Edge', ruby: 'ウェービングエッジ', rubyEn: '', rubyZh: '跃动突击', baseType: 'normal', type: 'attack', range: '1-3', damage: '3/1', text: '燃焼\n【攻撃後】騎動を行う。', textZh: '燃烧\n【攻击后】进行最多1次基本动作，进行骑动。', textZhG171: '', textZhG171Additional: '연소 \n 【공격후】기본동작을 1회까지 수행한 뒤, 기동을 수행한다.', textKo: 'Combust\n\nAfter Attack: ○○', textKoAdditional: 'Combust\n\nAfter Attack: ○○', textEn: 'Combust\n\nAfter Attack: ○○'},</x:v>
      </x:c>
      <x:c r="AU172" t="str">
        <x:f>IF($A172&lt;&gt;"", "    /** 《"&amp;$E172&amp;"》 */ export const "&amp;SUBSTITUTE(UPPER(IF(MID($A172, 3, 1)="-", RIGHT($A172,LEN($A172)-3), $A172)), "-", "_")&amp;": TCardId = '"&amp;$A172&amp;"';", "")</x:f>
        <x:v>    /** 《Waving Edge》 */ export const THALLYA_O_N_2: TCardId = '11-thallya-o-n-2';</x:v>
      </x:c>
      <x:c r="AV172" t="str">
        <x:f>IF($A173&lt;&gt;"", "    | '"&amp;$A173&amp;"'", "")</x:f>
        <x:v>    | '11-thallya-o-n-3'</x:v>
      </x:c>
    </x:row>
    <x:row r="173" ht="68" customHeight="1">
      <x:c r="A173" t="str">
        <x:v>11-thallya-o-n-3</x:v>
      </x:c>
      <x:c r="B173" t="str">
        <x:v>thallya</x:v>
      </x:c>
      <x:c r="C173"/>
      <x:c r="D173"/>
      <x:c r="E173" t="str">
        <x:v>Shield Charge</x:v>
      </x:c>
      <x:c r="F173" t="str">
        <x:v>シールドチャージ</x:v>
      </x:c>
      <x:c r="G173" t="str">
        <x:v>Shield Charge</x:v>
      </x:c>
      <x:c r="H173" t="str">
        <x:v>Shield Charge</x:v>
      </x:c>
      <x:c r="I173" t="str">
        <x:v>护盾冲撞</x:v>
      </x:c>
      <x:c r="J173" t="str">
        <x:v>Shield Charge</x:v>
      </x:c>
      <x:c r="K173" t="str">
        <x:v>Shield Charge</x:v>
      </x:c>
      <x:c r="L173"/>
      <x:c r="M173" t="str">
        <x:v>通常札</x:v>
      </x:c>
      <x:c r="N173"/>
      <x:c r="O173"/>
      <x:c r="P173"/>
      <x:c r="Q173"/>
      <x:c r="R173" t="str">
        <x:v>攻撃</x:v>
      </x:c>
      <x:c r="S173"/>
      <x:c r="T173" t="str">
        <x:v>1</x:v>
      </x:c>
      <x:c r="U173"/>
      <x:c r="V173" t="str">
        <x:v>3/2</x:v>
      </x:c>
      <x:c r="W173"/>
      <x:c r="X173"/>
      <x:c r="Y173"/>
      <x:c r="Z173"/>
      <x:c r="AA173"/>
      <x:c r="AB173"/>
      <x:c r="AC173"/>
      <x:c r="AD173"/>
      <x:c r="AE173" s="438" t="str">
        <x:v>燃焼
【常時】この《攻撃》のダメージにより移動する桜花結晶は、ダストやフレアでなく間合に動かす。</x:v>
      </x:c>
      <x:c r="AF173" s="438"/>
      <x:c r="AG173" s="499" t="str">
        <x:v>燃烧
【常时】因此《攻击》造成的伤害将移动的樱花结晶改为移动至距。</x:v>
      </x:c>
      <x:c r="AH173" s="438"/>
      <x:c r="AI173" s="499" t="str">
        <x:v> 燃烧
【常时】若此《攻击》对对手造成了伤害，则将因结算伤害移动的樱花结晶移至距。</x:v>
      </x:c>
      <x:c r="AJ173" s="438"/>
      <x:c r="AK173" s="499" t="str">
        <x:v>연소 
 【상시】이 《공격》의 대미지에 의해 이동하는 벚꽃 결정은, 더스트나 플레어가 아닌 간격으로 움직인다.</x:v>
      </x:c>
      <x:c r="AL173" s="438"/>
      <x:c r="AM173" s="499" t="str">
        <x:v>Combust
Forced: Damage dealt by this attack moves Sakura tokens to Distance instead of to Shadow or to Flare.</x:v>
      </x:c>
      <x:c r="AN173" s="438"/>
      <x:c r="AO173" s="438"/>
      <x:c r="AP173" s="438"/>
      <x:c r="AQ173" s="438"/>
      <x:c r="AR173" s="438"/>
      <x:c r="AS173" s="438"/>
      <x:c r="AT173" t="str">
        <x:f>IF(A173="", "","'"&amp;A173&amp;"': {megami: '"&amp;B173&amp;"'"&amp;IF(C173&lt;&gt;"",", anotherID: '"&amp;C173&amp;"', replace: '"&amp;D173&amp;"'","")&amp;", name: '"&amp;SUBSTITUTE(E173,"'","\'")&amp;"', nameEn: '"&amp;SUBSTITUTE(K173,"'","\'")&amp;"', nameZh: '"&amp;SUBSTITUTE(G173,"'","\'")&amp;"', nameZhG172: '"&amp;SUBSTITUTE(H173,"'","\'")&amp;"', nameKo: '"&amp;SUBSTITUTE(J173,"'","\'")&amp;"', ruby: '"&amp;F173&amp;"', rubyEn: '"&amp;L173&amp;IF(I173&lt;&gt;"", "', rubyZh: '"&amp;I173, "")&amp;"', baseType: '"&amp;IF(M173="通常札","normal",IF(M173="切札","special",IF(M173="追加札","extra",IF(M173="transform","transform",IF(M173="嵐","storm",IF(M173="兵員","troop",IF(M173="構想","plan",IF(M173="メインパーツ","mainParts",IF(M173="カスタムパーツ","customParts",IF(M173="運命","fate",IF(M173="仮想樹","virtualTree","")))))))))))&amp;"'"&amp;IF(N173="○",", extra: true","")&amp;IF(O173&lt;&gt;"",", extraFrom: '"&amp;O173&amp;"'","")&amp;IF(P173&lt;&gt;"",", exchangableTo: '"&amp;P173&amp;"'","")&amp;IF(Q173="○",", poison: true","")&amp;IF(R173&lt;&gt;"", ", type: '"&amp;IF(R173="攻撃","attack",IF(R173="行動","action",IF(R173="不定","variable",IF(R173="対応","reaction",IF(R173="全力","fullpower",IF(R173="付与","enhance",IF(R173="transform","transform","")))))))&amp;"'", "")&amp;IF(S173&lt;&gt;"",", subType: '"&amp;IF(S173="攻撃","attack",IF(S173="行動","action",IF(S173="不定","variable",IF(S173="対応","reaction",IF(S173="全力","fullpower",IF(S173="付与","enhance",IF(S173="transform","transform","")))))))&amp;"'","")&amp;""&amp;IF(T173&lt;&gt;"",", range: '"&amp;T173&amp;"'","")&amp;IF(V173&lt;&gt;"",", damage: '"&amp;V173&amp;"'","")&amp;IF(X173&lt;&gt;"",", capacity: '"&amp;X173&amp;"'","")&amp;IF(Y173&lt;&gt;"",", growth: "&amp;Y173&amp;"","")&amp;IF(Z173&lt;&gt;"",", cost: '"&amp;Z173&amp;"'","")&amp;", text: '"&amp;SUBSTITUTE(SUBSTITUTE(AE173, CHAR(13), ""),CHAR(10),"\n")&amp;IF(AF173&lt;&gt;"", "', textAdditional: '"&amp;SUBSTITUTE(SUBSTITUTE(AF173, CHAR(13), ""),CHAR(10),"\n"), "")&amp;"', textZh: '"&amp;SUBSTITUTE(SUBSTITUTE(SUBSTITUTE(AG173, CHAR(13), ""),CHAR(10),"\n"),"'","\'")&amp;"', textZhG172: '"&amp;SUBSTITUTE(SUBSTITUTE(SUBSTITUTE(AI173, CHAR(13), ""),CHAR(10),"\n"),"'","\'")&amp;IF(AH173&lt;&gt;"", "', textZhAdditional: '"&amp;SUBSTITUTE(SUBSTITUTE(AH173, CHAR(13), ""),CHAR(10),"\n"), "")&amp;IF(AK173&lt;&gt;"", "', textZhG172Additional: '"&amp;SUBSTITUTE(SUBSTITUTE(AK173, CHAR(13), ""),CHAR(10),"\n"), "")&amp;"', textKo: '"&amp;SUBSTITUTE(SUBSTITUTE(SUBSTITUTE(AM173, CHAR(13), ""),CHAR(10),"\n"),"'","\'")&amp;IF(AM173&lt;&gt;"", "', textKoAdditional: '"&amp;SUBSTITUTE(SUBSTITUTE(AM173, CHAR(13), ""),CHAR(10),"\n"), "")&amp;"', textEn: '"&amp;SUBSTITUTE(SUBSTITUTE(SUBSTITUTE(AM173, CHAR(13), ""),CHAR(10),"\n"),"'","\'")&amp;IF(AN173&lt;&gt;"", "', textEnAdditional: '"&amp;SUBSTITUTE(SUBSTITUTE(AN173, CHAR(13), ""),CHAR(10),"\n"), "")&amp;"'"&amp;IF(AB173="○",", sealable: true","")&amp;IF(AC173="○",", removable: true","")&amp;IF(AA173="○",", lie: true","")&amp;IF(AD173="○",", investable: true","")&amp;"},")</x:f>
        <x:v>'11-thallya-o-n-3': {megami: 'thallya', name: 'Shield Charge', nameEn: 'Shield Charge', nameZh: 'Shield Charge', nameZhG172: 'Shield Charge', nameKo: 'Shield Charge', ruby: 'シールドチャージ', rubyEn: '', rubyZh: '护盾冲撞', baseType: 'normal', type: 'attack', range: '1', damage: '3/2', text: '燃焼\n【常時】この《攻撃》のダメージにより移動する桜花結晶は、ダストやフレアでなく間合に動かす。', textZh: '燃烧\n【常时】因此《攻击》造成的伤害将移动的樱花结晶改为移动至距。', textZhG172: ' 燃烧\n【常时】若此《攻击》对对手造成了伤害，则将因结算伤害移动的樱花结晶移至距。', textZhG172Additional: '연소 \n 【상시】이 《공격》의 대미지에 의해 이동하는 벚꽃 결정은, 더스트나 플레어가 아닌 간격으로 움직인다.', textKo: 'Combust\n\nForced: Damage dealt by this attack moves Sakura tokens to Distance instead of to Shadow or to Flare.', textKoAdditional: 'Combust\n\nForced: Damage dealt by this attack moves Sakura tokens to Distance instead of to Shadow or to Flare.', textEn: 'Combust\n\nForced: Damage dealt by this attack moves Sakura tokens to Distance instead of to Shadow or to Flare.'},</x:v>
      </x:c>
      <x:c r="AU173" t="str">
        <x:f>IF($A173&lt;&gt;"", "    /** 《"&amp;$E173&amp;"》 */ export const "&amp;SUBSTITUTE(UPPER(IF(MID($A173, 3, 1)="-", RIGHT($A173,LEN($A173)-3), $A173)), "-", "_")&amp;": TCardId = '"&amp;$A173&amp;"';", "")</x:f>
        <x:v>    /** 《Shield Charge》 */ export const THALLYA_O_N_3: TCardId = '11-thallya-o-n-3';</x:v>
      </x:c>
      <x:c r="AV173" t="str">
        <x:f>IF($A174&lt;&gt;"", "    | '"&amp;$A174&amp;"'", "")</x:f>
        <x:v>    | '11-thallya-o-n-4'</x:v>
      </x:c>
    </x:row>
    <x:row r="174" ht="113" customHeight="1">
      <x:c r="A174" t="str">
        <x:v>11-thallya-o-n-4</x:v>
      </x:c>
      <x:c r="B174" t="str">
        <x:v>thallya</x:v>
      </x:c>
      <x:c r="C174"/>
      <x:c r="D174"/>
      <x:c r="E174" t="str">
        <x:v>Steam Cannon</x:v>
      </x:c>
      <x:c r="F174" t="str">
        <x:v>スチームカノン</x:v>
      </x:c>
      <x:c r="G174" t="str">
        <x:v>Steam Cannon</x:v>
      </x:c>
      <x:c r="H174" t="str">
        <x:v>Steam Cannon</x:v>
      </x:c>
      <x:c r="I174" t="str">
        <x:v>蒸汽大炮</x:v>
      </x:c>
      <x:c r="J174" t="str">
        <x:v>Steam Cannon</x:v>
      </x:c>
      <x:c r="K174" t="str">
        <x:v>Steam Cannon</x:v>
      </x:c>
      <x:c r="L174"/>
      <x:c r="M174" t="str">
        <x:v>通常札</x:v>
      </x:c>
      <x:c r="N174"/>
      <x:c r="O174"/>
      <x:c r="P174"/>
      <x:c r="Q174"/>
      <x:c r="R174" t="str">
        <x:v>攻撃</x:v>
      </x:c>
      <x:c r="S174"/>
      <x:c r="T174" t="str">
        <x:v>3-7</x:v>
      </x:c>
      <x:c r="U174"/>
      <x:c r="V174" t="str">
        <x:v>1/1</x:v>
      </x:c>
      <x:c r="W174"/>
      <x:c r="X174"/>
      <x:c r="Y174"/>
      <x:c r="Z174"/>
      <x:c r="AA174"/>
      <x:c r="AB174"/>
      <x:c r="AC174"/>
      <x:c r="AD174"/>
      <x:c r="AE174" s="438" t="str">
        <x:v>燃焼
全力化:【常時】この《攻撃》は距離拡大(近1)と距離拡大(遠1)を得て、+2/+2となる。
【攻撃後】全力化していないならば、あなたの燃焼済の造花結晶を2つ回復する。</x:v>
      </x:c>
      <x:c r="AF174" s="438"/>
      <x:c r="AG174" s="499" t="str">
        <x:v>燃烧
全力化：【常时】此《攻击》获得距离扩大（近1）和距离扩大（远1），且得+2/+2。
【攻击后】若非全力化，则回复你2个已燃烧的造花结晶。</x:v>
      </x:c>
      <x:c r="AH174" s="438"/>
      <x:c r="AI174" s="438"/>
      <x:c r="AJ174" s="438"/>
      <x:c r="AK174" s="499" t="str">
        <x:v>연소
전력화: 【상시】 이 《공격》은 거리확대(근1)과 거리확대(원1)을 얻고 +2/+2 된다.
【공격후】 전력화로 사용하지 않았다면, 당신의 연소상태의 조화결정을 2개 회복한다.</x:v>
      </x:c>
      <x:c r="AL174" s="438"/>
      <x:c r="AM174" s="499" t="str">
        <x:v>Combust
All-Out: Forced: This Attack gets 1 increased Range in both the near and distant directions, and gains +2/+2.
After Attack: If this card was not played as All-Out, recover 2 burned Artificial Sakura tokens.</x:v>
      </x:c>
      <x:c r="AN174" s="438"/>
      <x:c r="AO174" s="438"/>
      <x:c r="AP174" s="438"/>
      <x:c r="AQ174" s="438"/>
      <x:c r="AR174" s="438"/>
      <x:c r="AS174" s="438"/>
      <x:c r="AT174" t="str">
        <x:f>IF(A174="", "","'"&amp;A174&amp;"': {megami: '"&amp;B174&amp;"'"&amp;IF(C174&lt;&gt;"",", anotherID: '"&amp;C174&amp;"', replace: '"&amp;D174&amp;"'","")&amp;", name: '"&amp;SUBSTITUTE(E174,"'","\'")&amp;"', nameEn: '"&amp;SUBSTITUTE(K174,"'","\'")&amp;"', nameZh: '"&amp;SUBSTITUTE(G174,"'","\'")&amp;"', nameZhG173: '"&amp;SUBSTITUTE(H174,"'","\'")&amp;"', nameKo: '"&amp;SUBSTITUTE(J174,"'","\'")&amp;"', ruby: '"&amp;F174&amp;"', rubyEn: '"&amp;L174&amp;IF(I174&lt;&gt;"", "', rubyZh: '"&amp;I174, "")&amp;"', baseType: '"&amp;IF(M174="通常札","normal",IF(M174="切札","special",IF(M174="追加札","extra",IF(M174="transform","transform",IF(M174="嵐","storm",IF(M174="兵員","troop",IF(M174="構想","plan",IF(M174="メインパーツ","mainParts",IF(M174="カスタムパーツ","customParts",IF(M174="運命","fate",IF(M174="仮想樹","virtualTree","")))))))))))&amp;"'"&amp;IF(N174="○",", extra: true","")&amp;IF(O174&lt;&gt;"",", extraFrom: '"&amp;O174&amp;"'","")&amp;IF(P174&lt;&gt;"",", exchangableTo: '"&amp;P174&amp;"'","")&amp;IF(Q174="○",", poison: true","")&amp;IF(R174&lt;&gt;"", ", type: '"&amp;IF(R174="攻撃","attack",IF(R174="行動","action",IF(R174="不定","variable",IF(R174="対応","reaction",IF(R174="全力","fullpower",IF(R174="付与","enhance",IF(R174="transform","transform","")))))))&amp;"'", "")&amp;IF(S174&lt;&gt;"",", subType: '"&amp;IF(S174="攻撃","attack",IF(S174="行動","action",IF(S174="不定","variable",IF(S174="対応","reaction",IF(S174="全力","fullpower",IF(S174="付与","enhance",IF(S174="transform","transform","")))))))&amp;"'","")&amp;""&amp;IF(T174&lt;&gt;"",", range: '"&amp;T174&amp;"'","")&amp;IF(V174&lt;&gt;"",", damage: '"&amp;V174&amp;"'","")&amp;IF(X174&lt;&gt;"",", capacity: '"&amp;X174&amp;"'","")&amp;IF(Y174&lt;&gt;"",", growth: "&amp;Y174&amp;"","")&amp;IF(Z174&lt;&gt;"",", cost: '"&amp;Z174&amp;"'","")&amp;", text: '"&amp;SUBSTITUTE(SUBSTITUTE(AE174, CHAR(13), ""),CHAR(10),"\n")&amp;IF(AF174&lt;&gt;"", "', textAdditional: '"&amp;SUBSTITUTE(SUBSTITUTE(AF174, CHAR(13), ""),CHAR(10),"\n"), "")&amp;"', textZh: '"&amp;SUBSTITUTE(SUBSTITUTE(SUBSTITUTE(AG174, CHAR(13), ""),CHAR(10),"\n"),"'","\'")&amp;"', textZhG173: '"&amp;SUBSTITUTE(SUBSTITUTE(SUBSTITUTE(AI174, CHAR(13), ""),CHAR(10),"\n"),"'","\'")&amp;IF(AH174&lt;&gt;"", "', textZhAdditional: '"&amp;SUBSTITUTE(SUBSTITUTE(AH174, CHAR(13), ""),CHAR(10),"\n"), "")&amp;IF(AK174&lt;&gt;"", "', textZhG173Additional: '"&amp;SUBSTITUTE(SUBSTITUTE(AK174, CHAR(13), ""),CHAR(10),"\n"), "")&amp;"', textKo: '"&amp;SUBSTITUTE(SUBSTITUTE(SUBSTITUTE(AM174, CHAR(13), ""),CHAR(10),"\n"),"'","\'")&amp;IF(AM174&lt;&gt;"", "', textKoAdditional: '"&amp;SUBSTITUTE(SUBSTITUTE(AM174, CHAR(13), ""),CHAR(10),"\n"), "")&amp;"', textEn: '"&amp;SUBSTITUTE(SUBSTITUTE(SUBSTITUTE(AM174, CHAR(13), ""),CHAR(10),"\n"),"'","\'")&amp;IF(AN174&lt;&gt;"", "', textEnAdditional: '"&amp;SUBSTITUTE(SUBSTITUTE(AN174, CHAR(13), ""),CHAR(10),"\n"), "")&amp;"'"&amp;IF(AB174="○",", sealable: true","")&amp;IF(AC174="○",", removable: true","")&amp;IF(AA174="○",", lie: true","")&amp;IF(AD174="○",", investable: true","")&amp;"},")</x:f>
        <x:v>'11-thallya-o-n-4': {megami: 'thallya', name: 'Steam Cannon', nameEn: 'Steam Cannon', nameZh: 'Steam Cannon', nameZhG173: 'Steam Cannon', nameKo: 'Steam Cannon', ruby: 'スチームカノン', rubyEn: '', rubyZh: '蒸汽大炮', baseType: 'normal', type: 'attack', range: '3-7', damage: '1/1', text: '燃焼\n全力化:【常時】この《攻撃》は距離拡大(近1)と距離拡大(遠1)を得て、+2/+2となる。\n【攻撃後】全力化していないならば、あなたの燃焼済の造花結晶を2つ回復する。', textZh: '燃烧\n全力化：【常时】此《攻击》获得距离扩大（近1）和距离扩大（远1），且得+2/+2。\n【攻击后】若非全力化，则回复你2个已燃烧的造花结晶。', textZhG173: '', textZhG173Additional: '연소\n전력화: 【상시】 이 《공격》은 거리확대(근1)과 거리확대(원1)을 얻고 +2/+2 된다.\n【공격후】 전력화로 사용하지 않았다면, 당신의 연소상태의 조화결정을 2개 회복한다.', textKo: 'Combust\n\nAll-Out: Forced: This Attack gets 1 increased Range in both the near and distant directions, and gains +2/+2.\n\nAfter Attack: If this card was not played as All-Out, recover 2 burned Artificial Sakura tokens.', textKoAdditional: 'Combust\n\nAll-Out: Forced: This Attack gets 1 increased Range in both the near and distant directions, and gains +2/+2.\n\nAfter Attack: If this card was not played as All-Out, recover 2 burned Artificial Sakura tokens.', textEn: 'Combust\n\nAll-Out: Forced: This Attack gets 1 increased Range in both the near and distant directions, and gains +2/+2.\n\nAfter Attack: If this card was not played as All-Out, recover 2 burned Artificial Sakura tokens.'},</x:v>
      </x:c>
      <x:c r="AU174" t="str">
        <x:f>IF($A174&lt;&gt;"", "    /** 《"&amp;$E174&amp;"》 */ export const "&amp;SUBSTITUTE(UPPER(IF(MID($A174, 3, 1)="-", RIGHT($A174,LEN($A174)-3), $A174)), "-", "_")&amp;": TCardId = '"&amp;$A174&amp;"';", "")</x:f>
        <x:v>    /** 《Steam Cannon》 */ export const THALLYA_O_N_4: TCardId = '11-thallya-o-n-4';</x:v>
      </x:c>
      <x:c r="AV174" t="str">
        <x:f>IF($A175&lt;&gt;"", "    | '"&amp;$A175&amp;"'", "")</x:f>
        <x:v>    | '11-thallya-o-n-5'</x:v>
      </x:c>
    </x:row>
    <x:row r="175" ht="53" customHeight="1">
      <x:c r="A175" t="str">
        <x:v>11-thallya-o-n-5</x:v>
      </x:c>
      <x:c r="B175" t="str">
        <x:v>thallya</x:v>
      </x:c>
      <x:c r="C175"/>
      <x:c r="D175"/>
      <x:c r="E175" t="str">
        <x:v>Dual Action</x:v>
      </x:c>
      <x:c r="F175"/>
      <x:c r="G175" t="str">
        <x:v>Stunt</x:v>
      </x:c>
      <x:c r="H175" t="str">
        <x:v>Stunt</x:v>
      </x:c>
      <x:c r="I175" t="str">
        <x:v>特技动作</x:v>
      </x:c>
      <x:c r="J175" t="str">
        <x:v>Stunt</x:v>
      </x:c>
      <x:c r="K175" t="str">
        <x:v>Stunt</x:v>
      </x:c>
      <x:c r="L175"/>
      <x:c r="M175" t="str">
        <x:v>通常札</x:v>
      </x:c>
      <x:c r="N175"/>
      <x:c r="O175"/>
      <x:c r="P175"/>
      <x:c r="Q175"/>
      <x:c r="R175" t="str">
        <x:v>攻撃</x:v>
      </x:c>
      <x:c r="S175" t="str">
        <x:v>全力</x:v>
      </x:c>
      <x:c r="T175" t="str">
        <x:v>2-7</x:v>
      </x:c>
      <x:c r="U175"/>
      <x:c r="V175" t="str">
        <x:v>1/1</x:v>
      </x:c>
      <x:c r="W175"/>
      <x:c r="X175"/>
      <x:c r="Y175"/>
      <x:c r="Z175"/>
      <x:c r="AA175"/>
      <x:c r="AB175"/>
      <x:c r="AC175"/>
      <x:c r="AD175"/>
      <x:c r="AE175" s="438" t="str">
        <x:v>【攻撃後】騎動を行ってもよい。その後、あなたの捨て札から他のメガミの《全力》でない《攻撃》カードを1枚まで選び、それを使用してもよい。</x:v>
      </x:c>
      <x:c r="AF175" s="438"/>
      <x:c r="AG175" s="499" t="str">
        <x:v>令对手畏缩。
自装→2→自气</x:v>
      </x:c>
      <x:c r="AH175" s="438"/>
      <x:c r="AI175" s="499" t="str">
        <x:v>自装（2）→自气 
对手畏缩。</x:v>
      </x:c>
      <x:c r="AJ175" s="438"/>
      <x:c r="AK175" s="499" t="str">
        <x:v>상대를 위축시킨다。 
 자신 오라→자신 플레어：2</x:v>
      </x:c>
      <x:c r="AL175" s="438"/>
      <x:c r="AM175" s="499" t="str">
        <x:v>Flinch your opponent.
Your Aura (2)→ Your Flare</x:v>
      </x:c>
      <x:c r="AN175" s="438"/>
      <x:c r="AO175" s="438"/>
      <x:c r="AP175" s="438"/>
      <x:c r="AQ175" s="438"/>
      <x:c r="AR175" s="438"/>
      <x:c r="AS175" s="438"/>
      <x:c r="AT175" t="str">
        <x:f>IF(A175="", "","'"&amp;A175&amp;"': {megami: '"&amp;B175&amp;"'"&amp;IF(C175&lt;&gt;"",", anotherID: '"&amp;C175&amp;"', replace: '"&amp;D175&amp;"'","")&amp;", name: '"&amp;SUBSTITUTE(E175,"'","\'")&amp;"', nameEn: '"&amp;SUBSTITUTE(K175,"'","\'")&amp;"', nameZh: '"&amp;SUBSTITUTE(G175,"'","\'")&amp;"', nameZhG174: '"&amp;SUBSTITUTE(H175,"'","\'")&amp;"', nameKo: '"&amp;SUBSTITUTE(J175,"'","\'")&amp;"', ruby: '"&amp;F175&amp;"', rubyEn: '"&amp;L175&amp;IF(I175&lt;&gt;"", "', rubyZh: '"&amp;I175, "")&amp;"', baseType: '"&amp;IF(M175="通常札","normal",IF(M175="切札","special",IF(M175="追加札","extra",IF(M175="transform","transform",IF(M175="嵐","storm",IF(M175="兵員","troop",IF(M175="構想","plan",IF(M175="メインパーツ","mainParts",IF(M175="カスタムパーツ","customParts",IF(M175="運命","fate",IF(M175="仮想樹","virtualTree","")))))))))))&amp;"'"&amp;IF(N175="○",", extra: true","")&amp;IF(O175&lt;&gt;"",", extraFrom: '"&amp;O175&amp;"'","")&amp;IF(P175&lt;&gt;"",", exchangableTo: '"&amp;P175&amp;"'","")&amp;IF(Q175="○",", poison: true","")&amp;IF(R175&lt;&gt;"", ", type: '"&amp;IF(R175="攻撃","attack",IF(R175="行動","action",IF(R175="不定","variable",IF(R175="対応","reaction",IF(R175="全力","fullpower",IF(R175="付与","enhance",IF(R175="transform","transform","")))))))&amp;"'", "")&amp;IF(S175&lt;&gt;"",", subType: '"&amp;IF(S175="攻撃","attack",IF(S175="行動","action",IF(S175="不定","variable",IF(S175="対応","reaction",IF(S175="全力","fullpower",IF(S175="付与","enhance",IF(S175="transform","transform","")))))))&amp;"'","")&amp;""&amp;IF(T175&lt;&gt;"",", range: '"&amp;T175&amp;"'","")&amp;IF(V175&lt;&gt;"",", damage: '"&amp;V175&amp;"'","")&amp;IF(X175&lt;&gt;"",", capacity: '"&amp;X175&amp;"'","")&amp;IF(Y175&lt;&gt;"",", growth: "&amp;Y175&amp;"","")&amp;IF(Z175&lt;&gt;"",", cost: '"&amp;Z175&amp;"'","")&amp;", text: '"&amp;SUBSTITUTE(SUBSTITUTE(AE175, CHAR(13), ""),CHAR(10),"\n")&amp;IF(AF175&lt;&gt;"", "', textAdditional: '"&amp;SUBSTITUTE(SUBSTITUTE(AF175, CHAR(13), ""),CHAR(10),"\n"), "")&amp;"', textZh: '"&amp;SUBSTITUTE(SUBSTITUTE(SUBSTITUTE(AG175, CHAR(13), ""),CHAR(10),"\n"),"'","\'")&amp;"', textZhG174: '"&amp;SUBSTITUTE(SUBSTITUTE(SUBSTITUTE(AI175, CHAR(13), ""),CHAR(10),"\n"),"'","\'")&amp;IF(AH175&lt;&gt;"", "', textZhAdditional: '"&amp;SUBSTITUTE(SUBSTITUTE(AH175, CHAR(13), ""),CHAR(10),"\n"), "")&amp;IF(AK175&lt;&gt;"", "', textZhG174Additional: '"&amp;SUBSTITUTE(SUBSTITUTE(AK175, CHAR(13), ""),CHAR(10),"\n"), "")&amp;"', textKo: '"&amp;SUBSTITUTE(SUBSTITUTE(SUBSTITUTE(AM175, CHAR(13), ""),CHAR(10),"\n"),"'","\'")&amp;IF(AM175&lt;&gt;"", "', textKoAdditional: '"&amp;SUBSTITUTE(SUBSTITUTE(AM175, CHAR(13), ""),CHAR(10),"\n"), "")&amp;"', textEn: '"&amp;SUBSTITUTE(SUBSTITUTE(SUBSTITUTE(AM175, CHAR(13), ""),CHAR(10),"\n"),"'","\'")&amp;IF(AN175&lt;&gt;"", "', textEnAdditional: '"&amp;SUBSTITUTE(SUBSTITUTE(AN175, CHAR(13), ""),CHAR(10),"\n"), "")&amp;"'"&amp;IF(AB175="○",", sealable: true","")&amp;IF(AC175="○",", removable: true","")&amp;IF(AA175="○",", lie: true","")&amp;IF(AD175="○",", investable: true","")&amp;"},")</x:f>
        <x:v>'11-thallya-o-n-5': {megami: 'thallya', name: 'Dual Action', nameEn: 'Stunt', nameZh: 'Stunt', nameZhG174: 'Stunt', nameKo: 'Stunt', ruby: '', rubyEn: '', rubyZh: '特技动作', baseType: 'normal', type: 'attack', subType: 'fullpower', range: '2-7', damage: '1/1', text: '【攻撃後】騎動を行ってもよい。その後、あなたの捨て札から他のメガミの《全力》でない《攻撃》カードを1枚まで選び、それを使用してもよい。', textZh: '令对手畏缩。\n自装→2→自气', textZhG174: '自装（2）→自气 \n对手畏缩。', textZhG174Additional: '상대를 위축시킨다。 \n 자신 오라→자신 플레어：2', textKo: 'Flinch your opponent.\n\nYour Aura (2)→ Your Flare', textKoAdditional: 'Flinch your opponent.\n\nYour Aura (2)→ Your Flare', textEn: 'Flinch your opponent.\n\nYour Aura (2)→ Your Flare'},</x:v>
      </x:c>
      <x:c r="AU175" t="str">
        <x:f>IF($A175&lt;&gt;"", "    /** 《"&amp;$E175&amp;"》 */ export const "&amp;SUBSTITUTE(UPPER(IF(MID($A175, 3, 1)="-", RIGHT($A175,LEN($A175)-3), $A175)), "-", "_")&amp;": TCardId = '"&amp;$A175&amp;"';", "")</x:f>
        <x:v>    /** 《Dual Action》 */ export const THALLYA_O_N_5: TCardId = '11-thallya-o-n-5';</x:v>
      </x:c>
      <x:c r="AV175" t="str">
        <x:f>IF($A176&lt;&gt;"", "    | '"&amp;$A176&amp;"'", "")</x:f>
        <x:v>    | '11-thallya-o-n-6'</x:v>
      </x:c>
    </x:row>
    <x:row r="176" ht="98" customHeight="1">
      <x:c r="A176" t="str">
        <x:v>11-thallya-o-n-6</x:v>
      </x:c>
      <x:c r="B176" t="str">
        <x:v>thallya</x:v>
      </x:c>
      <x:c r="C176"/>
      <x:c r="D176"/>
      <x:c r="E176" t="str">
        <x:v>Roaring</x:v>
      </x:c>
      <x:c r="F176" t="str">
        <x:v>ロアリング</x:v>
      </x:c>
      <x:c r="G176" t="str">
        <x:v>Roaring</x:v>
      </x:c>
      <x:c r="H176" t="str">
        <x:v>Roaring</x:v>
      </x:c>
      <x:c r="I176" t="str">
        <x:v>引擎轰鸣</x:v>
      </x:c>
      <x:c r="J176" t="str">
        <x:v>Roaring</x:v>
      </x:c>
      <x:c r="K176" t="str">
        <x:v>Roaring</x:v>
      </x:c>
      <x:c r="L176"/>
      <x:c r="M176" t="str">
        <x:v>通常札</x:v>
      </x:c>
      <x:c r="N176"/>
      <x:c r="O176"/>
      <x:c r="P176"/>
      <x:c r="Q176"/>
      <x:c r="R176" t="str">
        <x:v>行動</x:v>
      </x:c>
      <x:c r="S176"/>
      <x:c r="T176"/>
      <x:c r="U176"/>
      <x:c r="V176"/>
      <x:c r="W176"/>
      <x:c r="X176"/>
      <x:c r="Y176"/>
      <x:c r="Z176"/>
      <x:c r="AA176"/>
      <x:c r="AB176"/>
      <x:c r="AC176"/>
      <x:c r="AD176"/>
      <x:c r="AE176" s="438" t="str">
        <x:v>マシンにある造花結晶2つを燃焼させてもよい。そうした場合、あなたは集中力を1得て、相フレア→ダスト：1
集中力を2支払ってもよい。そうした場合、あなたの燃焼済の造花結晶を3つ回復する。</x:v>
      </x:c>
      <x:c r="AF176" s="438"/>
      <x:c r="AG176" s="499" t="str">
        <x:v>你可以燃烧2个造花结晶。若如此做，则你获得1点集中力，对手失去1点集中力，令对手畏缩。
你可以支付2点集中力。若如此做，则回复3个已燃烧的造花结晶。</x:v>
      </x:c>
      <x:c r="AH176" s="438"/>
      <x:c r="AI176" s="499" t="str">
        <x:v>你可以燃烧2个造花结晶且/或支付2点集中力，作为使用此牌的额外费用。若你使用此牌时燃烧了造花结晶，则你获得1点集中力，对手失去1点集中力，对手畏缩。若你使用此牌时支付了集中力，则回复3个造花结晶。</x:v>
      </x:c>
      <x:c r="AJ176" s="438"/>
      <x:c r="AK176" s="499" t="str">
        <x:v>코스트로,  당신의 머신에 있는 조화결정을 2개 연소완료로 해도 좋다. 그럴 경우, 당신은 집중력을 1 얻고, 상대는 집중력을 1 잃으며, 상대를 위축시킨다。 
코스트로, 집중력을 2만큼 지불해도 좋다. 그럴 경우, 당신의 연소완료 조화결정을 3개 회복한다.</x:v>
      </x:c>
      <x:c r="AL176" s="438"/>
      <x:c r="AM176" s="499" t="str">
        <x:v>You may burn 2 Artificial Sakura tokens on your machine. If you do, gain 1 Vigor, your opponent loses 1 Vigor, and flinch your opponent.
You may spend 2 Vigor. If you do, recover 3 burned Artificial Sakura tokens.</x:v>
      </x:c>
      <x:c r="AN176" s="438"/>
      <x:c r="AO176" s="438"/>
      <x:c r="AP176" s="438"/>
      <x:c r="AQ176" s="438"/>
      <x:c r="AR176" s="438"/>
      <x:c r="AS176" s="438"/>
      <x:c r="AT176" t="str">
        <x:f>IF(A176="", "","'"&amp;A176&amp;"': {megami: '"&amp;B176&amp;"'"&amp;IF(C176&lt;&gt;"",", anotherID: '"&amp;C176&amp;"', replace: '"&amp;D176&amp;"'","")&amp;", name: '"&amp;SUBSTITUTE(E176,"'","\'")&amp;"', nameEn: '"&amp;SUBSTITUTE(K176,"'","\'")&amp;"', nameZh: '"&amp;SUBSTITUTE(G176,"'","\'")&amp;"', nameZhG175: '"&amp;SUBSTITUTE(H176,"'","\'")&amp;"', nameKo: '"&amp;SUBSTITUTE(J176,"'","\'")&amp;"', ruby: '"&amp;F176&amp;"', rubyEn: '"&amp;L176&amp;IF(I176&lt;&gt;"", "', rubyZh: '"&amp;I176, "")&amp;"', baseType: '"&amp;IF(M176="通常札","normal",IF(M176="切札","special",IF(M176="追加札","extra",IF(M176="transform","transform",IF(M176="嵐","storm",IF(M176="兵員","troop",IF(M176="構想","plan",IF(M176="メインパーツ","mainParts",IF(M176="カスタムパーツ","customParts",IF(M176="運命","fate",IF(M176="仮想樹","virtualTree","")))))))))))&amp;"'"&amp;IF(N176="○",", extra: true","")&amp;IF(O176&lt;&gt;"",", extraFrom: '"&amp;O176&amp;"'","")&amp;IF(P176&lt;&gt;"",", exchangableTo: '"&amp;P176&amp;"'","")&amp;IF(Q176="○",", poison: true","")&amp;IF(R176&lt;&gt;"", ", type: '"&amp;IF(R176="攻撃","attack",IF(R176="行動","action",IF(R176="不定","variable",IF(R176="対応","reaction",IF(R176="全力","fullpower",IF(R176="付与","enhance",IF(R176="transform","transform","")))))))&amp;"'", "")&amp;IF(S176&lt;&gt;"",", subType: '"&amp;IF(S176="攻撃","attack",IF(S176="行動","action",IF(S176="不定","variable",IF(S176="対応","reaction",IF(S176="全力","fullpower",IF(S176="付与","enhance",IF(S176="transform","transform","")))))))&amp;"'","")&amp;""&amp;IF(T176&lt;&gt;"",", range: '"&amp;T176&amp;"'","")&amp;IF(V176&lt;&gt;"",", damage: '"&amp;V176&amp;"'","")&amp;IF(X176&lt;&gt;"",", capacity: '"&amp;X176&amp;"'","")&amp;IF(Y176&lt;&gt;"",", growth: "&amp;Y176&amp;"","")&amp;IF(Z176&lt;&gt;"",", cost: '"&amp;Z176&amp;"'","")&amp;", text: '"&amp;SUBSTITUTE(SUBSTITUTE(AE176, CHAR(13), ""),CHAR(10),"\n")&amp;IF(AF176&lt;&gt;"", "', textAdditional: '"&amp;SUBSTITUTE(SUBSTITUTE(AF176, CHAR(13), ""),CHAR(10),"\n"), "")&amp;"', textZh: '"&amp;SUBSTITUTE(SUBSTITUTE(SUBSTITUTE(AG176, CHAR(13), ""),CHAR(10),"\n"),"'","\'")&amp;"', textZhG175: '"&amp;SUBSTITUTE(SUBSTITUTE(SUBSTITUTE(AI176, CHAR(13), ""),CHAR(10),"\n"),"'","\'")&amp;IF(AH176&lt;&gt;"", "', textZhAdditional: '"&amp;SUBSTITUTE(SUBSTITUTE(AH176, CHAR(13), ""),CHAR(10),"\n"), "")&amp;IF(AK176&lt;&gt;"", "', textZhG175Additional: '"&amp;SUBSTITUTE(SUBSTITUTE(AK176, CHAR(13), ""),CHAR(10),"\n"), "")&amp;"', textKo: '"&amp;SUBSTITUTE(SUBSTITUTE(SUBSTITUTE(AM176, CHAR(13), ""),CHAR(10),"\n"),"'","\'")&amp;IF(AM176&lt;&gt;"", "', textKoAdditional: '"&amp;SUBSTITUTE(SUBSTITUTE(AM176, CHAR(13), ""),CHAR(10),"\n"), "")&amp;"', textEn: '"&amp;SUBSTITUTE(SUBSTITUTE(SUBSTITUTE(AM176, CHAR(13), ""),CHAR(10),"\n"),"'","\'")&amp;IF(AN176&lt;&gt;"", "', textEnAdditional: '"&amp;SUBSTITUTE(SUBSTITUTE(AN176, CHAR(13), ""),CHAR(10),"\n"), "")&amp;"'"&amp;IF(AB176="○",", sealable: true","")&amp;IF(AC176="○",", removable: true","")&amp;IF(AA176="○",", lie: true","")&amp;IF(AD176="○",", investable: true","")&amp;"},")</x:f>
        <x:v>'11-thallya-o-n-6': {megami: 'thallya', name: 'Roaring', nameEn: 'Roaring', nameZh: 'Roaring', nameZhG175: 'Roaring', nameKo: 'Roaring', ruby: 'ロアリング', rubyEn: '', rubyZh: '引擎轰鸣', baseType: 'normal', type: 'action', text: 'マシンにある造花結晶2つを燃焼させてもよい。そうした場合、あなたは集中力を1得て、相フレア→ダスト：1\n集中力を2支払ってもよい。そうした場合、あなたの燃焼済の造花結晶を3つ回復する。', textZh: '你可以燃烧2个造花结晶。若如此做，则你获得1点集中力，对手失去1点集中力，令对手畏缩。\n你可以支付2点集中力。若如此做，则回复3个已燃烧的造花结晶。', textZhG175: '你可以燃烧2个造花结晶且/或支付2点集中力，作为使用此牌的额外费用。若你使用此牌时燃烧了造花结晶，则你获得1点集中力，对手失去1点集中力，对手畏缩。若你使用此牌时支付了集中力，则回复3个造花结晶。', textZhG175Additional: '코스트로,  당신의 머신에 있는 조화결정을 2개 연소완료로 해도 좋다. 그럴 경우, 당신은 집중력을 1 얻고, 상대는 집중력을 1 잃으며, 상대를 위축시킨다。 \n코스트로, 집중력을 2만큼 지불해도 좋다. 그럴 경우, 당신의 연소완료 조화결정을 3개 회복한다.', textKo: 'You may burn 2 Artificial Sakura tokens on your machine. If you do, gain 1 Vigor, your opponent loses 1 Vigor, and flinch your opponent.\n\nYou may spend 2 Vigor. If you do, recover 3 burned Artificial Sakura tokens.', textKoAdditional: 'You may burn 2 Artificial Sakura tokens on your machine. If you do, gain 1 Vigor, your opponent loses 1 Vigor, and flinch your opponent.\n\nYou may spend 2 Vigor. If you do, recover 3 burned Artificial Sakura tokens.', textEn: 'You may burn 2 Artificial Sakura tokens on your machine. If you do, gain 1 Vigor, your opponent loses 1 Vigor, and flinch your opponent.\n\nYou may spend 2 Vigor. If you do, recover 3 burned Artificial Sakura tokens.'},</x:v>
      </x:c>
      <x:c r="AU176" t="str">
        <x:f>IF($A176&lt;&gt;"", "    /** 《"&amp;$E176&amp;"》 */ export const "&amp;SUBSTITUTE(UPPER(IF(MID($A176, 3, 1)="-", RIGHT($A176,LEN($A176)-3), $A176)), "-", "_")&amp;": TCardId = '"&amp;$A176&amp;"';", "")</x:f>
        <x:v>    /** 《Roaring》 */ export const THALLYA_O_N_6: TCardId = '11-thallya-o-n-6';</x:v>
      </x:c>
      <x:c r="AV176" t="str">
        <x:f>IF($A177&lt;&gt;"", "    | '"&amp;$A177&amp;"'", "")</x:f>
        <x:v>    | '11-thallya-o-n-7'</x:v>
      </x:c>
    </x:row>
    <x:row r="177" ht="53" customHeight="1">
      <x:c r="A177" t="str">
        <x:v>11-thallya-o-n-7</x:v>
      </x:c>
      <x:c r="B177" t="str">
        <x:v>thallya</x:v>
      </x:c>
      <x:c r="C177"/>
      <x:c r="D177"/>
      <x:c r="E177" t="str">
        <x:v>Turbo Switch</x:v>
      </x:c>
      <x:c r="F177" t="str">
        <x:v>ターボスイッチ</x:v>
      </x:c>
      <x:c r="G177" t="str">
        <x:v>Turbo Switch</x:v>
      </x:c>
      <x:c r="H177" t="str">
        <x:v>Turbo Switch</x:v>
      </x:c>
      <x:c r="I177" t="str">
        <x:v>涡轮变速</x:v>
      </x:c>
      <x:c r="J177" t="str">
        <x:v>Turbo Switch</x:v>
      </x:c>
      <x:c r="K177" t="str">
        <x:v>Turbo Switch</x:v>
      </x:c>
      <x:c r="L177"/>
      <x:c r="M177" t="str">
        <x:v>通常札</x:v>
      </x:c>
      <x:c r="N177"/>
      <x:c r="O177"/>
      <x:c r="P177"/>
      <x:c r="Q177"/>
      <x:c r="R177" t="str">
        <x:v>行動</x:v>
      </x:c>
      <x:c r="S177" t="str">
        <x:v>対応</x:v>
      </x:c>
      <x:c r="T177"/>
      <x:c r="U177"/>
      <x:c r="V177"/>
      <x:c r="W177"/>
      <x:c r="X177"/>
      <x:c r="Y177"/>
      <x:c r="Z177"/>
      <x:c r="AA177"/>
      <x:c r="AB177"/>
      <x:c r="AC177"/>
      <x:c r="AD177"/>
      <x:c r="AE177" s="438" t="str">
        <x:v>燃焼
騎動を行う。</x:v>
      </x:c>
      <x:c r="AF177" s="438"/>
      <x:c r="AG177" s="499" t="str">
        <x:v>燃烧
骑动</x:v>
      </x:c>
      <x:c r="AH177" s="438"/>
      <x:c r="AI177" s="499" t="str">
        <x:v>燃烧_x005F
骑动</x:v>
      </x:c>
      <x:c r="AJ177" s="438"/>
      <x:c r="AK177" s="499" t="str">
        <x:v>연소 
 기동을 행한다.</x:v>
      </x:c>
      <x:c r="AL177" s="438"/>
      <x:c r="AM177" s="499" t="str">
        <x:v>Combust
Maneuver.</x:v>
      </x:c>
      <x:c r="AN177" s="438"/>
      <x:c r="AO177" s="438"/>
      <x:c r="AP177" s="438"/>
      <x:c r="AQ177" s="438"/>
      <x:c r="AR177" s="438"/>
      <x:c r="AS177" s="438"/>
      <x:c r="AT177" t="str">
        <x:f>IF(A177="", "","'"&amp;A177&amp;"': {megami: '"&amp;B177&amp;"'"&amp;IF(C177&lt;&gt;"",", anotherID: '"&amp;C177&amp;"', replace: '"&amp;D177&amp;"'","")&amp;", name: '"&amp;SUBSTITUTE(E177,"'","\'")&amp;"', nameEn: '"&amp;SUBSTITUTE(K177,"'","\'")&amp;"', nameZh: '"&amp;SUBSTITUTE(G177,"'","\'")&amp;"', nameZhG176: '"&amp;SUBSTITUTE(H177,"'","\'")&amp;"', nameKo: '"&amp;SUBSTITUTE(J177,"'","\'")&amp;"', ruby: '"&amp;F177&amp;"', rubyEn: '"&amp;L177&amp;IF(I177&lt;&gt;"", "', rubyZh: '"&amp;I177, "")&amp;"', baseType: '"&amp;IF(M177="通常札","normal",IF(M177="切札","special",IF(M177="追加札","extra",IF(M177="transform","transform",IF(M177="嵐","storm",IF(M177="兵員","troop",IF(M177="構想","plan",IF(M177="メインパーツ","mainParts",IF(M177="カスタムパーツ","customParts",IF(M177="運命","fate",IF(M177="仮想樹","virtualTree","")))))))))))&amp;"'"&amp;IF(N177="○",", extra: true","")&amp;IF(O177&lt;&gt;"",", extraFrom: '"&amp;O177&amp;"'","")&amp;IF(P177&lt;&gt;"",", exchangableTo: '"&amp;P177&amp;"'","")&amp;IF(Q177="○",", poison: true","")&amp;IF(R177&lt;&gt;"", ", type: '"&amp;IF(R177="攻撃","attack",IF(R177="行動","action",IF(R177="不定","variable",IF(R177="対応","reaction",IF(R177="全力","fullpower",IF(R177="付与","enhance",IF(R177="transform","transform","")))))))&amp;"'", "")&amp;IF(S177&lt;&gt;"",", subType: '"&amp;IF(S177="攻撃","attack",IF(S177="行動","action",IF(S177="不定","variable",IF(S177="対応","reaction",IF(S177="全力","fullpower",IF(S177="付与","enhance",IF(S177="transform","transform","")))))))&amp;"'","")&amp;""&amp;IF(T177&lt;&gt;"",", range: '"&amp;T177&amp;"'","")&amp;IF(V177&lt;&gt;"",", damage: '"&amp;V177&amp;"'","")&amp;IF(X177&lt;&gt;"",", capacity: '"&amp;X177&amp;"'","")&amp;IF(Y177&lt;&gt;"",", growth: "&amp;Y177&amp;"","")&amp;IF(Z177&lt;&gt;"",", cost: '"&amp;Z177&amp;"'","")&amp;", text: '"&amp;SUBSTITUTE(SUBSTITUTE(AE177, CHAR(13), ""),CHAR(10),"\n")&amp;IF(AF177&lt;&gt;"", "', textAdditional: '"&amp;SUBSTITUTE(SUBSTITUTE(AF177, CHAR(13), ""),CHAR(10),"\n"), "")&amp;"', textZh: '"&amp;SUBSTITUTE(SUBSTITUTE(SUBSTITUTE(AG177, CHAR(13), ""),CHAR(10),"\n"),"'","\'")&amp;"', textZhG176: '"&amp;SUBSTITUTE(SUBSTITUTE(SUBSTITUTE(AI177, CHAR(13), ""),CHAR(10),"\n"),"'","\'")&amp;IF(AH177&lt;&gt;"", "', textZhAdditional: '"&amp;SUBSTITUTE(SUBSTITUTE(AH177, CHAR(13), ""),CHAR(10),"\n"), "")&amp;IF(AK177&lt;&gt;"", "', textZhG176Additional: '"&amp;SUBSTITUTE(SUBSTITUTE(AK177, CHAR(13), ""),CHAR(10),"\n"), "")&amp;"', textKo: '"&amp;SUBSTITUTE(SUBSTITUTE(SUBSTITUTE(AM177, CHAR(13), ""),CHAR(10),"\n"),"'","\'")&amp;IF(AM177&lt;&gt;"", "', textKoAdditional: '"&amp;SUBSTITUTE(SUBSTITUTE(AM177, CHAR(13), ""),CHAR(10),"\n"), "")&amp;"', textEn: '"&amp;SUBSTITUTE(SUBSTITUTE(SUBSTITUTE(AM177, CHAR(13), ""),CHAR(10),"\n"),"'","\'")&amp;IF(AN177&lt;&gt;"", "', textEnAdditional: '"&amp;SUBSTITUTE(SUBSTITUTE(AN177, CHAR(13), ""),CHAR(10),"\n"), "")&amp;"'"&amp;IF(AB177="○",", sealable: true","")&amp;IF(AC177="○",", removable: true","")&amp;IF(AA177="○",", lie: true","")&amp;IF(AD177="○",", investable: true","")&amp;"},")</x:f>
        <x:v>'11-thallya-o-n-7': {megami: 'thallya', name: 'Turbo Switch', nameEn: 'Turbo Switch', nameZh: 'Turbo Switch', nameZhG176: 'Turbo Switch', nameKo: 'Turbo Switch', ruby: 'ターボスイッチ', rubyEn: '', rubyZh: '涡轮变速', baseType: 'normal', type: 'action', subType: 'reaction', text: '燃焼\n騎動を行う。', textZh: '燃烧\n骑动', textZhG176: '燃烧_x005F\n骑动', textZhG176Additional: '연소 \n 기동을 행한다.', textKo: 'Combust\n\nManeuver.', textKoAdditional: 'Combust\n\nManeuver.', textEn: 'Combust\n\nManeuver.'},</x:v>
      </x:c>
      <x:c r="AU177" t="str">
        <x:f>IF($A177&lt;&gt;"", "    /** 《"&amp;$E177&amp;"》 */ export const "&amp;SUBSTITUTE(UPPER(IF(MID($A177, 3, 1)="-", RIGHT($A177,LEN($A177)-3), $A177)), "-", "_")&amp;": TCardId = '"&amp;$A177&amp;"';", "")</x:f>
        <x:v>    /** 《Turbo Switch》 */ export const THALLYA_O_N_7: TCardId = '11-thallya-o-n-7';</x:v>
      </x:c>
      <x:c r="AV177" t="str">
        <x:f>IF($A178&lt;&gt;"", "    | '"&amp;$A178&amp;"'", "")</x:f>
        <x:v>    | '11-thallya-o-s-1'</x:v>
      </x:c>
    </x:row>
    <x:row r="178" ht="38" customHeight="1">
      <x:c r="A178" t="str">
        <x:v>11-thallya-o-s-1</x:v>
      </x:c>
      <x:c r="B178" t="str">
        <x:v>thallya</x:v>
      </x:c>
      <x:c r="C178"/>
      <x:c r="D178"/>
      <x:c r="E178" t="str">
        <x:v>Alpha-Edge</x:v>
      </x:c>
      <x:c r="F178" t="str">
        <x:v>アルファエッジ</x:v>
      </x:c>
      <x:c r="G178" t="str">
        <x:v>Alpha-Edge</x:v>
      </x:c>
      <x:c r="H178" t="str">
        <x:v>Alpha-Edge</x:v>
      </x:c>
      <x:c r="I178" t="str">
        <x:v>阿尔法突击</x:v>
      </x:c>
      <x:c r="J178" t="str">
        <x:v>Alpha-Edge</x:v>
      </x:c>
      <x:c r="K178" t="str">
        <x:v>Alpha-Edge</x:v>
      </x:c>
      <x:c r="L178"/>
      <x:c r="M178" t="str">
        <x:v>切札</x:v>
      </x:c>
      <x:c r="N178"/>
      <x:c r="O178"/>
      <x:c r="P178"/>
      <x:c r="Q178"/>
      <x:c r="R178" t="str">
        <x:v>攻撃</x:v>
      </x:c>
      <x:c r="S178"/>
      <x:c r="T178" t="str">
        <x:v>1,3,5,7</x:v>
      </x:c>
      <x:c r="U178"/>
      <x:c r="V178" t="str">
        <x:v>1/1</x:v>
      </x:c>
      <x:c r="W178"/>
      <x:c r="X178"/>
      <x:c r="Y178"/>
      <x:c r="Z178" t="n">
        <x:v>1</x:v>
      </x:c>
      <x:c r="AA178"/>
      <x:c r="AB178"/>
      <x:c r="AC178"/>
      <x:c r="AD178"/>
      <x:c r="AE178" s="438" t="str">
        <x:v>即再起:あなたが騎動により間合を変化させる。</x:v>
      </x:c>
      <x:c r="AF178" s="438"/>
      <x:c r="AG178" s="499" t="str">
        <x:v>【即再起】你骑动造成距离变化。</x:v>
      </x:c>
      <x:c r="AH178" s="438"/>
      <x:c r="AI178" s="499" t="str">
        <x:v>【即再起】骑动</x:v>
      </x:c>
      <x:c r="AJ178" s="438"/>
      <x:c r="AK178" s="499" t="str">
        <x:v>【즉재기】당신이 기동으로 간격을 변화시킨다.</x:v>
      </x:c>
      <x:c r="AL178" s="438"/>
      <x:c r="AM178" s="499" t="str">
        <x:v>Immediate Resurgence: Your Maneuver changes the Distance.</x:v>
      </x:c>
      <x:c r="AN178" s="438"/>
      <x:c r="AO178" s="438"/>
      <x:c r="AP178" s="438"/>
      <x:c r="AQ178" s="438"/>
      <x:c r="AR178" s="438"/>
      <x:c r="AS178" s="438"/>
      <x:c r="AT178" t="str">
        <x:f>IF(A178="", "","'"&amp;A178&amp;"': {megami: '"&amp;B178&amp;"'"&amp;IF(C178&lt;&gt;"",", anotherID: '"&amp;C178&amp;"', replace: '"&amp;D178&amp;"'","")&amp;", name: '"&amp;SUBSTITUTE(E178,"'","\'")&amp;"', nameEn: '"&amp;SUBSTITUTE(K178,"'","\'")&amp;"', nameZh: '"&amp;SUBSTITUTE(G178,"'","\'")&amp;"', nameZhG177: '"&amp;SUBSTITUTE(H178,"'","\'")&amp;"', nameKo: '"&amp;SUBSTITUTE(J178,"'","\'")&amp;"', ruby: '"&amp;F178&amp;"', rubyEn: '"&amp;L178&amp;IF(I178&lt;&gt;"", "', rubyZh: '"&amp;I178, "")&amp;"', baseType: '"&amp;IF(M178="通常札","normal",IF(M178="切札","special",IF(M178="追加札","extra",IF(M178="transform","transform",IF(M178="嵐","storm",IF(M178="兵員","troop",IF(M178="構想","plan",IF(M178="メインパーツ","mainParts",IF(M178="カスタムパーツ","customParts",IF(M178="運命","fate",IF(M178="仮想樹","virtualTree","")))))))))))&amp;"'"&amp;IF(N178="○",", extra: true","")&amp;IF(O178&lt;&gt;"",", extraFrom: '"&amp;O178&amp;"'","")&amp;IF(P178&lt;&gt;"",", exchangableTo: '"&amp;P178&amp;"'","")&amp;IF(Q178="○",", poison: true","")&amp;IF(R178&lt;&gt;"", ", type: '"&amp;IF(R178="攻撃","attack",IF(R178="行動","action",IF(R178="不定","variable",IF(R178="対応","reaction",IF(R178="全力","fullpower",IF(R178="付与","enhance",IF(R178="transform","transform","")))))))&amp;"'", "")&amp;IF(S178&lt;&gt;"",", subType: '"&amp;IF(S178="攻撃","attack",IF(S178="行動","action",IF(S178="不定","variable",IF(S178="対応","reaction",IF(S178="全力","fullpower",IF(S178="付与","enhance",IF(S178="transform","transform","")))))))&amp;"'","")&amp;""&amp;IF(T178&lt;&gt;"",", range: '"&amp;T178&amp;"'","")&amp;IF(V178&lt;&gt;"",", damage: '"&amp;V178&amp;"'","")&amp;IF(X178&lt;&gt;"",", capacity: '"&amp;X178&amp;"'","")&amp;IF(Y178&lt;&gt;"",", growth: "&amp;Y178&amp;"","")&amp;IF(Z178&lt;&gt;"",", cost: '"&amp;Z178&amp;"'","")&amp;", text: '"&amp;SUBSTITUTE(SUBSTITUTE(AE178, CHAR(13), ""),CHAR(10),"\n")&amp;IF(AF178&lt;&gt;"", "', textAdditional: '"&amp;SUBSTITUTE(SUBSTITUTE(AF178, CHAR(13), ""),CHAR(10),"\n"), "")&amp;"', textZh: '"&amp;SUBSTITUTE(SUBSTITUTE(SUBSTITUTE(AG178, CHAR(13), ""),CHAR(10),"\n"),"'","\'")&amp;"', textZhG177: '"&amp;SUBSTITUTE(SUBSTITUTE(SUBSTITUTE(AI178, CHAR(13), ""),CHAR(10),"\n"),"'","\'")&amp;IF(AH178&lt;&gt;"", "', textZhAdditional: '"&amp;SUBSTITUTE(SUBSTITUTE(AH178, CHAR(13), ""),CHAR(10),"\n"), "")&amp;IF(AK178&lt;&gt;"", "', textZhG177Additional: '"&amp;SUBSTITUTE(SUBSTITUTE(AK178, CHAR(13), ""),CHAR(10),"\n"), "")&amp;"', textKo: '"&amp;SUBSTITUTE(SUBSTITUTE(SUBSTITUTE(AM178, CHAR(13), ""),CHAR(10),"\n"),"'","\'")&amp;IF(AM178&lt;&gt;"", "', textKoAdditional: '"&amp;SUBSTITUTE(SUBSTITUTE(AM178, CHAR(13), ""),CHAR(10),"\n"), "")&amp;"', textEn: '"&amp;SUBSTITUTE(SUBSTITUTE(SUBSTITUTE(AM178, CHAR(13), ""),CHAR(10),"\n"),"'","\'")&amp;IF(AN178&lt;&gt;"", "', textEnAdditional: '"&amp;SUBSTITUTE(SUBSTITUTE(AN178, CHAR(13), ""),CHAR(10),"\n"), "")&amp;"'"&amp;IF(AB178="○",", sealable: true","")&amp;IF(AC178="○",", removable: true","")&amp;IF(AA178="○",", lie: true","")&amp;IF(AD178="○",", investable: true","")&amp;"},")</x:f>
        <x:v>'11-thallya-o-s-1': {megami: 'thallya', name: 'Alpha-Edge', nameEn: 'Alpha-Edge', nameZh: 'Alpha-Edge', nameZhG177: 'Alpha-Edge', nameKo: 'Alpha-Edge', ruby: 'アルファエッジ', rubyEn: '', rubyZh: '阿尔法突击', baseType: 'special', type: 'attack', range: '1,3,5,7', damage: '1/1', cost: '1', text: '即再起:あなたが騎動により間合を変化させる。', textZh: '【即再起】你骑动造成距离变化。', textZhG177: '【即再起】骑动', textZhG177Additional: '【즉재기】당신이 기동으로 간격을 변화시킨다.', textKo: 'Immediate Resurgence: Your Maneuver changes the Distance.', textKoAdditional: 'Immediate Resurgence: Your Maneuver changes the Distance.', textEn: 'Immediate Resurgence: Your Maneuver changes the Distance.'},</x:v>
      </x:c>
      <x:c r="AU178" t="str">
        <x:f>IF($A178&lt;&gt;"", "    /** 《"&amp;$E178&amp;"》 */ export const "&amp;SUBSTITUTE(UPPER(IF(MID($A178, 3, 1)="-", RIGHT($A178,LEN($A178)-3), $A178)), "-", "_")&amp;": TCardId = '"&amp;$A178&amp;"';", "")</x:f>
        <x:v>    /** 《Alpha-Edge》 */ export const THALLYA_O_S_1: TCardId = '11-thallya-o-s-1';</x:v>
      </x:c>
      <x:c r="AV178" t="str">
        <x:f>IF($A179&lt;&gt;"", "    | '"&amp;$A179&amp;"'", "")</x:f>
        <x:v>    | '11-thallya-o-s-2'</x:v>
      </x:c>
    </x:row>
    <x:row r="179" ht="98" customHeight="1">
      <x:c r="A179" t="str">
        <x:v>11-thallya-o-s-2</x:v>
      </x:c>
      <x:c r="B179" t="str">
        <x:v>thallya</x:v>
      </x:c>
      <x:c r="C179"/>
      <x:c r="D179"/>
      <x:c r="E179" t="str">
        <x:v>Omega-Burst</x:v>
      </x:c>
      <x:c r="F179" t="str">
        <x:v>オメガバースト</x:v>
      </x:c>
      <x:c r="G179" t="str">
        <x:v>Omega-Burst</x:v>
      </x:c>
      <x:c r="H179" t="str">
        <x:v>Omega-Burst</x:v>
      </x:c>
      <x:c r="I179" t="str">
        <x:v>奥米加脉冲</x:v>
      </x:c>
      <x:c r="J179" t="str">
        <x:v>Omega-Burst</x:v>
      </x:c>
      <x:c r="K179" t="str">
        <x:v>Omega-Burst</x:v>
      </x:c>
      <x:c r="L179"/>
      <x:c r="M179" t="str">
        <x:v>切札</x:v>
      </x:c>
      <x:c r="N179"/>
      <x:c r="O179"/>
      <x:c r="P179"/>
      <x:c r="Q179"/>
      <x:c r="R179" t="str">
        <x:v>行動</x:v>
      </x:c>
      <x:c r="S179" t="str">
        <x:v>対応</x:v>
      </x:c>
      <x:c r="T179"/>
      <x:c r="U179"/>
      <x:c r="V179"/>
      <x:c r="W179"/>
      <x:c r="X179"/>
      <x:c r="Y179"/>
      <x:c r="Z179" t="n">
        <x:v>4</x:v>
      </x:c>
      <x:c r="AA179"/>
      <x:c r="AB179"/>
      <x:c r="AC179"/>
      <x:c r="AD179"/>
      <x:c r="AE179" s="438" t="str">
        <x:v>あなたの燃焼済の造花結晶を全て回復する。
対応した、オーラへのダメージが「-」またはX以下の《攻撃》を打ち消す。
Xはこのカードにより回復した造花結晶の個数に等しい。</x:v>
      </x:c>
      <x:c r="AF179" s="438"/>
      <x:c r="AG179" s="499" t="str">
        <x:v>回复你的所有已燃烧的造花结晶。
打消被对应的对装伤害为“-”或小于等于X的《攻击》，X等于因此牌效果回复的造花结晶的个数。
</x:v>
      </x:c>
      <x:c r="AH179" s="438"/>
      <x:c r="AI179" s="499" t="str">
        <x:v>回复你的所有造花结晶。打消被对应的对装伤害为“-”或小于X的《攻击》，X等于因此牌效果回复的造花结晶的个数。</x:v>
      </x:c>
      <x:c r="AJ179" s="438"/>
      <x:c r="AK179" s="499" t="str">
        <x:v>당신의 연소완료 조화결정을 모두 회복한다.
 대응한, 오라로의 대미지가 「-」 혹은 X 이하의 《공격》은 무효화된다. X는 이 카드로 회복한 조화결정의 갯수와 같다.</x:v>
      </x:c>
      <x:c r="AL179" s="438"/>
      <x:c r="AM179" s="499" t="str">
        <x:v>Recover all your burned Artificial Sakura tokens.
Cancel the attack you played this as a Reaction to if its Damage to Aura is "-", or if its Damage to Aura is X or less. X is the number of Artificial Sakura tokens recovered by this card.</x:v>
      </x:c>
      <x:c r="AN179" s="438"/>
      <x:c r="AO179" s="438"/>
      <x:c r="AP179" s="438"/>
      <x:c r="AQ179" s="438"/>
      <x:c r="AR179" s="438"/>
      <x:c r="AS179" s="438"/>
      <x:c r="AT179" t="str">
        <x:f>IF(A179="", "","'"&amp;A179&amp;"': {megami: '"&amp;B179&amp;"'"&amp;IF(C179&lt;&gt;"",", anotherID: '"&amp;C179&amp;"', replace: '"&amp;D179&amp;"'","")&amp;", name: '"&amp;SUBSTITUTE(E179,"'","\'")&amp;"', nameEn: '"&amp;SUBSTITUTE(K179,"'","\'")&amp;"', nameZh: '"&amp;SUBSTITUTE(G179,"'","\'")&amp;"', nameZhG178: '"&amp;SUBSTITUTE(H179,"'","\'")&amp;"', nameKo: '"&amp;SUBSTITUTE(J179,"'","\'")&amp;"', ruby: '"&amp;F179&amp;"', rubyEn: '"&amp;L179&amp;IF(I179&lt;&gt;"", "', rubyZh: '"&amp;I179, "")&amp;"', baseType: '"&amp;IF(M179="通常札","normal",IF(M179="切札","special",IF(M179="追加札","extra",IF(M179="transform","transform",IF(M179="嵐","storm",IF(M179="兵員","troop",IF(M179="構想","plan",IF(M179="メインパーツ","mainParts",IF(M179="カスタムパーツ","customParts",IF(M179="運命","fate",IF(M179="仮想樹","virtualTree","")))))))))))&amp;"'"&amp;IF(N179="○",", extra: true","")&amp;IF(O179&lt;&gt;"",", extraFrom: '"&amp;O179&amp;"'","")&amp;IF(P179&lt;&gt;"",", exchangableTo: '"&amp;P179&amp;"'","")&amp;IF(Q179="○",", poison: true","")&amp;IF(R179&lt;&gt;"", ", type: '"&amp;IF(R179="攻撃","attack",IF(R179="行動","action",IF(R179="不定","variable",IF(R179="対応","reaction",IF(R179="全力","fullpower",IF(R179="付与","enhance",IF(R179="transform","transform","")))))))&amp;"'", "")&amp;IF(S179&lt;&gt;"",", subType: '"&amp;IF(S179="攻撃","attack",IF(S179="行動","action",IF(S179="不定","variable",IF(S179="対応","reaction",IF(S179="全力","fullpower",IF(S179="付与","enhance",IF(S179="transform","transform","")))))))&amp;"'","")&amp;""&amp;IF(T179&lt;&gt;"",", range: '"&amp;T179&amp;"'","")&amp;IF(V179&lt;&gt;"",", damage: '"&amp;V179&amp;"'","")&amp;IF(X179&lt;&gt;"",", capacity: '"&amp;X179&amp;"'","")&amp;IF(Y179&lt;&gt;"",", growth: "&amp;Y179&amp;"","")&amp;IF(Z179&lt;&gt;"",", cost: '"&amp;Z179&amp;"'","")&amp;", text: '"&amp;SUBSTITUTE(SUBSTITUTE(AE179, CHAR(13), ""),CHAR(10),"\n")&amp;IF(AF179&lt;&gt;"", "', textAdditional: '"&amp;SUBSTITUTE(SUBSTITUTE(AF179, CHAR(13), ""),CHAR(10),"\n"), "")&amp;"', textZh: '"&amp;SUBSTITUTE(SUBSTITUTE(SUBSTITUTE(AG179, CHAR(13), ""),CHAR(10),"\n"),"'","\'")&amp;"', textZhG178: '"&amp;SUBSTITUTE(SUBSTITUTE(SUBSTITUTE(AI179, CHAR(13), ""),CHAR(10),"\n"),"'","\'")&amp;IF(AH179&lt;&gt;"", "', textZhAdditional: '"&amp;SUBSTITUTE(SUBSTITUTE(AH179, CHAR(13), ""),CHAR(10),"\n"), "")&amp;IF(AK179&lt;&gt;"", "', textZhG178Additional: '"&amp;SUBSTITUTE(SUBSTITUTE(AK179, CHAR(13), ""),CHAR(10),"\n"), "")&amp;"', textKo: '"&amp;SUBSTITUTE(SUBSTITUTE(SUBSTITUTE(AM179, CHAR(13), ""),CHAR(10),"\n"),"'","\'")&amp;IF(AM179&lt;&gt;"", "', textKoAdditional: '"&amp;SUBSTITUTE(SUBSTITUTE(AM179, CHAR(13), ""),CHAR(10),"\n"), "")&amp;"', textEn: '"&amp;SUBSTITUTE(SUBSTITUTE(SUBSTITUTE(AM179, CHAR(13), ""),CHAR(10),"\n"),"'","\'")&amp;IF(AN179&lt;&gt;"", "', textEnAdditional: '"&amp;SUBSTITUTE(SUBSTITUTE(AN179, CHAR(13), ""),CHAR(10),"\n"), "")&amp;"'"&amp;IF(AB179="○",", sealable: true","")&amp;IF(AC179="○",", removable: true","")&amp;IF(AA179="○",", lie: true","")&amp;IF(AD179="○",", investable: true","")&amp;"},")</x:f>
        <x:v>'11-thallya-o-s-2': {megami: 'thallya', name: 'Omega-Burst', nameEn: 'Omega-Burst', nameZh: 'Omega-Burst', nameZhG178: 'Omega-Burst', nameKo: 'Omega-Burst', ruby: 'オメガバースト', rubyEn: '', rubyZh: '奥米加脉冲', baseType: 'special', type: 'action', subType: 'reaction', cost: '4', text: 'あなたの燃焼済の造花結晶を全て回復する。\n対応した、オーラへのダメージが「-」またはX以下の《攻撃》を打ち消す。\nXはこのカードにより回復した造花結晶の個数に等しい。', textZh: '回复你的所有已燃烧的造花结晶。\n打消被对应的对装伤害为“-”或小于等于X的《攻击》，X等于因此牌效果回复的造花结晶的个数。\n', textZhG178: '回复你的所有造花结晶。打消被对应的对装伤害为“-”或小于X的《攻击》，X等于因此牌效果回复的造花结晶的个数。', textZhG178Additional: '당신의 연소완료 조화결정을 모두 회복한다.\n 대응한, 오라로의 대미지가 「-」 혹은 X 이하의 《공격》은 무효화된다. X는 이 카드로 회복한 조화결정의 갯수와 같다.', textKo: 'Recover all your burned Artificial Sakura tokens.\n\nCancel the attack you played this as a Reaction to if its Damage to Aura is "-", or if its Damage to Aura is X or less. X is the number of Artificial Sakura tokens recovered by this card.', textKoAdditional: 'Recover all your burned Artificial Sakura tokens.\n\nCancel the attack you played this as a Reaction to if its Damage to Aura is "-", or if its Damage to Aura is X or less. X is the number of Artificial Sakura tokens recovered by this card.', textEn: 'Recover all your burned Artificial Sakura tokens.\n\nCancel the attack you played this as a Reaction to if its Damage to Aura is "-", or if its Damage to Aura is X or less. X is the number of Artificial Sakura tokens recovered by this card.'},</x:v>
      </x:c>
      <x:c r="AU179" t="str">
        <x:f>IF($A179&lt;&gt;"", "    /** 《"&amp;$E179&amp;"》 */ export const "&amp;SUBSTITUTE(UPPER(IF(MID($A179, 3, 1)="-", RIGHT($A179,LEN($A179)-3), $A179)), "-", "_")&amp;": TCardId = '"&amp;$A179&amp;"';", "")</x:f>
        <x:v>    /** 《Omega-Burst》 */ export const THALLYA_O_S_2: TCardId = '11-thallya-o-s-2';</x:v>
      </x:c>
      <x:c r="AV179" t="str">
        <x:f>IF($A180&lt;&gt;"", "    | '"&amp;$A180&amp;"'", "")</x:f>
        <x:v>    | '11-thallya-o-s-3'</x:v>
      </x:c>
    </x:row>
    <x:row r="180" ht="53" customHeight="1">
      <x:c r="A180" t="str">
        <x:v>11-thallya-o-s-3</x:v>
      </x:c>
      <x:c r="B180" t="str">
        <x:v>thallya</x:v>
      </x:c>
      <x:c r="C180"/>
      <x:c r="D180"/>
      <x:c r="E180" t="str">
        <x:v>Thallya's Masterpiece</x:v>
      </x:c>
      <x:c r="F180" t="str">
        <x:v>サリヤズ　マスターピース</x:v>
      </x:c>
      <x:c r="G180" t="str">
        <x:v>Thallya's Masterpiece</x:v>
      </x:c>
      <x:c r="H180" t="str">
        <x:v>Thallya's Masterpiece</x:v>
      </x:c>
      <x:c r="I180" t="str">
        <x:v>萨莉娅的绝技</x:v>
      </x:c>
      <x:c r="J180" t="str">
        <x:v>Thallya's Masterpiece</x:v>
      </x:c>
      <x:c r="K180" t="str">
        <x:v>Thallya's Masterpiece</x:v>
      </x:c>
      <x:c r="L180"/>
      <x:c r="M180" t="str">
        <x:v>切札</x:v>
      </x:c>
      <x:c r="N180"/>
      <x:c r="O180"/>
      <x:c r="P180"/>
      <x:c r="Q180"/>
      <x:c r="R180" t="str">
        <x:v>付与</x:v>
      </x:c>
      <x:c r="S180"/>
      <x:c r="T180"/>
      <x:c r="U180"/>
      <x:c r="V180"/>
      <x:c r="W180"/>
      <x:c r="X180"/>
      <x:c r="Y180"/>
      <x:c r="Z180" t="n">
        <x:v>2</x:v>
      </x:c>
      <x:c r="AA180"/>
      <x:c r="AB180"/>
      <x:c r="AC180"/>
      <x:c r="AD180"/>
      <x:c r="AE180" s="438" t="str">
        <x:v>【展開中】あなたが造花結晶を燃焼させるならば、マシンから燃焼済に移動させるのではなく、燃焼済からマシンに移動させる。
（燃焼済の造花結晶が不足していたら燃焼できない）</x:v>
      </x:c>
      <x:c r="AF180" s="438"/>
      <x:c r="AG180" s="499" t="str">
        <x:v>【展开中】你燃烧造花结晶时，不是从引擎往已燃烧移动，而是从已燃烧往引擎移动。
（已燃烧的造花结晶不足的话则无法燃烧）</x:v>
      </x:c>
      <x:c r="AH180" s="438"/>
      <x:c r="AI180" s="438"/>
      <x:c r="AJ180" s="438"/>
      <x:c r="AK180" s="499" t="str">
        <x:v>【전개중】당신이 조화결정을 연소시킬 때마다, 머신의 조화결정을 연소됨으로 이동시키는 대신 연소된 조화결정을 머신으로 이동시킨다.
(연소됨 상태의 조화결정이 부족하다면 연소할 수 없다.)</x:v>
      </x:c>
      <x:c r="AL180" s="438"/>
      <x:c r="AM180" s="438"/>
      <x:c r="AN180" s="438"/>
      <x:c r="AO180" s="438"/>
      <x:c r="AP180" s="438"/>
      <x:c r="AQ180" s="438"/>
      <x:c r="AR180" s="438"/>
      <x:c r="AS180" s="438"/>
      <x:c r="AT180" t="str">
        <x:f>IF(A180="", "","'"&amp;A180&amp;"': {megami: '"&amp;B180&amp;"'"&amp;IF(C180&lt;&gt;"",", anotherID: '"&amp;C180&amp;"', replace: '"&amp;D180&amp;"'","")&amp;", name: '"&amp;SUBSTITUTE(E180,"'","\'")&amp;"', nameEn: '"&amp;SUBSTITUTE(K180,"'","\'")&amp;"', nameZh: '"&amp;SUBSTITUTE(G180,"'","\'")&amp;"', nameZhG179: '"&amp;SUBSTITUTE(H180,"'","\'")&amp;"', nameKo: '"&amp;SUBSTITUTE(J180,"'","\'")&amp;"', ruby: '"&amp;F180&amp;"', rubyEn: '"&amp;L180&amp;IF(I180&lt;&gt;"", "', rubyZh: '"&amp;I180, "")&amp;"', baseType: '"&amp;IF(M180="通常札","normal",IF(M180="切札","special",IF(M180="追加札","extra",IF(M180="transform","transform",IF(M180="嵐","storm",IF(M180="兵員","troop",IF(M180="構想","plan",IF(M180="メインパーツ","mainParts",IF(M180="カスタムパーツ","customParts",IF(M180="運命","fate",IF(M180="仮想樹","virtualTree","")))))))))))&amp;"'"&amp;IF(N180="○",", extra: true","")&amp;IF(O180&lt;&gt;"",", extraFrom: '"&amp;O180&amp;"'","")&amp;IF(P180&lt;&gt;"",", exchangableTo: '"&amp;P180&amp;"'","")&amp;IF(Q180="○",", poison: true","")&amp;IF(R180&lt;&gt;"", ", type: '"&amp;IF(R180="攻撃","attack",IF(R180="行動","action",IF(R180="不定","variable",IF(R180="対応","reaction",IF(R180="全力","fullpower",IF(R180="付与","enhance",IF(R180="transform","transform","")))))))&amp;"'", "")&amp;IF(S180&lt;&gt;"",", subType: '"&amp;IF(S180="攻撃","attack",IF(S180="行動","action",IF(S180="不定","variable",IF(S180="対応","reaction",IF(S180="全力","fullpower",IF(S180="付与","enhance",IF(S180="transform","transform","")))))))&amp;"'","")&amp;""&amp;IF(T180&lt;&gt;"",", range: '"&amp;T180&amp;"'","")&amp;IF(V180&lt;&gt;"",", damage: '"&amp;V180&amp;"'","")&amp;IF(X180&lt;&gt;"",", capacity: '"&amp;X180&amp;"'","")&amp;IF(Y180&lt;&gt;"",", growth: "&amp;Y180&amp;"","")&amp;IF(Z180&lt;&gt;"",", cost: '"&amp;Z180&amp;"'","")&amp;", text: '"&amp;SUBSTITUTE(SUBSTITUTE(AE180, CHAR(13), ""),CHAR(10),"\n")&amp;IF(AF180&lt;&gt;"", "', textAdditional: '"&amp;SUBSTITUTE(SUBSTITUTE(AF180, CHAR(13), ""),CHAR(10),"\n"), "")&amp;"', textZh: '"&amp;SUBSTITUTE(SUBSTITUTE(SUBSTITUTE(AG180, CHAR(13), ""),CHAR(10),"\n"),"'","\'")&amp;"', textZhG179: '"&amp;SUBSTITUTE(SUBSTITUTE(SUBSTITUTE(AI180, CHAR(13), ""),CHAR(10),"\n"),"'","\'")&amp;IF(AH180&lt;&gt;"", "', textZhAdditional: '"&amp;SUBSTITUTE(SUBSTITUTE(AH180, CHAR(13), ""),CHAR(10),"\n"), "")&amp;IF(AK180&lt;&gt;"", "', textZhG179Additional: '"&amp;SUBSTITUTE(SUBSTITUTE(AK180, CHAR(13), ""),CHAR(10),"\n"), "")&amp;"', textKo: '"&amp;SUBSTITUTE(SUBSTITUTE(SUBSTITUTE(AM180, CHAR(13), ""),CHAR(10),"\n"),"'","\'")&amp;IF(AM180&lt;&gt;"", "', textKoAdditional: '"&amp;SUBSTITUTE(SUBSTITUTE(AM180, CHAR(13), ""),CHAR(10),"\n"), "")&amp;"', textEn: '"&amp;SUBSTITUTE(SUBSTITUTE(SUBSTITUTE(AM180, CHAR(13), ""),CHAR(10),"\n"),"'","\'")&amp;IF(AN180&lt;&gt;"", "', textEnAdditional: '"&amp;SUBSTITUTE(SUBSTITUTE(AN180, CHAR(13), ""),CHAR(10),"\n"), "")&amp;"'"&amp;IF(AB180="○",", sealable: true","")&amp;IF(AC180="○",", removable: true","")&amp;IF(AA180="○",", lie: true","")&amp;IF(AD180="○",", investable: true","")&amp;"},")</x:f>
        <x:v>'11-thallya-o-s-3': {megami: 'thallya', name: 'Thallya\'s Masterpiece', nameEn: 'Thallya\'s Masterpiece', nameZh: 'Thallya\'s Masterpiece', nameZhG179: 'Thallya\'s Masterpiece', nameKo: 'Thallya\'s Masterpiece', ruby: 'サリヤズ　マスターピース', rubyEn: '', rubyZh: '萨莉娅的绝技', baseType: 'special', type: 'enhance', cost: '2', text: '【展開中】あなたが造花結晶を燃焼させるならば、マシンから燃焼済に移動させるのではなく、燃焼済からマシンに移動させる。\n（燃焼済の造花結晶が不足していたら燃焼できない）', textZh: '【展开中】你燃烧造花结晶时，不是从引擎往已燃烧移动，而是从已燃烧往引擎移动。\n（已燃烧的造花结晶不足的话则无法燃烧）', textZhG179: '', textZhG179Additional: '【전개중】당신이 조화결정을 연소시킬 때마다, 머신의 조화결정을 연소됨으로 이동시키는 대신 연소된 조화결정을 머신으로 이동시킨다.\n(연소됨 상태의 조화결정이 부족하다면 연소할 수 없다.)', textKo: '', textEn: ''},</x:v>
      </x:c>
      <x:c r="AU180" t="str">
        <x:f>IF($A180&lt;&gt;"", "    /** 《"&amp;$E180&amp;"》 */ export const "&amp;SUBSTITUTE(UPPER(IF(MID($A180, 3, 1)="-", RIGHT($A180,LEN($A180)-3), $A180)), "-", "_")&amp;": TCardId = '"&amp;$A180&amp;"';", "")</x:f>
        <x:v>    /** 《Thallya's Masterpiece》 */ export const THALLYA_O_S_3: TCardId = '11-thallya-o-s-3';</x:v>
      </x:c>
      <x:c r="AV180" t="str">
        <x:f>IF($A181&lt;&gt;"", "    | '"&amp;$A181&amp;"'", "")</x:f>
        <x:v>    | '11-thallya-o-s-4'</x:v>
      </x:c>
    </x:row>
    <x:row r="181" ht="53" customHeight="1">
      <x:c r="A181" t="str">
        <x:v>11-thallya-o-s-4</x:v>
      </x:c>
      <x:c r="B181" t="str">
        <x:v>thallya</x:v>
      </x:c>
      <x:c r="C181"/>
      <x:c r="D181"/>
      <x:c r="E181" t="str">
        <x:v>Julia's BlackBox</x:v>
      </x:c>
      <x:c r="F181" t="str">
        <x:v>ジュリアズ　ブラックボックス</x:v>
      </x:c>
      <x:c r="G181" t="str">
        <x:v>Julia's BlackBox</x:v>
      </x:c>
      <x:c r="H181" t="str">
        <x:v>Julia's BlackBox</x:v>
      </x:c>
      <x:c r="I181" t="str">
        <x:v>尤里娅的黑盒子</x:v>
      </x:c>
      <x:c r="J181" t="str">
        <x:v>Julia's BlackBox</x:v>
      </x:c>
      <x:c r="K181" t="str">
        <x:v>Julia's BlackBox</x:v>
      </x:c>
      <x:c r="L181"/>
      <x:c r="M181" t="str">
        <x:v>切札</x:v>
      </x:c>
      <x:c r="N181"/>
      <x:c r="O181"/>
      <x:c r="P181"/>
      <x:c r="Q181"/>
      <x:c r="R181" t="str">
        <x:v>行動</x:v>
      </x:c>
      <x:c r="S181" t="str">
        <x:v>全力</x:v>
      </x:c>
      <x:c r="T181"/>
      <x:c r="U181"/>
      <x:c r="V181"/>
      <x:c r="W181"/>
      <x:c r="X181"/>
      <x:c r="Y181"/>
      <x:c r="Z181" t="n">
        <x:v>2</x:v>
      </x:c>
      <x:c r="AA181"/>
      <x:c r="AB181"/>
      <x:c r="AC181"/>
      <x:c r="AD181"/>
      <x:c r="AE181" s="438" t="str">
        <x:v>あなたのマシンに造花結晶がないならばあなたのマシンはTransFormし、あなたの燃焼済の造花結晶を2つ回復する。そうでない場合、このカードを未使用に戻す。</x:v>
      </x:c>
      <x:c r="AF181" s="438"/>
      <x:c r="AG181" s="499" t="str">
        <x:v>若你的引擎里没有造花结晶，则TransForm，然后回复2个已燃烧的造花结晶。若非如此，将此牌变为未使用状态。</x:v>
      </x:c>
      <x:c r="AH181" s="438"/>
      <x:c r="AI181" s="499" t="str">
        <x:v>若你的造花结晶的数目为0，则TRANSFORM，然后回复2个造花结晶，否则将此牌翻面。</x:v>
      </x:c>
      <x:c r="AJ181" s="438"/>
      <x:c r="AK181" s="499" t="str">
        <x:v>당신의 머신에 조화결정이 없다면, 당신의 머신은 TransForm하고, 당신의 연소완료 조화결정을 2개 회복한다. 그렇지 않을 경우, 이 카드를 미사용으로 되돌린다.</x:v>
      </x:c>
      <x:c r="AL181" s="438"/>
      <x:c r="AM181" s="499" t="str">
        <x:v>If there are no Artificial Sakura tokens on your machine, TransForm it and recover 2 burned Artificial Sakura tokens. Otherwise, turn this card face-down.</x:v>
      </x:c>
      <x:c r="AN181" s="438"/>
      <x:c r="AO181" s="438"/>
      <x:c r="AP181" s="438"/>
      <x:c r="AQ181" s="438"/>
      <x:c r="AR181" s="438"/>
      <x:c r="AS181" s="438"/>
      <x:c r="AT181" t="str">
        <x:f>IF(A181="", "","'"&amp;A181&amp;"': {megami: '"&amp;B181&amp;"'"&amp;IF(C181&lt;&gt;"",", anotherID: '"&amp;C181&amp;"', replace: '"&amp;D181&amp;"'","")&amp;", name: '"&amp;SUBSTITUTE(E181,"'","\'")&amp;"', nameEn: '"&amp;SUBSTITUTE(K181,"'","\'")&amp;"', nameZh: '"&amp;SUBSTITUTE(G181,"'","\'")&amp;"', nameZhG180: '"&amp;SUBSTITUTE(H181,"'","\'")&amp;"', nameKo: '"&amp;SUBSTITUTE(J181,"'","\'")&amp;"', ruby: '"&amp;F181&amp;"', rubyEn: '"&amp;L181&amp;IF(I181&lt;&gt;"", "', rubyZh: '"&amp;I181, "")&amp;"', baseType: '"&amp;IF(M181="通常札","normal",IF(M181="切札","special",IF(M181="追加札","extra",IF(M181="transform","transform",IF(M181="嵐","storm",IF(M181="兵員","troop",IF(M181="構想","plan",IF(M181="メインパーツ","mainParts",IF(M181="カスタムパーツ","customParts",IF(M181="運命","fate",IF(M181="仮想樹","virtualTree","")))))))))))&amp;"'"&amp;IF(N181="○",", extra: true","")&amp;IF(O181&lt;&gt;"",", extraFrom: '"&amp;O181&amp;"'","")&amp;IF(P181&lt;&gt;"",", exchangableTo: '"&amp;P181&amp;"'","")&amp;IF(Q181="○",", poison: true","")&amp;IF(R181&lt;&gt;"", ", type: '"&amp;IF(R181="攻撃","attack",IF(R181="行動","action",IF(R181="不定","variable",IF(R181="対応","reaction",IF(R181="全力","fullpower",IF(R181="付与","enhance",IF(R181="transform","transform","")))))))&amp;"'", "")&amp;IF(S181&lt;&gt;"",", subType: '"&amp;IF(S181="攻撃","attack",IF(S181="行動","action",IF(S181="不定","variable",IF(S181="対応","reaction",IF(S181="全力","fullpower",IF(S181="付与","enhance",IF(S181="transform","transform","")))))))&amp;"'","")&amp;""&amp;IF(T181&lt;&gt;"",", range: '"&amp;T181&amp;"'","")&amp;IF(V181&lt;&gt;"",", damage: '"&amp;V181&amp;"'","")&amp;IF(X181&lt;&gt;"",", capacity: '"&amp;X181&amp;"'","")&amp;IF(Y181&lt;&gt;"",", growth: "&amp;Y181&amp;"","")&amp;IF(Z181&lt;&gt;"",", cost: '"&amp;Z181&amp;"'","")&amp;", text: '"&amp;SUBSTITUTE(SUBSTITUTE(AE181, CHAR(13), ""),CHAR(10),"\n")&amp;IF(AF181&lt;&gt;"", "', textAdditional: '"&amp;SUBSTITUTE(SUBSTITUTE(AF181, CHAR(13), ""),CHAR(10),"\n"), "")&amp;"', textZh: '"&amp;SUBSTITUTE(SUBSTITUTE(SUBSTITUTE(AG181, CHAR(13), ""),CHAR(10),"\n"),"'","\'")&amp;"', textZhG180: '"&amp;SUBSTITUTE(SUBSTITUTE(SUBSTITUTE(AI181, CHAR(13), ""),CHAR(10),"\n"),"'","\'")&amp;IF(AH181&lt;&gt;"", "', textZhAdditional: '"&amp;SUBSTITUTE(SUBSTITUTE(AH181, CHAR(13), ""),CHAR(10),"\n"), "")&amp;IF(AK181&lt;&gt;"", "', textZhG180Additional: '"&amp;SUBSTITUTE(SUBSTITUTE(AK181, CHAR(13), ""),CHAR(10),"\n"), "")&amp;"', textKo: '"&amp;SUBSTITUTE(SUBSTITUTE(SUBSTITUTE(AM181, CHAR(13), ""),CHAR(10),"\n"),"'","\'")&amp;IF(AM181&lt;&gt;"", "', textKoAdditional: '"&amp;SUBSTITUTE(SUBSTITUTE(AM181, CHAR(13), ""),CHAR(10),"\n"), "")&amp;"', textEn: '"&amp;SUBSTITUTE(SUBSTITUTE(SUBSTITUTE(AM181, CHAR(13), ""),CHAR(10),"\n"),"'","\'")&amp;IF(AN181&lt;&gt;"", "', textEnAdditional: '"&amp;SUBSTITUTE(SUBSTITUTE(AN181, CHAR(13), ""),CHAR(10),"\n"), "")&amp;"'"&amp;IF(AB181="○",", sealable: true","")&amp;IF(AC181="○",", removable: true","")&amp;IF(AA181="○",", lie: true","")&amp;IF(AD181="○",", investable: true","")&amp;"},")</x:f>
        <x:v>'11-thallya-o-s-4': {megami: 'thallya', name: 'Julia\'s BlackBox', nameEn: 'Julia\'s BlackBox', nameZh: 'Julia\'s BlackBox', nameZhG180: 'Julia\'s BlackBox', nameKo: 'Julia\'s BlackBox', ruby: 'ジュリアズ　ブラックボックス', rubyEn: '', rubyZh: '尤里娅的黑盒子', baseType: 'special', type: 'action', subType: 'fullpower', cost: '2', text: 'あなたのマシンに造花結晶がないならばあなたのマシンはTransFormし、あなたの燃焼済の造花結晶を2つ回復する。そうでない場合、このカードを未使用に戻す。', textZh: '若你的引擎里没有造花结晶，则TransForm，然后回复2个已燃烧的造花结晶。若非如此，将此牌变为未使用状态。', textZhG180: '若你的造花结晶的数目为0，则TRANSFORM，然后回复2个造花结晶，否则将此牌翻面。', textZhG180Additional: '당신의 머신에 조화결정이 없다면, 당신의 머신은 TransForm하고, 당신의 연소완료 조화결정을 2개 회복한다. 그렇지 않을 경우, 이 카드를 미사용으로 되돌린다.', textKo: 'If there are no Artificial Sakura tokens on your machine, TransForm it and recover 2 burned Artificial Sakura tokens. Otherwise, turn this card face-down.', textKoAdditional: 'If there are no Artificial Sakura tokens on your machine, TransForm it and recover 2 burned Artificial Sakura tokens. Otherwise, turn this card face-down.', textEn: 'If there are no Artificial Sakura tokens on your machine, TransForm it and recover 2 burned Artificial Sakura tokens. Otherwise, turn this card face-down.'},</x:v>
      </x:c>
      <x:c r="AU181" t="str">
        <x:f>IF($A181&lt;&gt;"", "    /** 《"&amp;$E181&amp;"》 */ export const "&amp;SUBSTITUTE(UPPER(IF(MID($A181, 3, 1)="-", RIGHT($A181,LEN($A181)-3), $A181)), "-", "_")&amp;": TCardId = '"&amp;$A181&amp;"';", "")</x:f>
        <x:v>    /** 《Julia's BlackBox》 */ export const THALLYA_O_S_4: TCardId = '11-thallya-o-s-4';</x:v>
      </x:c>
      <x:c r="AV181" t="str">
        <x:f>IF($A182&lt;&gt;"", "    | '"&amp;$A182&amp;"'", "")</x:f>
        <x:v>    | 'transform-01'</x:v>
      </x:c>
    </x:row>
    <x:row r="182" ht="143" customHeight="1">
      <x:c r="A182" t="str">
        <x:v>transform-01</x:v>
      </x:c>
      <x:c r="B182" t="str">
        <x:v>thallya</x:v>
      </x:c>
      <x:c r="C182"/>
      <x:c r="D182"/>
      <x:c r="E182" t="str">
        <x:v>Form:YAKSHA</x:v>
      </x:c>
      <x:c r="F182" t="str">
        <x:v>フォルム:ヤクシャ</x:v>
      </x:c>
      <x:c r="G182" t="str">
        <x:v>Form: YAKSHA</x:v>
      </x:c>
      <x:c r="H182" t="str">
        <x:v>亚克夏形态</x:v>
      </x:c>
      <x:c r="I182" t="str">
        <x:v>夜叉形态</x:v>
      </x:c>
      <x:c r="J182" t="str">
        <x:v>Form: YAKSHA</x:v>
      </x:c>
      <x:c r="K182" t="str">
        <x:v>Form: YAKSHA</x:v>
      </x:c>
      <x:c r="L182"/>
      <x:c r="M182" t="str">
        <x:v>transform</x:v>
      </x:c>
      <x:c r="N182"/>
      <x:c r="O182"/>
      <x:c r="P182"/>
      <x:c r="Q182"/>
      <x:c r="R182" t="str">
        <x:v>transform</x:v>
      </x:c>
      <x:c r="S182"/>
      <x:c r="T182"/>
      <x:c r="U182"/>
      <x:c r="V182"/>
      <x:c r="W182"/>
      <x:c r="X182"/>
      <x:c r="Y182"/>
      <x:c r="Z182"/>
      <x:c r="AA182"/>
      <x:c r="AB182"/>
      <x:c r="AC182"/>
      <x:c r="AD182"/>
      <x:c r="AE182" s="438" t="str">
        <x:v>【変形時】相手は次の開始フェイズにカードを1枚しか引けない。相手を畏縮させる。
【常時】あなたのマシンに造花結晶がないならば、あなたは基本動作を行えない。
【追加基本動作:Beta-Edge】《攻撃》『適正距離2,4,6,8、2/1【攻撃後】騎動を行う』を行う。</x:v>
      </x:c>
      <x:c r="AF182" s="438"/>
      <x:c r="AG182" s="499" t="str">
        <x:v>【变形时】对手下个准备阶段只抓1张牌，令对手畏缩。
----
【常时】若你没有造花结晶，则你不能进行基本动作。
----
【追加基本动作：Beta-Edge】
进行一次“攻击距离2,4,6,8 伤害2/1 【攻击后】骑动”的攻击。</x:v>
      </x:c>
      <x:c r="AH182" s="438"/>
      <x:c r="AI182" s="499" t="str">
        <x:v>【变形时】对手下个准备阶段只抓一张牌，对手畏缩。
----
【常时】若你没有造花结晶，则你不能进行基本动作。
----
【追加基本动作】Beta-Edge：进行一次“攻击距离2,4,6,8 伤害2/1 【攻击后】骑动”的攻击。</x:v>
      </x:c>
      <x:c r="AJ182" s="438"/>
      <x:c r="AK182" s="499" t="str">
        <x:v>【변형시】상대는 다음 개시 페이즈에 카드를 1장밖에 뽑을 수 없다. 상대를 위축시킨다。
 ----
 【상시】당신의 머신에 조화결정이 없다면, 당신은 기본동작을 행할 수 없다.
 ----
 【추가기본행동：Beta-Edge】\n「적정거리2,4,6,8、2/1 【공격후】기동을 한다」의 《공격》을 행한다.</x:v>
      </x:c>
      <x:c r="AL182" s="438"/>
      <x:c r="AM182" s="499" t="str">
        <x:v>TransForm: Your opponent only draws 1 card during their next start of turn phase. Flinch your opponent.
----
Forced: You cannot perform basic actions if there are no Artificial Sakura tokens on your machine.
----
Additional basic action ("Beta-Edge"): You attack with "Range: 2, 4, 6, 8, Damage: 2/1, After Attack: Maneuver."</x:v>
      </x:c>
      <x:c r="AN182" s="438"/>
      <x:c r="AO182" s="438"/>
      <x:c r="AP182" s="438"/>
      <x:c r="AQ182" s="438"/>
      <x:c r="AR182" s="438"/>
      <x:c r="AS182" s="438"/>
      <x:c r="AT182" t="str">
        <x:f>IF(A182="", "","'"&amp;A182&amp;"': {megami: '"&amp;B182&amp;"'"&amp;IF(C182&lt;&gt;"",", anotherID: '"&amp;C182&amp;"', replace: '"&amp;D182&amp;"'","")&amp;", name: '"&amp;SUBSTITUTE(E182,"'","\'")&amp;"', nameEn: '"&amp;SUBSTITUTE(K182,"'","\'")&amp;"', nameZh: '"&amp;SUBSTITUTE(G182,"'","\'")&amp;"', nameZhG181: '"&amp;SUBSTITUTE(H182,"'","\'")&amp;"', nameKo: '"&amp;SUBSTITUTE(J182,"'","\'")&amp;"', ruby: '"&amp;F182&amp;"', rubyEn: '"&amp;L182&amp;IF(I182&lt;&gt;"", "', rubyZh: '"&amp;I182, "")&amp;"', baseType: '"&amp;IF(M182="通常札","normal",IF(M182="切札","special",IF(M182="追加札","extra",IF(M182="transform","transform",IF(M182="嵐","storm",IF(M182="兵員","troop",IF(M182="構想","plan",IF(M182="メインパーツ","mainParts",IF(M182="カスタムパーツ","customParts",IF(M182="運命","fate",IF(M182="仮想樹","virtualTree","")))))))))))&amp;"'"&amp;IF(N182="○",", extra: true","")&amp;IF(O182&lt;&gt;"",", extraFrom: '"&amp;O182&amp;"'","")&amp;IF(P182&lt;&gt;"",", exchangableTo: '"&amp;P182&amp;"'","")&amp;IF(Q182="○",", poison: true","")&amp;IF(R182&lt;&gt;"", ", type: '"&amp;IF(R182="攻撃","attack",IF(R182="行動","action",IF(R182="不定","variable",IF(R182="対応","reaction",IF(R182="全力","fullpower",IF(R182="付与","enhance",IF(R182="transform","transform","")))))))&amp;"'", "")&amp;IF(S182&lt;&gt;"",", subType: '"&amp;IF(S182="攻撃","attack",IF(S182="行動","action",IF(S182="不定","variable",IF(S182="対応","reaction",IF(S182="全力","fullpower",IF(S182="付与","enhance",IF(S182="transform","transform","")))))))&amp;"'","")&amp;""&amp;IF(T182&lt;&gt;"",", range: '"&amp;T182&amp;"'","")&amp;IF(V182&lt;&gt;"",", damage: '"&amp;V182&amp;"'","")&amp;IF(X182&lt;&gt;"",", capacity: '"&amp;X182&amp;"'","")&amp;IF(Y182&lt;&gt;"",", growth: "&amp;Y182&amp;"","")&amp;IF(Z182&lt;&gt;"",", cost: '"&amp;Z182&amp;"'","")&amp;", text: '"&amp;SUBSTITUTE(SUBSTITUTE(AE182, CHAR(13), ""),CHAR(10),"\n")&amp;IF(AF182&lt;&gt;"", "', textAdditional: '"&amp;SUBSTITUTE(SUBSTITUTE(AF182, CHAR(13), ""),CHAR(10),"\n"), "")&amp;"', textZh: '"&amp;SUBSTITUTE(SUBSTITUTE(SUBSTITUTE(AG182, CHAR(13), ""),CHAR(10),"\n"),"'","\'")&amp;"', textZhG181: '"&amp;SUBSTITUTE(SUBSTITUTE(SUBSTITUTE(AI182, CHAR(13), ""),CHAR(10),"\n"),"'","\'")&amp;IF(AH182&lt;&gt;"", "', textZhAdditional: '"&amp;SUBSTITUTE(SUBSTITUTE(AH182, CHAR(13), ""),CHAR(10),"\n"), "")&amp;IF(AK182&lt;&gt;"", "', textZhG181Additional: '"&amp;SUBSTITUTE(SUBSTITUTE(AK182, CHAR(13), ""),CHAR(10),"\n"), "")&amp;"', textKo: '"&amp;SUBSTITUTE(SUBSTITUTE(SUBSTITUTE(AM182, CHAR(13), ""),CHAR(10),"\n"),"'","\'")&amp;IF(AM182&lt;&gt;"", "', textKoAdditional: '"&amp;SUBSTITUTE(SUBSTITUTE(AM182, CHAR(13), ""),CHAR(10),"\n"), "")&amp;"', textEn: '"&amp;SUBSTITUTE(SUBSTITUTE(SUBSTITUTE(AM182, CHAR(13), ""),CHAR(10),"\n"),"'","\'")&amp;IF(AN182&lt;&gt;"", "', textEnAdditional: '"&amp;SUBSTITUTE(SUBSTITUTE(AN182, CHAR(13), ""),CHAR(10),"\n"), "")&amp;"'"&amp;IF(AB182="○",", sealable: true","")&amp;IF(AC182="○",", removable: true","")&amp;IF(AA182="○",", lie: true","")&amp;IF(AD182="○",", investable: true","")&amp;"},")</x:f>
        <x:v>'transform-01': {megami: 'thallya', name: 'Form:YAKSHA', nameEn: 'Form: YAKSHA', nameZh: 'Form: YAKSHA', nameZhG181: '亚克夏形态', nameKo: 'Form: YAKSHA', ruby: 'フォルム:ヤクシャ', rubyEn: '', rubyZh: '夜叉形态', baseType: 'transform', type: 'transform', text: '【変形時】相手は次の開始フェイズにカードを1枚しか引けない。相手を畏縮させる。\n【常時】あなたのマシンに造花結晶がないならば、あなたは基本動作を行えない。\n【追加基本動作:Beta-Edge】《攻撃》『適正距離2,4,6,8、2/1【攻撃後】騎動を行う』を行う。', textZh: '【变形时】对手下个准备阶段只抓1张牌，令对手畏缩。\n----\n【常时】若你没有造花结晶，则你不能进行基本动作。\n----\n【追加基本动作：Beta-Edge】\n进行一次“攻击距离2,4,6,8 伤害2/1 【攻击后】骑动”的攻击。', textZhG181: '【变形时】对手下个准备阶段只抓一张牌，对手畏缩。\n----\n【常时】若你没有造花结晶，则你不能进行基本动作。\n----\n【追加基本动作】Beta-Edge：进行一次“攻击距离2,4,6,8 伤害2/1 【攻击后】骑动”的攻击。', textZhG181Additional: '【변형시】상대는 다음 개시 페이즈에 카드를 1장밖에 뽑을 수 없다. 상대를 위축시킨다。\n ----\n 【상시】당신의 머신에 조화결정이 없다면, 당신은 기본동작을 행할 수 없다.\n ----\n 【추가기본행동：Beta-Edge】\n「적정거리2,4,6,8、2/1 【공격후】기동을 한다」의 《공격》을 행한다.', textKo: 'TransForm: Your opponent only draws 1 card during their next start of turn phase. Flinch your opponent.\n----\nForced: You cannot perform basic actions if there are no Artificial Sakura tokens on your machine.\n----\nAdditional basic action ("Beta-Edge"): You attack with "Range: 2, 4, 6, 8, Damage: 2/1, After Attack: Maneuver."', textKoAdditional: 'TransForm: Your opponent only draws 1 card during their next start of turn phase. Flinch your opponent.\n----\nForced: You cannot perform basic actions if there are no Artificial Sakura tokens on your machine.\n----\nAdditional basic action ("Beta-Edge"): You attack with "Range: 2, 4, 6, 8, Damage: 2/1, After Attack: Maneuver."', textEn: 'TransForm: Your opponent only draws 1 card during their next start of turn phase. Flinch your opponent.\n----\nForced: You cannot perform basic actions if there are no Artificial Sakura tokens on your machine.\n----\nAdditional basic action ("Beta-Edge"): You attack with "Range: 2, 4, 6, 8, Damage: 2/1, After Attack: Maneuver."'},</x:v>
      </x:c>
      <x:c r="AU182" t="str">
        <x:f>IF($A182&lt;&gt;"", "    /** 《"&amp;$E182&amp;"》 */ export const "&amp;SUBSTITUTE(UPPER(IF(MID($A182, 3, 1)="-", RIGHT($A182,LEN($A182)-3), $A182)), "-", "_")&amp;": TCardId = '"&amp;$A182&amp;"';", "")</x:f>
        <x:v>    /** 《Form:YAKSHA》 */ export const TRANSFORM_01: TCardId = 'transform-01';</x:v>
      </x:c>
      <x:c r="AV182" t="str">
        <x:f>IF($A183&lt;&gt;"", "    | '"&amp;$A183&amp;"'", "")</x:f>
        <x:v>    | 'transform-02'</x:v>
      </x:c>
    </x:row>
    <x:row r="183" ht="83" customHeight="1">
      <x:c r="A183" t="str">
        <x:v>transform-02</x:v>
      </x:c>
      <x:c r="B183" t="str">
        <x:v>thallya</x:v>
      </x:c>
      <x:c r="C183"/>
      <x:c r="D183"/>
      <x:c r="E183" t="str">
        <x:v>Form:NAGA</x:v>
      </x:c>
      <x:c r="F183" t="str">
        <x:v>フォルム:ナーガ</x:v>
      </x:c>
      <x:c r="G183" t="str">
        <x:v>Form: NAGA</x:v>
      </x:c>
      <x:c r="H183" t="str">
        <x:v>娜迦形态</x:v>
      </x:c>
      <x:c r="I183" t="str">
        <x:v>娜迦形态</x:v>
      </x:c>
      <x:c r="J183" t="str">
        <x:v>Form: NAGA</x:v>
      </x:c>
      <x:c r="K183" t="str">
        <x:v>Form: NAGA</x:v>
      </x:c>
      <x:c r="L183"/>
      <x:c r="M183" t="str">
        <x:v>transform</x:v>
      </x:c>
      <x:c r="N183"/>
      <x:c r="O183"/>
      <x:c r="P183"/>
      <x:c r="Q183"/>
      <x:c r="R183" t="str">
        <x:v>transform</x:v>
      </x:c>
      <x:c r="S183"/>
      <x:c r="T183"/>
      <x:c r="U183"/>
      <x:c r="V183"/>
      <x:c r="W183"/>
      <x:c r="X183"/>
      <x:c r="Y183"/>
      <x:c r="Z183"/>
      <x:c r="AA183"/>
      <x:c r="AB183"/>
      <x:c r="AC183"/>
      <x:c r="AD183"/>
      <x:c r="AE183" s="438" t="str">
        <x:v>【変形時】相手のフレアが3つ以上ならば、相手のフレアが2になるように桜花結晶をダストへ移動させる。
【追加基本動作:Gamma-Ray】相手の山札の上から1枚を捨て札にする。</x:v>
      </x:c>
      <x:c r="AF183" s="438"/>
      <x:c r="AG183" s="499" t="str">
        <x:v>【变形时】若敌气中的樱花结晶数大于等于3，则保留其中2个，其余移至虚。
----
【追加基本动作：Gamma-Ray】
弃置对手的牌库顶牌。</x:v>
      </x:c>
      <x:c r="AH183" s="438"/>
      <x:c r="AI183" s="499" t="str">
        <x:v>【变形时】若敌气中的樱花结晶的数目大于3，则保留其中2个樱花结晶，其余移至虚。
----
【追加基本动作】Gamma-Ray：弃置对手的牌库顶牌。</x:v>
      </x:c>
      <x:c r="AJ183" s="438"/>
      <x:c r="AK183" s="499" t="str">
        <x:v>【변형시】상대의 플레어가 3이상이라면、플레어가 2가 되도록 벚꽃 결정을 더스트로 이동시킨다.
 ----
 【추가기본행동：Gamma-Ray】
 상대 패산의 가장 위의 카드를 상대의 버림패로 둔다.</x:v>
      </x:c>
      <x:c r="AL183" s="438"/>
      <x:c r="AM183" s="499" t="str">
        <x:v>TransForm: If your opponent has 3 or more Sakura tokens on their Flare, move all but 2 of them to Shadow.
----
Additional basic action ("Gamma-Ray"): Put the top card of your opponent's deck into their played pile.</x:v>
      </x:c>
      <x:c r="AN183" s="438"/>
      <x:c r="AO183" s="438"/>
      <x:c r="AP183" s="438"/>
      <x:c r="AQ183" s="438"/>
      <x:c r="AR183" s="438"/>
      <x:c r="AS183" s="438"/>
      <x:c r="AT183" t="str">
        <x:f>IF(A183="", "","'"&amp;A183&amp;"': {megami: '"&amp;B183&amp;"'"&amp;IF(C183&lt;&gt;"",", anotherID: '"&amp;C183&amp;"', replace: '"&amp;D183&amp;"'","")&amp;", name: '"&amp;SUBSTITUTE(E183,"'","\'")&amp;"', nameEn: '"&amp;SUBSTITUTE(K183,"'","\'")&amp;"', nameZh: '"&amp;SUBSTITUTE(G183,"'","\'")&amp;"', nameZhG182: '"&amp;SUBSTITUTE(H183,"'","\'")&amp;"', nameKo: '"&amp;SUBSTITUTE(J183,"'","\'")&amp;"', ruby: '"&amp;F183&amp;"', rubyEn: '"&amp;L183&amp;IF(I183&lt;&gt;"", "', rubyZh: '"&amp;I183, "")&amp;"', baseType: '"&amp;IF(M183="通常札","normal",IF(M183="切札","special",IF(M183="追加札","extra",IF(M183="transform","transform",IF(M183="嵐","storm",IF(M183="兵員","troop",IF(M183="構想","plan",IF(M183="メインパーツ","mainParts",IF(M183="カスタムパーツ","customParts",IF(M183="運命","fate",IF(M183="仮想樹","virtualTree","")))))))))))&amp;"'"&amp;IF(N183="○",", extra: true","")&amp;IF(O183&lt;&gt;"",", extraFrom: '"&amp;O183&amp;"'","")&amp;IF(P183&lt;&gt;"",", exchangableTo: '"&amp;P183&amp;"'","")&amp;IF(Q183="○",", poison: true","")&amp;IF(R183&lt;&gt;"", ", type: '"&amp;IF(R183="攻撃","attack",IF(R183="行動","action",IF(R183="不定","variable",IF(R183="対応","reaction",IF(R183="全力","fullpower",IF(R183="付与","enhance",IF(R183="transform","transform","")))))))&amp;"'", "")&amp;IF(S183&lt;&gt;"",", subType: '"&amp;IF(S183="攻撃","attack",IF(S183="行動","action",IF(S183="不定","variable",IF(S183="対応","reaction",IF(S183="全力","fullpower",IF(S183="付与","enhance",IF(S183="transform","transform","")))))))&amp;"'","")&amp;""&amp;IF(T183&lt;&gt;"",", range: '"&amp;T183&amp;"'","")&amp;IF(V183&lt;&gt;"",", damage: '"&amp;V183&amp;"'","")&amp;IF(X183&lt;&gt;"",", capacity: '"&amp;X183&amp;"'","")&amp;IF(Y183&lt;&gt;"",", growth: "&amp;Y183&amp;"","")&amp;IF(Z183&lt;&gt;"",", cost: '"&amp;Z183&amp;"'","")&amp;", text: '"&amp;SUBSTITUTE(SUBSTITUTE(AE183, CHAR(13), ""),CHAR(10),"\n")&amp;IF(AF183&lt;&gt;"", "', textAdditional: '"&amp;SUBSTITUTE(SUBSTITUTE(AF183, CHAR(13), ""),CHAR(10),"\n"), "")&amp;"', textZh: '"&amp;SUBSTITUTE(SUBSTITUTE(SUBSTITUTE(AG183, CHAR(13), ""),CHAR(10),"\n"),"'","\'")&amp;"', textZhG182: '"&amp;SUBSTITUTE(SUBSTITUTE(SUBSTITUTE(AI183, CHAR(13), ""),CHAR(10),"\n"),"'","\'")&amp;IF(AH183&lt;&gt;"", "', textZhAdditional: '"&amp;SUBSTITUTE(SUBSTITUTE(AH183, CHAR(13), ""),CHAR(10),"\n"), "")&amp;IF(AK183&lt;&gt;"", "', textZhG182Additional: '"&amp;SUBSTITUTE(SUBSTITUTE(AK183, CHAR(13), ""),CHAR(10),"\n"), "")&amp;"', textKo: '"&amp;SUBSTITUTE(SUBSTITUTE(SUBSTITUTE(AM183, CHAR(13), ""),CHAR(10),"\n"),"'","\'")&amp;IF(AM183&lt;&gt;"", "', textKoAdditional: '"&amp;SUBSTITUTE(SUBSTITUTE(AM183, CHAR(13), ""),CHAR(10),"\n"), "")&amp;"', textEn: '"&amp;SUBSTITUTE(SUBSTITUTE(SUBSTITUTE(AM183, CHAR(13), ""),CHAR(10),"\n"),"'","\'")&amp;IF(AN183&lt;&gt;"", "', textEnAdditional: '"&amp;SUBSTITUTE(SUBSTITUTE(AN183, CHAR(13), ""),CHAR(10),"\n"), "")&amp;"'"&amp;IF(AB183="○",", sealable: true","")&amp;IF(AC183="○",", removable: true","")&amp;IF(AA183="○",", lie: true","")&amp;IF(AD183="○",", investable: true","")&amp;"},")</x:f>
        <x:v>'transform-02': {megami: 'thallya', name: 'Form:NAGA', nameEn: 'Form: NAGA', nameZh: 'Form: NAGA', nameZhG182: '娜迦形态', nameKo: 'Form: NAGA', ruby: 'フォルム:ナーガ', rubyEn: '', rubyZh: '娜迦形态', baseType: 'transform', type: 'transform', text: '【変形時】相手のフレアが3つ以上ならば、相手のフレアが2になるように桜花結晶をダストへ移動させる。\n【追加基本動作:Gamma-Ray】相手の山札の上から1枚を捨て札にする。', textZh: '【变形时】若敌气中的樱花结晶数大于等于3，则保留其中2个，其余移至虚。\n----\n【追加基本动作：Gamma-Ray】\n弃置对手的牌库顶牌。', textZhG182: '【变形时】若敌气中的樱花结晶的数目大于3，则保留其中2个樱花结晶，其余移至虚。\n----\n【追加基本动作】Gamma-Ray：弃置对手的牌库顶牌。', textZhG182Additional: '【변형시】상대의 플레어가 3이상이라면、플레어가 2가 되도록 벚꽃 결정을 더스트로 이동시킨다.\n ----\n 【추가기본행동：Gamma-Ray】\n 상대 패산의 가장 위의 카드를 상대의 버림패로 둔다.', textKo: 'TransForm: If your opponent has 3 or more Sakura tokens on their Flare, move all but 2 of them to Shadow.\n----\nAdditional basic action ("Gamma-Ray"): Put the top card of your opponent\'s deck into their played pile.', textKoAdditional: 'TransForm: If your opponent has 3 or more Sakura tokens on their Flare, move all but 2 of them to Shadow.\n----\nAdditional basic action ("Gamma-Ray"): Put the top card of your opponent's deck into their played pile.', textEn: 'TransForm: If your opponent has 3 or more Sakura tokens on their Flare, move all but 2 of them to Shadow.\n----\nAdditional basic action ("Gamma-Ray"): Put the top card of your opponent\'s deck into their played pile.'},</x:v>
      </x:c>
      <x:c r="AU183" t="str">
        <x:f>IF($A183&lt;&gt;"", "    /** 《"&amp;$E183&amp;"》 */ export const "&amp;SUBSTITUTE(UPPER(IF(MID($A183, 3, 1)="-", RIGHT($A183,LEN($A183)-3), $A183)), "-", "_")&amp;": TCardId = '"&amp;$A183&amp;"';", "")</x:f>
        <x:v>    /** 《Form:NAGA》 */ export const TRANSFORM_02: TCardId = 'transform-02';</x:v>
      </x:c>
      <x:c r="AV183" t="str">
        <x:f>IF($A184&lt;&gt;"", "    | '"&amp;$A184&amp;"'", "")</x:f>
        <x:v>    | 'transform-03'</x:v>
      </x:c>
    </x:row>
    <x:row r="184" ht="98" customHeight="1">
      <x:c r="A184" t="str">
        <x:v>transform-03</x:v>
      </x:c>
      <x:c r="B184" t="str">
        <x:v>thallya</x:v>
      </x:c>
      <x:c r="C184"/>
      <x:c r="D184"/>
      <x:c r="E184" t="str">
        <x:v>Form:GARUDA</x:v>
      </x:c>
      <x:c r="F184" t="str">
        <x:v>フォルム:ガルーダ</x:v>
      </x:c>
      <x:c r="G184" t="str">
        <x:v>Form: GARUDA</x:v>
      </x:c>
      <x:c r="H184" t="str">
        <x:v>迦楼达形态</x:v>
      </x:c>
      <x:c r="I184" t="str">
        <x:v>迦楼达形态</x:v>
      </x:c>
      <x:c r="J184" t="str">
        <x:v>Form: GARUDA</x:v>
      </x:c>
      <x:c r="K184" t="str">
        <x:v>Form: GARUDA</x:v>
      </x:c>
      <x:c r="L184"/>
      <x:c r="M184" t="str">
        <x:v>transform</x:v>
      </x:c>
      <x:c r="N184"/>
      <x:c r="O184"/>
      <x:c r="P184"/>
      <x:c r="Q184"/>
      <x:c r="R184" t="str">
        <x:v>transform</x:v>
      </x:c>
      <x:c r="S184"/>
      <x:c r="T184"/>
      <x:c r="U184"/>
      <x:c r="V184"/>
      <x:c r="W184"/>
      <x:c r="X184"/>
      <x:c r="Y184"/>
      <x:c r="Z184"/>
      <x:c r="AA184"/>
      <x:c r="AB184"/>
      <x:c r="AC184"/>
      <x:c r="AD184"/>
      <x:c r="AE184" s="438" t="str">
        <x:v>【変形時】カードを2枚引く。このターンの間、手札の上限が無くなる。
【追加基本動作:Delta-Wing】現在の間合が7以下ならば、ダスト→間合：1</x:v>
      </x:c>
      <x:c r="AF184" s="438"/>
      <x:c r="AG184" s="499" t="str">
        <x:v>【变形时】抓2张牌。本回合你的手牌数量没有上限。
----
【追加基本动作：Delta-Wing】
若当前距离小于等于7，则：虚→1→距</x:v>
      </x:c>
      <x:c r="AH184" s="438"/>
      <x:c r="AI184" s="499" t="str">
        <x:v>【变形时】抓2张牌。本回合你的手牌数量没有上限。
----
【追加基本动作】Delta-Wing：若当前距离小于7，则虚（1）→距</x:v>
      </x:c>
      <x:c r="AJ184" s="438"/>
      <x:c r="AK184" s="499" t="str">
        <x:v>【변형시】카드를 2장 뽑고, 이 턴 동안 손패의 상한은 없어진다.
 ----
 【추가기본행동：Delta-Wing】
 현재 간격이 7 이하라면, 더스트→간격：1</x:v>
      </x:c>
      <x:c r="AL184" s="438"/>
      <x:c r="AM184" s="499" t="str">
        <x:v>TransForm: Draw two cards. You have no maximum hand size this turn.
----
Additional basic action ("Delta-Wing"): If the current Distance is 7 or less:
Shadow (1)→ Distance</x:v>
      </x:c>
      <x:c r="AN184" s="438"/>
      <x:c r="AO184" s="438"/>
      <x:c r="AP184" s="438"/>
      <x:c r="AQ184" s="438"/>
      <x:c r="AR184" s="438"/>
      <x:c r="AS184" s="438"/>
      <x:c r="AT184" t="str">
        <x:f>IF(A184="", "","'"&amp;A184&amp;"': {megami: '"&amp;B184&amp;"'"&amp;IF(C184&lt;&gt;"",", anotherID: '"&amp;C184&amp;"', replace: '"&amp;D184&amp;"'","")&amp;", name: '"&amp;SUBSTITUTE(E184,"'","\'")&amp;"', nameEn: '"&amp;SUBSTITUTE(K184,"'","\'")&amp;"', nameZh: '"&amp;SUBSTITUTE(G184,"'","\'")&amp;"', nameZhG183: '"&amp;SUBSTITUTE(H184,"'","\'")&amp;"', nameKo: '"&amp;SUBSTITUTE(J184,"'","\'")&amp;"', ruby: '"&amp;F184&amp;"', rubyEn: '"&amp;L184&amp;IF(I184&lt;&gt;"", "', rubyZh: '"&amp;I184, "")&amp;"', baseType: '"&amp;IF(M184="通常札","normal",IF(M184="切札","special",IF(M184="追加札","extra",IF(M184="transform","transform",IF(M184="嵐","storm",IF(M184="兵員","troop",IF(M184="構想","plan",IF(M184="メインパーツ","mainParts",IF(M184="カスタムパーツ","customParts",IF(M184="運命","fate",IF(M184="仮想樹","virtualTree","")))))))))))&amp;"'"&amp;IF(N184="○",", extra: true","")&amp;IF(O184&lt;&gt;"",", extraFrom: '"&amp;O184&amp;"'","")&amp;IF(P184&lt;&gt;"",", exchangableTo: '"&amp;P184&amp;"'","")&amp;IF(Q184="○",", poison: true","")&amp;IF(R184&lt;&gt;"", ", type: '"&amp;IF(R184="攻撃","attack",IF(R184="行動","action",IF(R184="不定","variable",IF(R184="対応","reaction",IF(R184="全力","fullpower",IF(R184="付与","enhance",IF(R184="transform","transform","")))))))&amp;"'", "")&amp;IF(S184&lt;&gt;"",", subType: '"&amp;IF(S184="攻撃","attack",IF(S184="行動","action",IF(S184="不定","variable",IF(S184="対応","reaction",IF(S184="全力","fullpower",IF(S184="付与","enhance",IF(S184="transform","transform","")))))))&amp;"'","")&amp;""&amp;IF(T184&lt;&gt;"",", range: '"&amp;T184&amp;"'","")&amp;IF(V184&lt;&gt;"",", damage: '"&amp;V184&amp;"'","")&amp;IF(X184&lt;&gt;"",", capacity: '"&amp;X184&amp;"'","")&amp;IF(Y184&lt;&gt;"",", growth: "&amp;Y184&amp;"","")&amp;IF(Z184&lt;&gt;"",", cost: '"&amp;Z184&amp;"'","")&amp;", text: '"&amp;SUBSTITUTE(SUBSTITUTE(AE184, CHAR(13), ""),CHAR(10),"\n")&amp;IF(AF184&lt;&gt;"", "', textAdditional: '"&amp;SUBSTITUTE(SUBSTITUTE(AF184, CHAR(13), ""),CHAR(10),"\n"), "")&amp;"', textZh: '"&amp;SUBSTITUTE(SUBSTITUTE(SUBSTITUTE(AG184, CHAR(13), ""),CHAR(10),"\n"),"'","\'")&amp;"', textZhG183: '"&amp;SUBSTITUTE(SUBSTITUTE(SUBSTITUTE(AI184, CHAR(13), ""),CHAR(10),"\n"),"'","\'")&amp;IF(AH184&lt;&gt;"", "', textZhAdditional: '"&amp;SUBSTITUTE(SUBSTITUTE(AH184, CHAR(13), ""),CHAR(10),"\n"), "")&amp;IF(AK184&lt;&gt;"", "', textZhG183Additional: '"&amp;SUBSTITUTE(SUBSTITUTE(AK184, CHAR(13), ""),CHAR(10),"\n"), "")&amp;"', textKo: '"&amp;SUBSTITUTE(SUBSTITUTE(SUBSTITUTE(AM184, CHAR(13), ""),CHAR(10),"\n"),"'","\'")&amp;IF(AM184&lt;&gt;"", "', textKoAdditional: '"&amp;SUBSTITUTE(SUBSTITUTE(AM184, CHAR(13), ""),CHAR(10),"\n"), "")&amp;"', textEn: '"&amp;SUBSTITUTE(SUBSTITUTE(SUBSTITUTE(AM184, CHAR(13), ""),CHAR(10),"\n"),"'","\'")&amp;IF(AN184&lt;&gt;"", "', textEnAdditional: '"&amp;SUBSTITUTE(SUBSTITUTE(AN184, CHAR(13), ""),CHAR(10),"\n"), "")&amp;"'"&amp;IF(AB184="○",", sealable: true","")&amp;IF(AC184="○",", removable: true","")&amp;IF(AA184="○",", lie: true","")&amp;IF(AD184="○",", investable: true","")&amp;"},")</x:f>
        <x:v>'transform-03': {megami: 'thallya', name: 'Form:GARUDA', nameEn: 'Form: GARUDA', nameZh: 'Form: GARUDA', nameZhG183: '迦楼达形态', nameKo: 'Form: GARUDA', ruby: 'フォルム:ガルーダ', rubyEn: '', rubyZh: '迦楼达形态', baseType: 'transform', type: 'transform', text: '【変形時】カードを2枚引く。このターンの間、手札の上限が無くなる。\n【追加基本動作:Delta-Wing】現在の間合が7以下ならば、ダスト→間合：1', textZh: '【变形时】抓2张牌。本回合你的手牌数量没有上限。\n----\n【追加基本动作：Delta-Wing】\n若当前距离小于等于7，则：虚→1→距', textZhG183: '【变形时】抓2张牌。本回合你的手牌数量没有上限。\n----\n【追加基本动作】Delta-Wing：若当前距离小于7，则虚（1）→距', textZhG183Additional: '【변형시】카드를 2장 뽑고, 이 턴 동안 손패의 상한은 없어진다.\n ----\n 【추가기본행동：Delta-Wing】\n 현재 간격이 7 이하라면, 더스트→간격：1', textKo: 'TransForm: Draw two cards. You have no maximum hand size this turn.\n----\nAdditional basic action ("Delta-Wing"): If the current Distance is 7 or less:\nShadow (1)→ Distance', textKoAdditional: 'TransForm: Draw two cards. You have no maximum hand size this turn.\n----\nAdditional basic action ("Delta-Wing"): If the current Distance is 7 or less:\nShadow (1)→ Distance', textEn: 'TransForm: Draw two cards. You have no maximum hand size this turn.\n----\nAdditional basic action ("Delta-Wing"): If the current Distance is 7 or less:\nShadow (1)→ Distance'},</x:v>
      </x:c>
      <x:c r="AU184" t="str">
        <x:f>IF($A184&lt;&gt;"", "    /** 《"&amp;$E184&amp;"》 */ export const "&amp;SUBSTITUTE(UPPER(IF(MID($A184, 3, 1)="-", RIGHT($A184,LEN($A184)-3), $A184)), "-", "_")&amp;": TCardId = '"&amp;$A184&amp;"';", "")</x:f>
        <x:v>    /** 《Form:GARUDA》 */ export const TRANSFORM_03: TCardId = 'transform-03';</x:v>
      </x:c>
      <x:c r="AV184" t="str">
        <x:f>IF($A185&lt;&gt;"", "    | '"&amp;$A185&amp;"'", "")</x:f>
        <x:v>    | '11-thallya-A1-n-5'</x:v>
      </x:c>
    </x:row>
    <x:row r="185" ht="158" customHeight="1">
      <x:c r="A185" t="str">
        <x:v>11-thallya-A1-n-5</x:v>
      </x:c>
      <x:c r="B185" t="str">
        <x:v>thallya</x:v>
      </x:c>
      <x:c r="C185" t="str">
        <x:v>A1</x:v>
      </x:c>
      <x:c r="D185" t="str">
        <x:v>11-thallya-o-n-5</x:v>
      </x:c>
      <x:c r="E185" t="str">
        <x:v>Quick Change</x:v>
      </x:c>
      <x:c r="F185" t="str">
        <x:v>クイックチェンジ</x:v>
      </x:c>
      <x:c r="G185" t="str">
        <x:v>Quick Change</x:v>
      </x:c>
      <x:c r="H185" t="str">
        <x:v>Quick Change</x:v>
      </x:c>
      <x:c r="I185" t="str">
        <x:v>快速变换</x:v>
      </x:c>
      <x:c r="J185" t="str">
        <x:v>Quick Change</x:v>
      </x:c>
      <x:c r="K185" t="str">
        <x:v>Quick Change</x:v>
      </x:c>
      <x:c r="L185"/>
      <x:c r="M185" t="str">
        <x:v>通常札</x:v>
      </x:c>
      <x:c r="N185"/>
      <x:c r="O185"/>
      <x:c r="P185"/>
      <x:c r="Q185"/>
      <x:c r="R185" t="str">
        <x:v>行動</x:v>
      </x:c>
      <x:c r="S185"/>
      <x:c r="T185"/>
      <x:c r="U185"/>
      <x:c r="V185"/>
      <x:c r="W185"/>
      <x:c r="X185"/>
      <x:c r="Y185"/>
      <x:c r="Z185"/>
      <x:c r="AA185"/>
      <x:c r="AB185" t="str">
        <x:v>○</x:v>
      </x:c>
      <x:c r="AC185"/>
      <x:c r="AD185"/>
      <x:c r="AE185" s="438" t="str">
        <x:v>あなたのマシンからTransFormカード1枚を追加札に戻してもよい。そうした場合、追加札からTransFormカード1枚をマシンに置く。(TransFormしたことにはならず、その【変形時】効果は発生しない)
燃焼済の造花結晶を1つ回復するか、基本動作を1回行う。</x:v>
      </x:c>
      <x:c r="AF185" s="438"/>
      <x:c r="AG185" s="499" t="str">
        <x:v>【展开时】回复你的1个已燃烧的造花结晶。之后，从追加牌处选择1张TransForm牌，封印在此牌下（变形时效果不结算）。
【展开中】此牌下封印的牌的追加基本动作和常时将起效。
【破弃时】将此牌下封印的牌移回追加牌处。</x:v>
      </x:c>
      <x:c r="AH185" s="438"/>
      <x:c r="AI185" s="499" t="str">
        <x:v>【展开时】回复1个处于燃尽状态的造花结晶。然后从追加牌中选择1张变形牌，封印于此牌下（不结算变形时效果）。
【展开中】此牌所封印的牌的追加基本动作与常时效果生效。
【破弃时】将此牌所封印的牌移至追加牌。</x:v>
      </x:c>
      <x:c r="AJ185" s="438"/>
      <x:c r="AK185" s="499" t="str">
        <x:v>【전개시】당신의 연소 완료된 조화결정을 1개 회복한다.
그 후, 추가패에 있는 TransForm 카드를 1장 골라 이 카드 아래에 봉인한다
(변형시 효과는 해결하지 않는다).
【전개중】이 카드에 봉인된 카드의 추가기본동작, 상시 효과를 유효화 한다.
【파기시】이 카드에 봉인된 카드를 추가패로 되돌린다.</x:v>
      </x:c>
      <x:c r="AL185" s="438"/>
      <x:c r="AM185" s="499" t="str">
        <x:v>Initialize: Recover 1 burned Artificial Sakura token. Then, choose one of your set aside TransForm cards and seal it under this card. (Do not resolve its TransForm effect.)
Ongoing: The Forced and Additional basic action effects of the sealed card are active.
Disenchant: Return the sealed card to your set aside cards.</x:v>
      </x:c>
      <x:c r="AN185" s="438"/>
      <x:c r="AO185" s="438"/>
      <x:c r="AP185" s="438"/>
      <x:c r="AQ185" s="438"/>
      <x:c r="AR185" s="438"/>
      <x:c r="AS185" s="438"/>
      <x:c r="AT185" t="str">
        <x:f>IF(A185="", "","'"&amp;A185&amp;"': {megami: '"&amp;B185&amp;"'"&amp;IF(C185&lt;&gt;"",", anotherID: '"&amp;C185&amp;"', replace: '"&amp;D185&amp;"'","")&amp;", name: '"&amp;SUBSTITUTE(E185,"'","\'")&amp;"', nameEn: '"&amp;SUBSTITUTE(K185,"'","\'")&amp;"', nameZh: '"&amp;SUBSTITUTE(G185,"'","\'")&amp;"', nameZhG184: '"&amp;SUBSTITUTE(H185,"'","\'")&amp;"', nameKo: '"&amp;SUBSTITUTE(J185,"'","\'")&amp;"', ruby: '"&amp;F185&amp;"', rubyEn: '"&amp;L185&amp;IF(I185&lt;&gt;"", "', rubyZh: '"&amp;I185, "")&amp;"', baseType: '"&amp;IF(M185="通常札","normal",IF(M185="切札","special",IF(M185="追加札","extra",IF(M185="transform","transform",IF(M185="嵐","storm",IF(M185="兵員","troop",IF(M185="構想","plan",IF(M185="メインパーツ","mainParts",IF(M185="カスタムパーツ","customParts",IF(M185="運命","fate",IF(M185="仮想樹","virtualTree","")))))))))))&amp;"'"&amp;IF(N185="○",", extra: true","")&amp;IF(O185&lt;&gt;"",", extraFrom: '"&amp;O185&amp;"'","")&amp;IF(P185&lt;&gt;"",", exchangableTo: '"&amp;P185&amp;"'","")&amp;IF(Q185="○",", poison: true","")&amp;IF(R185&lt;&gt;"", ", type: '"&amp;IF(R185="攻撃","attack",IF(R185="行動","action",IF(R185="不定","variable",IF(R185="対応","reaction",IF(R185="全力","fullpower",IF(R185="付与","enhance",IF(R185="transform","transform","")))))))&amp;"'", "")&amp;IF(S185&lt;&gt;"",", subType: '"&amp;IF(S185="攻撃","attack",IF(S185="行動","action",IF(S185="不定","variable",IF(S185="対応","reaction",IF(S185="全力","fullpower",IF(S185="付与","enhance",IF(S185="transform","transform","")))))))&amp;"'","")&amp;""&amp;IF(T185&lt;&gt;"",", range: '"&amp;T185&amp;"'","")&amp;IF(V185&lt;&gt;"",", damage: '"&amp;V185&amp;"'","")&amp;IF(X185&lt;&gt;"",", capacity: '"&amp;X185&amp;"'","")&amp;IF(Y185&lt;&gt;"",", growth: "&amp;Y185&amp;"","")&amp;IF(Z185&lt;&gt;"",", cost: '"&amp;Z185&amp;"'","")&amp;", text: '"&amp;SUBSTITUTE(SUBSTITUTE(AE185, CHAR(13), ""),CHAR(10),"\n")&amp;IF(AF185&lt;&gt;"", "', textAdditional: '"&amp;SUBSTITUTE(SUBSTITUTE(AF185, CHAR(13), ""),CHAR(10),"\n"), "")&amp;"', textZh: '"&amp;SUBSTITUTE(SUBSTITUTE(SUBSTITUTE(AG185, CHAR(13), ""),CHAR(10),"\n"),"'","\'")&amp;"', textZhG184: '"&amp;SUBSTITUTE(SUBSTITUTE(SUBSTITUTE(AI185, CHAR(13), ""),CHAR(10),"\n"),"'","\'")&amp;IF(AH185&lt;&gt;"", "', textZhAdditional: '"&amp;SUBSTITUTE(SUBSTITUTE(AH185, CHAR(13), ""),CHAR(10),"\n"), "")&amp;IF(AK185&lt;&gt;"", "', textZhG184Additional: '"&amp;SUBSTITUTE(SUBSTITUTE(AK185, CHAR(13), ""),CHAR(10),"\n"), "")&amp;"', textKo: '"&amp;SUBSTITUTE(SUBSTITUTE(SUBSTITUTE(AM185, CHAR(13), ""),CHAR(10),"\n"),"'","\'")&amp;IF(AM185&lt;&gt;"", "', textKoAdditional: '"&amp;SUBSTITUTE(SUBSTITUTE(AM185, CHAR(13), ""),CHAR(10),"\n"), "")&amp;"', textEn: '"&amp;SUBSTITUTE(SUBSTITUTE(SUBSTITUTE(AM185, CHAR(13), ""),CHAR(10),"\n"),"'","\'")&amp;IF(AN185&lt;&gt;"", "', textEnAdditional: '"&amp;SUBSTITUTE(SUBSTITUTE(AN185, CHAR(13), ""),CHAR(10),"\n"), "")&amp;"'"&amp;IF(AB185="○",", sealable: true","")&amp;IF(AC185="○",", removable: true","")&amp;IF(AA185="○",", lie: true","")&amp;IF(AD185="○",", investable: true","")&amp;"},")</x:f>
        <x:v>'11-thallya-A1-n-5': {megami: 'thallya', anotherID: 'A1', replace: '11-thallya-o-n-5', name: 'Quick Change', nameEn: 'Quick Change', nameZh: 'Quick Change', nameZhG184: 'Quick Change', nameKo: 'Quick Change', ruby: 'クイックチェンジ', rubyEn: '', rubyZh: '快速变换', baseType: 'normal', type: 'action', text: 'あなたのマシンからTransFormカード1枚を追加札に戻してもよい。そうした場合、追加札からTransFormカード1枚をマシンに置く。(TransFormしたことにはならず、その【変形時】効果は発生しない)\n燃焼済の造花結晶を1つ回復するか、基本動作を1回行う。', textZh: '【展开时】回复你的1个已燃烧的造花结晶。之后，从追加牌处选择1张TransForm牌，封印在此牌下（变形时效果不结算）。\n【展开中】此牌下封印的牌的追加基本动作和常时将起效。\n【破弃时】将此牌下封印的牌移回追加牌处。', textZhG184: '【展开时】回复1个处于燃尽状态的造花结晶。然后从追加牌中选择1张变形牌，封印于此牌下（不结算变形时效果）。\n【展开中】此牌所封印的牌的追加基本动作与常时效果生效。\n【破弃时】将此牌所封印的牌移至追加牌。', textZhG184Additional: '【전개시】당신의 연소 완료된 조화결정을 1개 회복한다.\n그 후, 추가패에 있는 TransForm 카드를 1장 골라 이 카드 아래에 봉인한다\n(변형시 효과는 해결하지 않는다).\n【전개중】이 카드에 봉인된 카드의 추가기본동작, 상시 효과를 유효화 한다.\n【파기시】이 카드에 봉인된 카드를 추가패로 되돌린다.', textKo: 'Initialize: Recover 1 burned Artificial Sakura token. Then, choose one of your set aside TransForm cards and seal it under this card. (Do not resolve its TransForm effect.)\n\nOngoing: The Forced and Additional basic action effects of the sealed card are active.\n\nDisenchant: Return the sealed card to your set aside cards.', textKoAdditional: 'Initialize: Recover 1 burned Artificial Sakura token. Then, choose one of your set aside TransForm cards and seal it under this card. (Do not resolve its TransForm effect.)\n\nOngoing: The Forced and Additional basic action effects of the sealed card are active.\n\nDisenchant: Return the sealed card to your set aside cards.', textEn: 'Initialize: Recover 1 burned Artificial Sakura token. Then, choose one of your set aside TransForm cards and seal it under this card. (Do not resolve its TransForm effect.)\n\nOngoing: The Forced and Additional basic action effects of the sealed card are active.\n\nDisenchant: Return the sealed card to your set aside cards.', sealable: true},</x:v>
      </x:c>
      <x:c r="AU185" t="str">
        <x:f>IF($A185&lt;&gt;"", "    /** 《"&amp;$E185&amp;"》 */ export const "&amp;SUBSTITUTE(UPPER(IF(MID($A185, 3, 1)="-", RIGHT($A185,LEN($A185)-3), $A185)), "-", "_")&amp;": TCardId = '"&amp;$A185&amp;"';", "")</x:f>
        <x:v>    /** 《Quick Change》 */ export const THALLYA_A1_N_5: TCardId = '11-thallya-A1-n-5';</x:v>
      </x:c>
      <x:c r="AV185" t="str">
        <x:f>IF($A186&lt;&gt;"", "    | '"&amp;$A186&amp;"'", "")</x:f>
        <x:v>    | '11-thallya-A1-s-1'</x:v>
      </x:c>
    </x:row>
    <x:row r="186" ht="173" customHeight="1">
      <x:c r="A186" t="str">
        <x:v>11-thallya-A1-s-1</x:v>
      </x:c>
      <x:c r="B186" t="str">
        <x:v>thallya</x:v>
      </x:c>
      <x:c r="C186" t="str">
        <x:v>A1</x:v>
      </x:c>
      <x:c r="D186" t="str">
        <x:v>11-thallya-o-s-1</x:v>
      </x:c>
      <x:c r="E186" t="str">
        <x:v>BlackBox NEO</x:v>
      </x:c>
      <x:c r="F186" t="str">
        <x:v>ブラックボックスネオ</x:v>
      </x:c>
      <x:c r="G186" t="str">
        <x:v>BlackBox NEO</x:v>
      </x:c>
      <x:c r="H186" t="str">
        <x:v>BlackBox NEO</x:v>
      </x:c>
      <x:c r="I186" t="str">
        <x:v>新型黑箱</x:v>
      </x:c>
      <x:c r="J186" t="str">
        <x:v>BlackBox NEO</x:v>
      </x:c>
      <x:c r="K186" t="str">
        <x:v>BlackBox NEO</x:v>
      </x:c>
      <x:c r="L186"/>
      <x:c r="M186" t="str">
        <x:v>切札</x:v>
      </x:c>
      <x:c r="N186"/>
      <x:c r="O186"/>
      <x:c r="P186"/>
      <x:c r="Q186"/>
      <x:c r="R186" t="str">
        <x:v>行動</x:v>
      </x:c>
      <x:c r="S186"/>
      <x:c r="T186"/>
      <x:c r="U186"/>
      <x:c r="V186"/>
      <x:c r="W186"/>
      <x:c r="X186"/>
      <x:c r="Y186"/>
      <x:c r="Z186" t="n">
        <x:v>1</x:v>
      </x:c>
      <x:c r="AA186"/>
      <x:c r="AB186"/>
      <x:c r="AC186"/>
      <x:c r="AD186"/>
      <x:c r="AE186" s="438" t="str">
        <x:v>終端
あなたの燃焼済の造花結晶を1つ回復する。その後、あなたが燃焼済みの造花結晶を持たないならば、このカードの上にダストから桜花結晶を1つ置く。2つになったらこのカードの上の桜花結晶をダストに送るとともに、あなたのマシンはTransFormする。
再起：あなたのマシンにある造花結晶が3個以下である。または、このターンにあなたのマシンがTransFormしている。</x:v>
      </x:c>
      <x:c r="AF186" s="438"/>
      <x:c r="AG186" s="499" t="str">
        <x:v>终端
回复你的1个已燃烧的造花结晶。之后，若你的引擎里没有已燃烧的造花结晶，从虚中把1个樱花结晶移至此牌上。达到2个后，则再将其上所有樱花结晶移至虚，你进行TransForm。
----
【再起】你的引擎里的造花结晶数小于等于3个；或者你在这个回合里进行了TransForm。</x:v>
      </x:c>
      <x:c r="AH186" s="438"/>
      <x:c r="AI186" s="499" t="str">
        <x:v>终端
回复1个处于燃尽状态的造花结晶。然后若你处于燃尽状态的造花结晶的数目等于0，则将1个樱花结晶从虚移至此牌上。若此牌上的樱花结晶的数目变为2，则将它们移至虚，然后TRANSFORM你的引擎。
----
【再起】你的引擎中造花结晶的数目小于等于3。或者本回合内你的引擎进行了TRANSFORM。</x:v>
      </x:c>
      <x:c r="AJ186" s="438"/>
      <x:c r="AK186" s="499" t="str">
        <x:v>종단
당신의 연소된 조화 결정을 1개 회복한다. 그 다음 당신의 머신에 연소된 벚꽃 결정이 없다면 이 카드 위에 더스트에서 벚꽃 결정을 1개 올린다. 2개가 되었다면 이 카드 위의 벚꽃 결정을 더스트로 보내는 것과 함께 당신의 머신은 TransForm한다.
----
【재기】당신의 머신에 있는 조화 결정이 3개이하다. 또는 이 턴에 당신의 머신이 TransForm했다.</x:v>
      </x:c>
      <x:c r="AL186" s="438"/>
      <x:c r="AM186" s="499" t="str">
        <x:v>Terminal
Recover 1 burned Artificial Sakura token. Then, if you have no burned Artificial Sakura tokens, move 1 Sakura token from Shadow to this card. If there are 2 Sakura tokens on this card, move them all to Shadow and TransForm your machine.
Resurgence: There are 3 or fewer Artificial Sakura tokens on your machine, or your machine TransFormed this turn.</x:v>
      </x:c>
      <x:c r="AN186" s="438"/>
      <x:c r="AO186" s="438"/>
      <x:c r="AP186" s="438"/>
      <x:c r="AQ186" s="438"/>
      <x:c r="AR186" s="438"/>
      <x:c r="AS186" s="438"/>
      <x:c r="AT186" t="str">
        <x:f>IF(A186="", "","'"&amp;A186&amp;"': {megami: '"&amp;B186&amp;"'"&amp;IF(C186&lt;&gt;"",", anotherID: '"&amp;C186&amp;"', replace: '"&amp;D186&amp;"'","")&amp;", name: '"&amp;SUBSTITUTE(E186,"'","\'")&amp;"', nameEn: '"&amp;SUBSTITUTE(K186,"'","\'")&amp;"', nameZh: '"&amp;SUBSTITUTE(G186,"'","\'")&amp;"', nameZhG185: '"&amp;SUBSTITUTE(H186,"'","\'")&amp;"', nameKo: '"&amp;SUBSTITUTE(J186,"'","\'")&amp;"', ruby: '"&amp;F186&amp;"', rubyEn: '"&amp;L186&amp;IF(I186&lt;&gt;"", "', rubyZh: '"&amp;I186, "")&amp;"', baseType: '"&amp;IF(M186="通常札","normal",IF(M186="切札","special",IF(M186="追加札","extra",IF(M186="transform","transform",IF(M186="嵐","storm",IF(M186="兵員","troop",IF(M186="構想","plan",IF(M186="メインパーツ","mainParts",IF(M186="カスタムパーツ","customParts",IF(M186="運命","fate",IF(M186="仮想樹","virtualTree","")))))))))))&amp;"'"&amp;IF(N186="○",", extra: true","")&amp;IF(O186&lt;&gt;"",", extraFrom: '"&amp;O186&amp;"'","")&amp;IF(P186&lt;&gt;"",", exchangableTo: '"&amp;P186&amp;"'","")&amp;IF(Q186="○",", poison: true","")&amp;IF(R186&lt;&gt;"", ", type: '"&amp;IF(R186="攻撃","attack",IF(R186="行動","action",IF(R186="不定","variable",IF(R186="対応","reaction",IF(R186="全力","fullpower",IF(R186="付与","enhance",IF(R186="transform","transform","")))))))&amp;"'", "")&amp;IF(S186&lt;&gt;"",", subType: '"&amp;IF(S186="攻撃","attack",IF(S186="行動","action",IF(S186="不定","variable",IF(S186="対応","reaction",IF(S186="全力","fullpower",IF(S186="付与","enhance",IF(S186="transform","transform","")))))))&amp;"'","")&amp;""&amp;IF(T186&lt;&gt;"",", range: '"&amp;T186&amp;"'","")&amp;IF(V186&lt;&gt;"",", damage: '"&amp;V186&amp;"'","")&amp;IF(X186&lt;&gt;"",", capacity: '"&amp;X186&amp;"'","")&amp;IF(Y186&lt;&gt;"",", growth: "&amp;Y186&amp;"","")&amp;IF(Z186&lt;&gt;"",", cost: '"&amp;Z186&amp;"'","")&amp;", text: '"&amp;SUBSTITUTE(SUBSTITUTE(AE186, CHAR(13), ""),CHAR(10),"\n")&amp;IF(AF186&lt;&gt;"", "', textAdditional: '"&amp;SUBSTITUTE(SUBSTITUTE(AF186, CHAR(13), ""),CHAR(10),"\n"), "")&amp;"', textZh: '"&amp;SUBSTITUTE(SUBSTITUTE(SUBSTITUTE(AG186, CHAR(13), ""),CHAR(10),"\n"),"'","\'")&amp;"', textZhG185: '"&amp;SUBSTITUTE(SUBSTITUTE(SUBSTITUTE(AI186, CHAR(13), ""),CHAR(10),"\n"),"'","\'")&amp;IF(AH186&lt;&gt;"", "', textZhAdditional: '"&amp;SUBSTITUTE(SUBSTITUTE(AH186, CHAR(13), ""),CHAR(10),"\n"), "")&amp;IF(AK186&lt;&gt;"", "', textZhG185Additional: '"&amp;SUBSTITUTE(SUBSTITUTE(AK186, CHAR(13), ""),CHAR(10),"\n"), "")&amp;"', textKo: '"&amp;SUBSTITUTE(SUBSTITUTE(SUBSTITUTE(AM186, CHAR(13), ""),CHAR(10),"\n"),"'","\'")&amp;IF(AM186&lt;&gt;"", "', textKoAdditional: '"&amp;SUBSTITUTE(SUBSTITUTE(AM186, CHAR(13), ""),CHAR(10),"\n"), "")&amp;"', textEn: '"&amp;SUBSTITUTE(SUBSTITUTE(SUBSTITUTE(AM186, CHAR(13), ""),CHAR(10),"\n"),"'","\'")&amp;IF(AN186&lt;&gt;"", "', textEnAdditional: '"&amp;SUBSTITUTE(SUBSTITUTE(AN186, CHAR(13), ""),CHAR(10),"\n"), "")&amp;"'"&amp;IF(AB186="○",", sealable: true","")&amp;IF(AC186="○",", removable: true","")&amp;IF(AA186="○",", lie: true","")&amp;IF(AD186="○",", investable: true","")&amp;"},")</x:f>
        <x:v>'11-thallya-A1-s-1': {megami: 'thallya', anotherID: 'A1', replace: '11-thallya-o-s-1', name: 'BlackBox NEO', nameEn: 'BlackBox NEO', nameZh: 'BlackBox NEO', nameZhG185: 'BlackBox NEO', nameKo: 'BlackBox NEO', ruby: 'ブラックボックスネオ', rubyEn: '', rubyZh: '新型黑箱', baseType: 'special', type: 'action', cost: '1', text: '終端\nあなたの燃焼済の造花結晶を1つ回復する。その後、あなたが燃焼済みの造花結晶を持たないならば、このカードの上にダストから桜花結晶を1つ置く。2つになったらこのカードの上の桜花結晶をダストに送るとともに、あなたのマシンはTransFormする。\n再起：あなたのマシンにある造花結晶が3個以下である。または、このターンにあなたのマシンがTransFormしている。', textZh: '终端\n回复你的1个已燃烧的造花结晶。之后，若你的引擎里没有已燃烧的造花结晶，从虚中把1个樱花结晶移至此牌上。达到2个后，则再将其上所有樱花结晶移至虚，你进行TransForm。\n----\n【再起】你的引擎里的造花结晶数小于等于3个；或者你在这个回合里进行了TransForm。', textZhG185: '终端\n回复1个处于燃尽状态的造花结晶。然后若你处于燃尽状态的造花结晶的数目等于0，则将1个樱花结晶从虚移至此牌上。若此牌上的樱花结晶的数目变为2，则将它们移至虚，然后TRANSFORM你的引擎。\n----\n【再起】你的引擎中造花结晶的数目小于等于3。或者本回合内你的引擎进行了TRANSFORM。', textZhG185Additional: '종단\n당신의 연소된 조화 결정을 1개 회복한다. 그 다음 당신의 머신에 연소된 벚꽃 결정이 없다면 이 카드 위에 더스트에서 벚꽃 결정을 1개 올린다. 2개가 되었다면 이 카드 위의 벚꽃 결정을 더스트로 보내는 것과 함께 당신의 머신은 TransForm한다.\n----\n【재기】당신의 머신에 있는 조화 결정이 3개이하다. 또는 이 턴에 당신의 머신이 TransForm했다.', textKo: 'Terminal\n\nRecover 1 burned Artificial Sakura token. Then, if you have no burned Artificial Sakura tokens, move 1 Sakura token from Shadow to this card. If there are 2 Sakura tokens on this card, move them all to Shadow and TransForm your machine.\n\nResurgence: There are 3 or fewer Artificial Sakura tokens on your machine, or your machine TransFormed this turn.', textKoAdditional: 'Terminal\n\nRecover 1 burned Artificial Sakura token. Then, if you have no burned Artificial Sakura tokens, move 1 Sakura token from Shadow to this card. If there are 2 Sakura tokens on this card, move them all to Shadow and TransForm your machine.\n\nResurgence: There are 3 or fewer Artificial Sakura tokens on your machine, or your machine TransFormed this turn.', textEn: 'Terminal\n\nRecover 1 burned Artificial Sakura token. Then, if you have no burned Artificial Sakura tokens, move 1 Sakura token from Shadow to this card. If there are 2 Sakura tokens on this card, move them all to Shadow and TransForm your machine.\n\nResurgence: There are 3 or fewer Artificial Sakura tokens on your machine, or your machine TransFormed this turn.'},</x:v>
      </x:c>
      <x:c r="AU186" t="str">
        <x:f>IF($A186&lt;&gt;"", "    /** 《"&amp;$E186&amp;"》 */ export const "&amp;SUBSTITUTE(UPPER(IF(MID($A186, 3, 1)="-", RIGHT($A186,LEN($A186)-3), $A186)), "-", "_")&amp;": TCardId = '"&amp;$A186&amp;"';", "")</x:f>
        <x:v>    /** 《BlackBox NEO》 */ export const THALLYA_A1_S_1: TCardId = '11-thallya-A1-s-1';</x:v>
      </x:c>
      <x:c r="AV186" t="str">
        <x:f>IF($A187&lt;&gt;"", "    | '"&amp;$A187&amp;"'", "")</x:f>
        <x:v>    | '11-thallya-A1-s-2'</x:v>
      </x:c>
    </x:row>
    <x:row r="187" ht="38" customHeight="1">
      <x:c r="A187" t="str">
        <x:v>11-thallya-A1-s-2</x:v>
      </x:c>
      <x:c r="B187" t="str">
        <x:v>thallya</x:v>
      </x:c>
      <x:c r="C187" t="str">
        <x:v>A1</x:v>
      </x:c>
      <x:c r="D187" t="str">
        <x:v>11-thallya-o-s-2</x:v>
      </x:c>
      <x:c r="E187" t="str">
        <x:v>OMNIS-Blaster</x:v>
      </x:c>
      <x:c r="F187" t="str">
        <x:v>オムニスブラスター</x:v>
      </x:c>
      <x:c r="G187" t="str">
        <x:v>OMNIS-Blaster</x:v>
      </x:c>
      <x:c r="H187" t="str">
        <x:v>OMNIS-Blaster</x:v>
      </x:c>
      <x:c r="I187" t="str">
        <x:v>光炮齐射</x:v>
      </x:c>
      <x:c r="J187" t="str">
        <x:v>OMNIS-Blaster</x:v>
      </x:c>
      <x:c r="K187" t="str">
        <x:v>OMNIS-Blaster</x:v>
      </x:c>
      <x:c r="L187"/>
      <x:c r="M187" t="str">
        <x:v>切札</x:v>
      </x:c>
      <x:c r="N187"/>
      <x:c r="O187"/>
      <x:c r="P187"/>
      <x:c r="Q187"/>
      <x:c r="R187" t="str">
        <x:v>攻撃</x:v>
      </x:c>
      <x:c r="S187"/>
      <x:c r="T187" t="str">
        <x:v>3-10</x:v>
      </x:c>
      <x:c r="U187"/>
      <x:c r="V187" t="str">
        <x:v>X/X</x:v>
      </x:c>
      <x:c r="W187"/>
      <x:c r="X187"/>
      <x:c r="Y187"/>
      <x:c r="Z187" t="str">
        <x:v>X</x:v>
      </x:c>
      <x:c r="AA187"/>
      <x:c r="AB187"/>
      <x:c r="AC187"/>
      <x:c r="AD187"/>
      <x:c r="AE187" s="438" t="str">
        <x:v>【常時】XはあなたのマシンがこのゲームでTransFormした回数に等しい。</x:v>
      </x:c>
      <x:c r="AF187" s="438"/>
      <x:c r="AG187" s="438" t="str">
        <x:v>【常时】X的值等于你在这场游戏里进行TransForm的次数。</x:v>
      </x:c>
      <x:c r="AH187" s="438"/>
      <x:c r="AI187" s="438" t="str">
        <x:v>【常时】X等于本局游戏中你的引擎进行TRANSFORM的次数。</x:v>
      </x:c>
      <x:c r="AJ187" s="438"/>
      <x:c r="AK187" s="438" t="str">
        <x:v>【상시】X는 당신의 머신이 이 게임에서 TransForm한 회수와 같다.</x:v>
      </x:c>
      <x:c r="AL187" s="438"/>
      <x:c r="AM187" s="438" t="str">
        <x:v>Forced: X is equal the number of times your machine has TransFormed this game.</x:v>
      </x:c>
      <x:c r="AN187" s="438"/>
      <x:c r="AO187" s="438"/>
      <x:c r="AP187" s="438"/>
      <x:c r="AQ187" s="438"/>
      <x:c r="AR187" s="438"/>
      <x:c r="AS187" s="438"/>
      <x:c r="AT187" t="str">
        <x:f>IF(A187="", "","'"&amp;A187&amp;"': {megami: '"&amp;B187&amp;"'"&amp;IF(C187&lt;&gt;"",", anotherID: '"&amp;C187&amp;"', replace: '"&amp;D187&amp;"'","")&amp;", name: '"&amp;SUBSTITUTE(E187,"'","\'")&amp;"', nameEn: '"&amp;SUBSTITUTE(K187,"'","\'")&amp;"', nameZh: '"&amp;SUBSTITUTE(G187,"'","\'")&amp;"', nameZhG186: '"&amp;SUBSTITUTE(H187,"'","\'")&amp;"', nameKo: '"&amp;SUBSTITUTE(J187,"'","\'")&amp;"', ruby: '"&amp;F187&amp;"', rubyEn: '"&amp;L187&amp;IF(I187&lt;&gt;"", "', rubyZh: '"&amp;I187, "")&amp;"', baseType: '"&amp;IF(M187="通常札","normal",IF(M187="切札","special",IF(M187="追加札","extra",IF(M187="transform","transform",IF(M187="嵐","storm",IF(M187="兵員","troop",IF(M187="構想","plan",IF(M187="メインパーツ","mainParts",IF(M187="カスタムパーツ","customParts",IF(M187="運命","fate",IF(M187="仮想樹","virtualTree","")))))))))))&amp;"'"&amp;IF(N187="○",", extra: true","")&amp;IF(O187&lt;&gt;"",", extraFrom: '"&amp;O187&amp;"'","")&amp;IF(P187&lt;&gt;"",", exchangableTo: '"&amp;P187&amp;"'","")&amp;IF(Q187="○",", poison: true","")&amp;IF(R187&lt;&gt;"", ", type: '"&amp;IF(R187="攻撃","attack",IF(R187="行動","action",IF(R187="不定","variable",IF(R187="対応","reaction",IF(R187="全力","fullpower",IF(R187="付与","enhance",IF(R187="transform","transform","")))))))&amp;"'", "")&amp;IF(S187&lt;&gt;"",", subType: '"&amp;IF(S187="攻撃","attack",IF(S187="行動","action",IF(S187="不定","variable",IF(S187="対応","reaction",IF(S187="全力","fullpower",IF(S187="付与","enhance",IF(S187="transform","transform","")))))))&amp;"'","")&amp;""&amp;IF(T187&lt;&gt;"",", range: '"&amp;T187&amp;"'","")&amp;IF(V187&lt;&gt;"",", damage: '"&amp;V187&amp;"'","")&amp;IF(X187&lt;&gt;"",", capacity: '"&amp;X187&amp;"'","")&amp;IF(Y187&lt;&gt;"",", growth: "&amp;Y187&amp;"","")&amp;IF(Z187&lt;&gt;"",", cost: '"&amp;Z187&amp;"'","")&amp;", text: '"&amp;SUBSTITUTE(SUBSTITUTE(AE187, CHAR(13), ""),CHAR(10),"\n")&amp;IF(AF187&lt;&gt;"", "', textAdditional: '"&amp;SUBSTITUTE(SUBSTITUTE(AF187, CHAR(13), ""),CHAR(10),"\n"), "")&amp;"', textZh: '"&amp;SUBSTITUTE(SUBSTITUTE(SUBSTITUTE(AG187, CHAR(13), ""),CHAR(10),"\n"),"'","\'")&amp;"', textZhG186: '"&amp;SUBSTITUTE(SUBSTITUTE(SUBSTITUTE(AI187, CHAR(13), ""),CHAR(10),"\n"),"'","\'")&amp;IF(AH187&lt;&gt;"", "', textZhAdditional: '"&amp;SUBSTITUTE(SUBSTITUTE(AH187, CHAR(13), ""),CHAR(10),"\n"), "")&amp;IF(AK187&lt;&gt;"", "', textZhG186Additional: '"&amp;SUBSTITUTE(SUBSTITUTE(AK187, CHAR(13), ""),CHAR(10),"\n"), "")&amp;"', textKo: '"&amp;SUBSTITUTE(SUBSTITUTE(SUBSTITUTE(AM187, CHAR(13), ""),CHAR(10),"\n"),"'","\'")&amp;IF(AM187&lt;&gt;"", "', textKoAdditional: '"&amp;SUBSTITUTE(SUBSTITUTE(AM187, CHAR(13), ""),CHAR(10),"\n"), "")&amp;"', textEn: '"&amp;SUBSTITUTE(SUBSTITUTE(SUBSTITUTE(AM187, CHAR(13), ""),CHAR(10),"\n"),"'","\'")&amp;IF(AN187&lt;&gt;"", "', textEnAdditional: '"&amp;SUBSTITUTE(SUBSTITUTE(AN187, CHAR(13), ""),CHAR(10),"\n"), "")&amp;"'"&amp;IF(AB187="○",", sealable: true","")&amp;IF(AC187="○",", removable: true","")&amp;IF(AA187="○",", lie: true","")&amp;IF(AD187="○",", investable: true","")&amp;"},")</x:f>
        <x:v>'11-thallya-A1-s-2': {megami: 'thallya', anotherID: 'A1', replace: '11-thallya-o-s-2', name: 'OMNIS-Blaster', nameEn: 'OMNIS-Blaster', nameZh: 'OMNIS-Blaster', nameZhG186: 'OMNIS-Blaster', nameKo: 'OMNIS-Blaster', ruby: 'オムニスブラスター', rubyEn: '', rubyZh: '光炮齐射', baseType: 'special', type: 'attack', range: '3-10', damage: 'X/X', cost: 'X', text: '【常時】XはあなたのマシンがこのゲームでTransFormした回数に等しい。', textZh: '【常时】X的值等于你在这场游戏里进行TransForm的次数。', textZhG186: '【常时】X等于本局游戏中你的引擎进行TRANSFORM的次数。', textZhG186Additional: '【상시】X는 당신의 머신이 이 게임에서 TransForm한 회수와 같다.', textKo: 'Forced: X is equal the number of times your machine has TransFormed this game.', textKoAdditional: 'Forced: X is equal the number of times your machine has TransFormed this game.', textEn: 'Forced: X is equal the number of times your machine has TransFormed this game.'},</x:v>
      </x:c>
      <x:c r="AU187" t="str">
        <x:f>IF($A187&lt;&gt;"", "    /** 《"&amp;$E187&amp;"》 */ export const "&amp;SUBSTITUTE(UPPER(IF(MID($A187, 3, 1)="-", RIGHT($A187,LEN($A187)-3), $A187)), "-", "_")&amp;": TCardId = '"&amp;$A187&amp;"';", "")</x:f>
        <x:v>    /** 《OMNIS-Blaster》 */ export const THALLYA_A1_S_2: TCardId = '11-thallya-A1-s-2';</x:v>
      </x:c>
      <x:c r="AV187" t="str">
        <x:f>IF($A188&lt;&gt;"", "    | '"&amp;$A188&amp;"'", "")</x:f>
        <x:v>    | 'transform-A1-01'</x:v>
      </x:c>
    </x:row>
    <x:row r="188" ht="83" customHeight="1">
      <x:c r="A188" t="str">
        <x:v>transform-A1-01</x:v>
      </x:c>
      <x:c r="B188" t="str">
        <x:v>thallya</x:v>
      </x:c>
      <x:c r="C188" t="str">
        <x:v>A1</x:v>
      </x:c>
      <x:c r="D188"/>
      <x:c r="E188" t="str">
        <x:v>Form:KINNARI</x:v>
      </x:c>
      <x:c r="F188" t="str">
        <x:v>フォルム:キンナリー</x:v>
      </x:c>
      <x:c r="G188" t="str">
        <x:v>Form: KINNARI</x:v>
      </x:c>
      <x:c r="H188" t="str">
        <x:v>紧那罗形态</x:v>
      </x:c>
      <x:c r="I188" t="str">
        <x:v>紧那罗形态</x:v>
      </x:c>
      <x:c r="J188" t="str">
        <x:v>Form: KINNARI</x:v>
      </x:c>
      <x:c r="K188" t="str">
        <x:v>Form: KINNARI</x:v>
      </x:c>
      <x:c r="L188"/>
      <x:c r="M188" t="str">
        <x:v>transform</x:v>
      </x:c>
      <x:c r="N188"/>
      <x:c r="O188"/>
      <x:c r="P188"/>
      <x:c r="Q188"/>
      <x:c r="R188" t="str">
        <x:v>transform</x:v>
      </x:c>
      <x:c r="S188"/>
      <x:c r="T188"/>
      <x:c r="U188"/>
      <x:c r="V188"/>
      <x:c r="W188"/>
      <x:c r="X188"/>
      <x:c r="Y188"/>
      <x:c r="Z188"/>
      <x:c r="AA188"/>
      <x:c r="AB188"/>
      <x:c r="AC188"/>
      <x:c r="AD188"/>
      <x:c r="AE188" s="438" t="str">
        <x:v>【変形時】相手は山札を全て伏せ札にする。
【常時:Zeta-Voice】相手が山札を再構成した時、その解決後に攻撃『適正距離2,4,6、2/2』を行ってもよい。</x:v>
      </x:c>
      <x:c r="AF188" s="438"/>
      <x:c r="AG188" s="499" t="str">
        <x:v>【变形时】对手将其牌库全部盖伏。
----
【常时：Zeta-Voice】
对手牌库再构成时，在其结算后你可以进行一次“攻击距离2,4,6 伤害2/2”的攻击。</x:v>
      </x:c>
      <x:c r="AH188" s="438"/>
      <x:c r="AI188" s="499" t="str">
        <x:v>【变形时】盖伏对手的牌库。
----
【常时】Zeta-Voice：对手重铸牌库后，你可以进行一次“攻击距离2,4,6 伤害2/2”的攻击。</x:v>
      </x:c>
      <x:c r="AJ188" s="438"/>
      <x:c r="AK188" s="499" t="str">
        <x:v>【변형시】상대는 패산을 전부 덮임패로 한다.
----
【상시：Zeta-Voice】
상대가 패산을 재구성할 때마다 그 해결 후에 공격 「적정 거리 2, 4, 6, 2/2」을 해도 좋다.</x:v>
      </x:c>
      <x:c r="AL188" s="438"/>
      <x:c r="AM188" s="499" t="str">
        <x:v>TransForm: Discard your opponent's deck.
----
Forced ("Zeta-Voice"): After your opponent reshuffles their deck, you attack with "Range: 2, 4, 6, Damage: 2/2".</x:v>
      </x:c>
      <x:c r="AN188" s="438"/>
      <x:c r="AO188" s="438"/>
      <x:c r="AP188" s="438"/>
      <x:c r="AQ188" s="438"/>
      <x:c r="AR188" s="438"/>
      <x:c r="AS188" s="438"/>
      <x:c r="AT188" t="str">
        <x:f>IF(A188="", "","'"&amp;A188&amp;"': {megami: '"&amp;B188&amp;"'"&amp;IF(C188&lt;&gt;"",", anotherID: '"&amp;C188&amp;"', replace: '"&amp;D188&amp;"'","")&amp;", name: '"&amp;SUBSTITUTE(E188,"'","\'")&amp;"', nameEn: '"&amp;SUBSTITUTE(K188,"'","\'")&amp;"', nameZh: '"&amp;SUBSTITUTE(G188,"'","\'")&amp;"', nameZhG187: '"&amp;SUBSTITUTE(H188,"'","\'")&amp;"', nameKo: '"&amp;SUBSTITUTE(J188,"'","\'")&amp;"', ruby: '"&amp;F188&amp;"', rubyEn: '"&amp;L188&amp;IF(I188&lt;&gt;"", "', rubyZh: '"&amp;I188, "")&amp;"', baseType: '"&amp;IF(M188="通常札","normal",IF(M188="切札","special",IF(M188="追加札","extra",IF(M188="transform","transform",IF(M188="嵐","storm",IF(M188="兵員","troop",IF(M188="構想","plan",IF(M188="メインパーツ","mainParts",IF(M188="カスタムパーツ","customParts",IF(M188="運命","fate",IF(M188="仮想樹","virtualTree","")))))))))))&amp;"'"&amp;IF(N188="○",", extra: true","")&amp;IF(O188&lt;&gt;"",", extraFrom: '"&amp;O188&amp;"'","")&amp;IF(P188&lt;&gt;"",", exchangableTo: '"&amp;P188&amp;"'","")&amp;IF(Q188="○",", poison: true","")&amp;IF(R188&lt;&gt;"", ", type: '"&amp;IF(R188="攻撃","attack",IF(R188="行動","action",IF(R188="不定","variable",IF(R188="対応","reaction",IF(R188="全力","fullpower",IF(R188="付与","enhance",IF(R188="transform","transform","")))))))&amp;"'", "")&amp;IF(S188&lt;&gt;"",", subType: '"&amp;IF(S188="攻撃","attack",IF(S188="行動","action",IF(S188="不定","variable",IF(S188="対応","reaction",IF(S188="全力","fullpower",IF(S188="付与","enhance",IF(S188="transform","transform","")))))))&amp;"'","")&amp;""&amp;IF(T188&lt;&gt;"",", range: '"&amp;T188&amp;"'","")&amp;IF(V188&lt;&gt;"",", damage: '"&amp;V188&amp;"'","")&amp;IF(X188&lt;&gt;"",", capacity: '"&amp;X188&amp;"'","")&amp;IF(Y188&lt;&gt;"",", growth: "&amp;Y188&amp;"","")&amp;IF(Z188&lt;&gt;"",", cost: '"&amp;Z188&amp;"'","")&amp;", text: '"&amp;SUBSTITUTE(SUBSTITUTE(AE188, CHAR(13), ""),CHAR(10),"\n")&amp;IF(AF188&lt;&gt;"", "', textAdditional: '"&amp;SUBSTITUTE(SUBSTITUTE(AF188, CHAR(13), ""),CHAR(10),"\n"), "")&amp;"', textZh: '"&amp;SUBSTITUTE(SUBSTITUTE(SUBSTITUTE(AG188, CHAR(13), ""),CHAR(10),"\n"),"'","\'")&amp;"', textZhG187: '"&amp;SUBSTITUTE(SUBSTITUTE(SUBSTITUTE(AI188, CHAR(13), ""),CHAR(10),"\n"),"'","\'")&amp;IF(AH188&lt;&gt;"", "', textZhAdditional: '"&amp;SUBSTITUTE(SUBSTITUTE(AH188, CHAR(13), ""),CHAR(10),"\n"), "")&amp;IF(AK188&lt;&gt;"", "', textZhG187Additional: '"&amp;SUBSTITUTE(SUBSTITUTE(AK188, CHAR(13), ""),CHAR(10),"\n"), "")&amp;"', textKo: '"&amp;SUBSTITUTE(SUBSTITUTE(SUBSTITUTE(AM188, CHAR(13), ""),CHAR(10),"\n"),"'","\'")&amp;IF(AM188&lt;&gt;"", "', textKoAdditional: '"&amp;SUBSTITUTE(SUBSTITUTE(AM188, CHAR(13), ""),CHAR(10),"\n"), "")&amp;"', textEn: '"&amp;SUBSTITUTE(SUBSTITUTE(SUBSTITUTE(AM188, CHAR(13), ""),CHAR(10),"\n"),"'","\'")&amp;IF(AN188&lt;&gt;"", "', textEnAdditional: '"&amp;SUBSTITUTE(SUBSTITUTE(AN188, CHAR(13), ""),CHAR(10),"\n"), "")&amp;"'"&amp;IF(AB188="○",", sealable: true","")&amp;IF(AC188="○",", removable: true","")&amp;IF(AA188="○",", lie: true","")&amp;IF(AD188="○",", investable: true","")&amp;"},")</x:f>
        <x:v>'transform-A1-01': {megami: 'thallya', anotherID: 'A1', replace: '', name: 'Form:KINNARI', nameEn: 'Form: KINNARI', nameZh: 'Form: KINNARI', nameZhG187: '紧那罗形态', nameKo: 'Form: KINNARI', ruby: 'フォルム:キンナリー', rubyEn: '', rubyZh: '紧那罗形态', baseType: 'transform', type: 'transform', text: '【変形時】相手は山札を全て伏せ札にする。\n【常時:Zeta-Voice】相手が山札を再構成した時、その解決後に攻撃『適正距離2,4,6、2/2』を行ってもよい。', textZh: '【变形时】对手将其牌库全部盖伏。\n----\n【常时：Zeta-Voice】\n对手牌库再构成时，在其结算后你可以进行一次“攻击距离2,4,6 伤害2/2”的攻击。', textZhG187: '【变形时】盖伏对手的牌库。\n----\n【常时】Zeta-Voice：对手重铸牌库后，你可以进行一次“攻击距离2,4,6 伤害2/2”的攻击。', textZhG187Additional: '【변형시】상대는 패산을 전부 덮임패로 한다.\n----\n【상시：Zeta-Voice】\n상대가 패산을 재구성할 때마다 그 해결 후에 공격 「적정 거리 2, 4, 6, 2/2」을 해도 좋다.', textKo: 'TransForm: Discard your opponent\'s deck.\n----\nForced ("Zeta-Voice"): After your opponent reshuffles their deck, you attack with "Range: 2, 4, 6, Damage: 2/2".', textKoAdditional: 'TransForm: Discard your opponent's deck.\n----\nForced ("Zeta-Voice"): After your opponent reshuffles their deck, you attack with "Range: 2, 4, 6, Damage: 2/2".', textEn: 'TransForm: Discard your opponent\'s deck.\n----\nForced ("Zeta-Voice"): After your opponent reshuffles their deck, you attack with "Range: 2, 4, 6, Damage: 2/2".'},</x:v>
      </x:c>
      <x:c r="AU188" t="str">
        <x:f>IF($A188&lt;&gt;"", "    /** 《"&amp;$E188&amp;"》 */ export const "&amp;SUBSTITUTE(UPPER(IF(MID($A188, 3, 1)="-", RIGHT($A188,LEN($A188)-3), $A188)), "-", "_")&amp;": TCardId = '"&amp;$A188&amp;"';", "")</x:f>
        <x:v>    /** 《Form:KINNARI》 */ export const TRANSFORM_A1_01: TCardId = 'transform-A1-01';</x:v>
      </x:c>
      <x:c r="AV188" t="str">
        <x:f>IF($A189&lt;&gt;"", "    | '"&amp;$A189&amp;"'", "")</x:f>
        <x:v>    | 'transform-A1-03'</x:v>
      </x:c>
    </x:row>
    <x:row r="189" ht="113" customHeight="1">
      <x:c r="A189" t="str">
        <x:v>transform-A1-03</x:v>
      </x:c>
      <x:c r="B189" t="str">
        <x:v>thallya</x:v>
      </x:c>
      <x:c r="C189" t="str">
        <x:v>A1</x:v>
      </x:c>
      <x:c r="D189"/>
      <x:c r="E189" t="str">
        <x:v>Form:ASURA</x:v>
      </x:c>
      <x:c r="F189" t="str">
        <x:v>フォルム:アスラ</x:v>
      </x:c>
      <x:c r="G189" t="str">
        <x:v>Form: ASURA</x:v>
      </x:c>
      <x:c r="H189" t="str">
        <x:v>阿修罗形态</x:v>
      </x:c>
      <x:c r="I189" t="str">
        <x:v>阿修罗形态</x:v>
      </x:c>
      <x:c r="J189" t="str">
        <x:v>Form: ASURA</x:v>
      </x:c>
      <x:c r="K189" t="str">
        <x:v>Form: ASURA</x:v>
      </x:c>
      <x:c r="L189"/>
      <x:c r="M189" t="str">
        <x:v>transform</x:v>
      </x:c>
      <x:c r="N189"/>
      <x:c r="O189"/>
      <x:c r="P189"/>
      <x:c r="Q189"/>
      <x:c r="R189" t="str">
        <x:v>transform</x:v>
      </x:c>
      <x:c r="S189"/>
      <x:c r="T189"/>
      <x:c r="U189"/>
      <x:c r="V189"/>
      <x:c r="W189"/>
      <x:c r="X189"/>
      <x:c r="Y189"/>
      <x:c r="Z189"/>
      <x:c r="AA189"/>
      <x:c r="AB189"/>
      <x:c r="AC189"/>
      <x:c r="AD189"/>
      <x:c r="AE189" s="438" t="str">
        <x:v>【変形時】相手は伏せ札から1枚を選び、それを捨て札にする。これをもう1回繰り返す。
【追加基本動作:Sigma-Drive】攻撃『適正距離3,5、3/2【攻撃後】あなたは畏縮する』を行う。この基本動作は1ターンに1回だけ行える。</x:v>
      </x:c>
      <x:c r="AF189" s="438"/>
      <x:c r="AG189" s="499" t="str">
        <x:v>【变形时】对手从盖牌里弃1张牌。然后重复1次。
----
【追加基本动作：Sigma-Drive】
进行一次“攻击距离3,5 伤害3/2 【攻击后】令你畏缩。”的攻击。
这个基本动作1回合只能进行1次。</x:v>
      </x:c>
      <x:c r="AH189" s="438"/>
      <x:c r="AI189" s="499" t="str">
        <x:v>【变形时】对手从其盖牌区中选择1张牌弃置。然后再结算上述效果1次。
----
【追加基本动作】Sigma-Drive：进行一次“攻击距离3,5 伤害3/2 【攻击后】你畏缩”的攻击。此基本动作每回合至多执行一次。</x:v>
      </x:c>
      <x:c r="AJ189" s="438"/>
      <x:c r="AK189" s="499" t="str">
        <x:v>【변형시】 상대는 덮은패를 1장 선택하여 버림패로 보낸다. 이를 1회 더 반복한다.
----
【추가기본동작: Sigma-Drive】
공격 『적정거리 3,5, 3/2, 【공격후】 당신은 위축된다.』을 수행한다.
이 기본동작은 한 턴에 한 번만 수행할 수 있다.</x:v>
      </x:c>
      <x:c r="AL189" s="438"/>
      <x:c r="AM189" s="499" t="str">
        <x:v>TransForm: Your opponent puts a card from their discard pile into their played pile. Repeat this process a total of one more time.
Additional basic action ("Sigma-Drive"): You attack with "Range: 3, 5, Damage: 3/2, After Attack: Flinch yourself." This action can only be performed once a turn.</x:v>
      </x:c>
      <x:c r="AN189" s="438"/>
      <x:c r="AO189" s="438"/>
      <x:c r="AP189" s="438"/>
      <x:c r="AQ189" s="438"/>
      <x:c r="AR189" s="438"/>
      <x:c r="AS189" s="438"/>
      <x:c r="AT189" t="str">
        <x:f>IF(A189="", "","'"&amp;A189&amp;"': {megami: '"&amp;B189&amp;"'"&amp;IF(C189&lt;&gt;"",", anotherID: '"&amp;C189&amp;"', replace: '"&amp;D189&amp;"'","")&amp;", name: '"&amp;SUBSTITUTE(E189,"'","\'")&amp;"', nameEn: '"&amp;SUBSTITUTE(K189,"'","\'")&amp;"', nameZh: '"&amp;SUBSTITUTE(G189,"'","\'")&amp;"', nameZhG188: '"&amp;SUBSTITUTE(H189,"'","\'")&amp;"', nameKo: '"&amp;SUBSTITUTE(J189,"'","\'")&amp;"', ruby: '"&amp;F189&amp;"', rubyEn: '"&amp;L189&amp;IF(I189&lt;&gt;"", "', rubyZh: '"&amp;I189, "")&amp;"', baseType: '"&amp;IF(M189="通常札","normal",IF(M189="切札","special",IF(M189="追加札","extra",IF(M189="transform","transform",IF(M189="嵐","storm",IF(M189="兵員","troop",IF(M189="構想","plan",IF(M189="メインパーツ","mainParts",IF(M189="カスタムパーツ","customParts",IF(M189="運命","fate",IF(M189="仮想樹","virtualTree","")))))))))))&amp;"'"&amp;IF(N189="○",", extra: true","")&amp;IF(O189&lt;&gt;"",", extraFrom: '"&amp;O189&amp;"'","")&amp;IF(P189&lt;&gt;"",", exchangableTo: '"&amp;P189&amp;"'","")&amp;IF(Q189="○",", poison: true","")&amp;IF(R189&lt;&gt;"", ", type: '"&amp;IF(R189="攻撃","attack",IF(R189="行動","action",IF(R189="不定","variable",IF(R189="対応","reaction",IF(R189="全力","fullpower",IF(R189="付与","enhance",IF(R189="transform","transform","")))))))&amp;"'", "")&amp;IF(S189&lt;&gt;"",", subType: '"&amp;IF(S189="攻撃","attack",IF(S189="行動","action",IF(S189="不定","variable",IF(S189="対応","reaction",IF(S189="全力","fullpower",IF(S189="付与","enhance",IF(S189="transform","transform","")))))))&amp;"'","")&amp;""&amp;IF(T189&lt;&gt;"",", range: '"&amp;T189&amp;"'","")&amp;IF(V189&lt;&gt;"",", damage: '"&amp;V189&amp;"'","")&amp;IF(X189&lt;&gt;"",", capacity: '"&amp;X189&amp;"'","")&amp;IF(Y189&lt;&gt;"",", growth: "&amp;Y189&amp;"","")&amp;IF(Z189&lt;&gt;"",", cost: '"&amp;Z189&amp;"'","")&amp;", text: '"&amp;SUBSTITUTE(SUBSTITUTE(AE189, CHAR(13), ""),CHAR(10),"\n")&amp;IF(AF189&lt;&gt;"", "', textAdditional: '"&amp;SUBSTITUTE(SUBSTITUTE(AF189, CHAR(13), ""),CHAR(10),"\n"), "")&amp;"', textZh: '"&amp;SUBSTITUTE(SUBSTITUTE(SUBSTITUTE(AG189, CHAR(13), ""),CHAR(10),"\n"),"'","\'")&amp;"', textZhG188: '"&amp;SUBSTITUTE(SUBSTITUTE(SUBSTITUTE(AI189, CHAR(13), ""),CHAR(10),"\n"),"'","\'")&amp;IF(AH189&lt;&gt;"", "', textZhAdditional: '"&amp;SUBSTITUTE(SUBSTITUTE(AH189, CHAR(13), ""),CHAR(10),"\n"), "")&amp;IF(AK189&lt;&gt;"", "', textZhG188Additional: '"&amp;SUBSTITUTE(SUBSTITUTE(AK189, CHAR(13), ""),CHAR(10),"\n"), "")&amp;"', textKo: '"&amp;SUBSTITUTE(SUBSTITUTE(SUBSTITUTE(AM189, CHAR(13), ""),CHAR(10),"\n"),"'","\'")&amp;IF(AM189&lt;&gt;"", "', textKoAdditional: '"&amp;SUBSTITUTE(SUBSTITUTE(AM189, CHAR(13), ""),CHAR(10),"\n"), "")&amp;"', textEn: '"&amp;SUBSTITUTE(SUBSTITUTE(SUBSTITUTE(AM189, CHAR(13), ""),CHAR(10),"\n"),"'","\'")&amp;IF(AN189&lt;&gt;"", "', textEnAdditional: '"&amp;SUBSTITUTE(SUBSTITUTE(AN189, CHAR(13), ""),CHAR(10),"\n"), "")&amp;"'"&amp;IF(AB189="○",", sealable: true","")&amp;IF(AC189="○",", removable: true","")&amp;IF(AA189="○",", lie: true","")&amp;IF(AD189="○",", investable: true","")&amp;"},")</x:f>
        <x:v>'transform-A1-03': {megami: 'thallya', anotherID: 'A1', replace: '', name: 'Form:ASURA', nameEn: 'Form: ASURA', nameZh: 'Form: ASURA', nameZhG188: '阿修罗形态', nameKo: 'Form: ASURA', ruby: 'フォルム:アスラ', rubyEn: '', rubyZh: '阿修罗形态', baseType: 'transform', type: 'transform', text: '【変形時】相手は伏せ札から1枚を選び、それを捨て札にする。これをもう1回繰り返す。\n【追加基本動作:Sigma-Drive】攻撃『適正距離3,5、3/2【攻撃後】あなたは畏縮する』を行う。この基本動作は1ターンに1回だけ行える。', textZh: '【变形时】对手从盖牌里弃1张牌。然后重复1次。\n----\n【追加基本动作：Sigma-Drive】\n进行一次“攻击距离3,5 伤害3/2 【攻击后】令你畏缩。”的攻击。\n这个基本动作1回合只能进行1次。', textZhG188: '【变形时】对手从其盖牌区中选择1张牌弃置。然后再结算上述效果1次。\n----\n【追加基本动作】Sigma-Drive：进行一次“攻击距离3,5 伤害3/2 【攻击后】你畏缩”的攻击。此基本动作每回合至多执行一次。', textZhG188Additional: '【변형시】 상대는 덮은패를 1장 선택하여 버림패로 보낸다. 이를 1회 더 반복한다.\n----\n【추가기본동작: Sigma-Drive】\n공격 『적정거리 3,5, 3/2, 【공격후】 당신은 위축된다.』을 수행한다.\n이 기본동작은 한 턴에 한 번만 수행할 수 있다.', textKo: 'TransForm: Your opponent puts a card from their discard pile into their played pile. Repeat this process a total of one more time.\n\nAdditional basic action ("Sigma-Drive"): You attack with "Range: 3, 5, Damage: 3/2, After Attack: Flinch yourself." This action can only be performed once a turn.', textKoAdditional: 'TransForm: Your opponent puts a card from their discard pile into their played pile. Repeat this process a total of one more time.\n\nAdditional basic action ("Sigma-Drive"): You attack with "Range: 3, 5, Damage: 3/2, After Attack: Flinch yourself." This action can only be performed once a turn.', textEn: 'TransForm: Your opponent puts a card from their discard pile into their played pile. Repeat this process a total of one more time.\n\nAdditional basic action ("Sigma-Drive"): You attack with "Range: 3, 5, Damage: 3/2, After Attack: Flinch yourself." This action can only be performed once a turn.'},</x:v>
      </x:c>
      <x:c r="AU189" t="str">
        <x:f>IF($A189&lt;&gt;"", "    /** 《"&amp;$E189&amp;"》 */ export const "&amp;SUBSTITUTE(UPPER(IF(MID($A189, 3, 1)="-", RIGHT($A189,LEN($A189)-3), $A189)), "-", "_")&amp;": TCardId = '"&amp;$A189&amp;"';", "")</x:f>
        <x:v>    /** 《Form:ASURA》 */ export const TRANSFORM_A1_03: TCardId = 'transform-A1-03';</x:v>
      </x:c>
      <x:c r="AV189" t="str">
        <x:f>IF($A190&lt;&gt;"", "    | '"&amp;$A190&amp;"'", "")</x:f>
        <x:v>    | 'transform-A1-04'</x:v>
      </x:c>
    </x:row>
    <x:row r="190" ht="98" customHeight="1">
      <x:c r="A190" t="str">
        <x:v>transform-A1-04</x:v>
      </x:c>
      <x:c r="B190" t="str">
        <x:v>thallya</x:v>
      </x:c>
      <x:c r="C190" t="str">
        <x:v>A1</x:v>
      </x:c>
      <x:c r="D190"/>
      <x:c r="E190" t="str">
        <x:v>Form:DEVA</x:v>
      </x:c>
      <x:c r="F190" t="str">
        <x:v>フォルム:デーヴァ</x:v>
      </x:c>
      <x:c r="G190" t="str">
        <x:v>Form: DEVA</x:v>
      </x:c>
      <x:c r="H190" t="str">
        <x:v>缇婆形态</x:v>
      </x:c>
      <x:c r="I190" t="str">
        <x:v>天神形态</x:v>
      </x:c>
      <x:c r="J190" t="str">
        <x:v>Form: DEVA</x:v>
      </x:c>
      <x:c r="K190" t="str">
        <x:v>Form: DEVA</x:v>
      </x:c>
      <x:c r="L190"/>
      <x:c r="M190" t="str">
        <x:v>transform</x:v>
      </x:c>
      <x:c r="N190"/>
      <x:c r="O190"/>
      <x:c r="P190"/>
      <x:c r="Q190"/>
      <x:c r="R190" t="str">
        <x:v>transform</x:v>
      </x:c>
      <x:c r="S190"/>
      <x:c r="T190"/>
      <x:c r="U190"/>
      <x:c r="V190"/>
      <x:c r="W190"/>
      <x:c r="X190"/>
      <x:c r="Y190"/>
      <x:c r="Z190"/>
      <x:c r="AA190"/>
      <x:c r="AB190"/>
      <x:c r="AC190"/>
      <x:c r="AD190"/>
      <x:c r="AE190" s="438" t="str">
        <x:v>【変形時】あなたの燃焼済の造花結晶を2つ回復し、基本動作《纏い》を2回行う。
【常時:Phi-Cycle】相手の捨て札にあるカードの枚数が0でない2の倍数になるたびに、あなたは集中力を1得る。</x:v>
      </x:c>
      <x:c r="AF190" s="438"/>
      <x:c r="AG190" s="499" t="str">
        <x:v>(+1) 【展開時】攻撃『適正距離3、2/2、不可避』を行う。
----
隙
【展開中】相手のオーラへと桜花結晶が移動するならば、それは代わりにダストへと移動する。そうした場合、このカードの上から桜花結晶を1つダストに送る。</x:v>
      </x:c>
      <x:c r="AH190" s="438"/>
      <x:c r="AI190" s="499" t="str">
        <x:v>【变形时】回复2个处于燃尽状态的造花结晶。执行2次基本动作《装附》。
----
【常时】Phi-Cycle：对手的弃牌张数变为除0以外的偶数时，你获得1点集中力。</x:v>
      </x:c>
      <x:c r="AJ190" s="438"/>
      <x:c r="AK190" s="499" t="str">
        <x:v>【변형시】당신의 연소된 조화 결정을 2개 회복하고 기본 동작 《휘감기》를 2번 한다.
----
【상시：Phi-Cycle】
상대의 버림패의 수가 0이 아닌 2의 배수가 될 때마다 당신은 집중력을 1얻는다.</x:v>
      </x:c>
      <x:c r="AL190" s="438"/>
      <x:c r="AM190" s="499" t="str">
        <x:v>TransForm: Recover 2 burned Artificial Sakura tokens. Perform 2 Recover basic actions.
----
Forced ("Phi-Cycle"): Whenever the number of your cards in your opponent's played pile becomes an even number other than 0, gain 1 Vigor.</x:v>
      </x:c>
      <x:c r="AN190" s="438"/>
      <x:c r="AO190" s="438"/>
      <x:c r="AP190" s="438"/>
      <x:c r="AQ190" s="438"/>
      <x:c r="AR190" s="438"/>
      <x:c r="AS190" s="438"/>
      <x:c r="AT190" t="str">
        <x:f>IF(A190="", "","'"&amp;A190&amp;"': {megami: '"&amp;B190&amp;"'"&amp;IF(C190&lt;&gt;"",", anotherID: '"&amp;C190&amp;"', replace: '"&amp;D190&amp;"'","")&amp;", name: '"&amp;SUBSTITUTE(E190,"'","\'")&amp;"', nameEn: '"&amp;SUBSTITUTE(K190,"'","\'")&amp;"', nameZh: '"&amp;SUBSTITUTE(G190,"'","\'")&amp;"', nameZhG189: '"&amp;SUBSTITUTE(H190,"'","\'")&amp;"', nameKo: '"&amp;SUBSTITUTE(J190,"'","\'")&amp;"', ruby: '"&amp;F190&amp;"', rubyEn: '"&amp;L190&amp;IF(I190&lt;&gt;"", "', rubyZh: '"&amp;I190, "")&amp;"', baseType: '"&amp;IF(M190="通常札","normal",IF(M190="切札","special",IF(M190="追加札","extra",IF(M190="transform","transform",IF(M190="嵐","storm",IF(M190="兵員","troop",IF(M190="構想","plan",IF(M190="メインパーツ","mainParts",IF(M190="カスタムパーツ","customParts",IF(M190="運命","fate",IF(M190="仮想樹","virtualTree","")))))))))))&amp;"'"&amp;IF(N190="○",", extra: true","")&amp;IF(O190&lt;&gt;"",", extraFrom: '"&amp;O190&amp;"'","")&amp;IF(P190&lt;&gt;"",", exchangableTo: '"&amp;P190&amp;"'","")&amp;IF(Q190="○",", poison: true","")&amp;IF(R190&lt;&gt;"", ", type: '"&amp;IF(R190="攻撃","attack",IF(R190="行動","action",IF(R190="不定","variable",IF(R190="対応","reaction",IF(R190="全力","fullpower",IF(R190="付与","enhance",IF(R190="transform","transform","")))))))&amp;"'", "")&amp;IF(S190&lt;&gt;"",", subType: '"&amp;IF(S190="攻撃","attack",IF(S190="行動","action",IF(S190="不定","variable",IF(S190="対応","reaction",IF(S190="全力","fullpower",IF(S190="付与","enhance",IF(S190="transform","transform","")))))))&amp;"'","")&amp;""&amp;IF(T190&lt;&gt;"",", range: '"&amp;T190&amp;"'","")&amp;IF(V190&lt;&gt;"",", damage: '"&amp;V190&amp;"'","")&amp;IF(X190&lt;&gt;"",", capacity: '"&amp;X190&amp;"'","")&amp;IF(Y190&lt;&gt;"",", growth: "&amp;Y190&amp;"","")&amp;IF(Z190&lt;&gt;"",", cost: '"&amp;Z190&amp;"'","")&amp;", text: '"&amp;SUBSTITUTE(SUBSTITUTE(AE190, CHAR(13), ""),CHAR(10),"\n")&amp;IF(AF190&lt;&gt;"", "', textAdditional: '"&amp;SUBSTITUTE(SUBSTITUTE(AF190, CHAR(13), ""),CHAR(10),"\n"), "")&amp;"', textZh: '"&amp;SUBSTITUTE(SUBSTITUTE(SUBSTITUTE(AG190, CHAR(13), ""),CHAR(10),"\n"),"'","\'")&amp;"', textZhG189: '"&amp;SUBSTITUTE(SUBSTITUTE(SUBSTITUTE(AI190, CHAR(13), ""),CHAR(10),"\n"),"'","\'")&amp;IF(AH190&lt;&gt;"", "', textZhAdditional: '"&amp;SUBSTITUTE(SUBSTITUTE(AH190, CHAR(13), ""),CHAR(10),"\n"), "")&amp;IF(AK190&lt;&gt;"", "', textZhG189Additional: '"&amp;SUBSTITUTE(SUBSTITUTE(AK190, CHAR(13), ""),CHAR(10),"\n"), "")&amp;"', textKo: '"&amp;SUBSTITUTE(SUBSTITUTE(SUBSTITUTE(AM190, CHAR(13), ""),CHAR(10),"\n"),"'","\'")&amp;IF(AM190&lt;&gt;"", "', textKoAdditional: '"&amp;SUBSTITUTE(SUBSTITUTE(AM190, CHAR(13), ""),CHAR(10),"\n"), "")&amp;"', textEn: '"&amp;SUBSTITUTE(SUBSTITUTE(SUBSTITUTE(AM190, CHAR(13), ""),CHAR(10),"\n"),"'","\'")&amp;IF(AN190&lt;&gt;"", "', textEnAdditional: '"&amp;SUBSTITUTE(SUBSTITUTE(AN190, CHAR(13), ""),CHAR(10),"\n"), "")&amp;"'"&amp;IF(AB190="○",", sealable: true","")&amp;IF(AC190="○",", removable: true","")&amp;IF(AA190="○",", lie: true","")&amp;IF(AD190="○",", investable: true","")&amp;"},")</x:f>
        <x:v>'transform-A1-04': {megami: 'thallya', anotherID: 'A1', replace: '', name: 'Form:DEVA', nameEn: 'Form: DEVA', nameZh: 'Form: DEVA', nameZhG189: '缇婆形态', nameKo: 'Form: DEVA', ruby: 'フォルム:デーヴァ', rubyEn: '', rubyZh: '天神形态', baseType: 'transform', type: 'transform', text: '【変形時】あなたの燃焼済の造花結晶を2つ回復し、基本動作《纏い》を2回行う。\n【常時:Phi-Cycle】相手の捨て札にあるカードの枚数が0でない2の倍数になるたびに、あなたは集中力を1得る。', textZh: '(+1) 【展開時】攻撃『適正距離3、2/2、不可避』を行う。\n----\n隙\n【展開中】相手のオーラへと桜花結晶が移動するならば、それは代わりにダストへと移動する。そうした場合、このカードの上から桜花結晶を1つダストに送る。', textZhG189: '【变形时】回复2个处于燃尽状态的造花结晶。执行2次基本动作《装附》。\n----\n【常时】Phi-Cycle：对手的弃牌张数变为除0以外的偶数时，你获得1点集中力。', textZhG189Additional: '【변형시】당신의 연소된 조화 결정을 2개 회복하고 기본 동작 《휘감기》를 2번 한다.\n----\n【상시：Phi-Cycle】\n상대의 버림패의 수가 0이 아닌 2의 배수가 될 때마다 당신은 집중력을 1얻는다.', textKo: 'TransForm: Recover 2 burned Artificial Sakura tokens. Perform 2 Recover basic actions.\n----\nForced ("Phi-Cycle"): Whenever the number of your cards in your opponent\'s played pile becomes an even number other than 0, gain 1 Vigor.', textKoAdditional: 'TransForm: Recover 2 burned Artificial Sakura tokens. Perform 2 Recover basic actions.\n----\nForced ("Phi-Cycle"): Whenever the number of your cards in your opponent's played pile becomes an even number other than 0, gain 1 Vigor.', textEn: 'TransForm: Recover 2 burned Artificial Sakura tokens. Perform 2 Recover basic actions.\n----\nForced ("Phi-Cycle"): Whenever the number of your cards in your opponent\'s played pile becomes an even number other than 0, gain 1 Vigor.'},</x:v>
      </x:c>
      <x:c r="AU190" t="str">
        <x:f>IF($A190&lt;&gt;"", "    /** 《"&amp;$E190&amp;"》 */ export const "&amp;SUBSTITUTE(UPPER(IF(MID($A190, 3, 1)="-", RIGHT($A190,LEN($A190)-3), $A190)), "-", "_")&amp;": TCardId = '"&amp;$A190&amp;"';", "")</x:f>
        <x:v>    /** 《Form:DEVA》 */ export const TRANSFORM_A1_04: TCardId = 'transform-A1-04';</x:v>
      </x:c>
      <x:c r="AV190" t="str">
        <x:f>IF($A191&lt;&gt;"", "    | '"&amp;$A191&amp;"'", "")</x:f>
        <x:v>    | '12-raira-o-n-1'</x:v>
      </x:c>
    </x:row>
    <x:row r="191" ht="30" customHeight="1">
      <x:c r="A191" t="str">
        <x:v>12-raira-o-n-1</x:v>
      </x:c>
      <x:c r="B191" t="str">
        <x:v>raira</x:v>
      </x:c>
      <x:c r="C191"/>
      <x:c r="D191"/>
      <x:c r="E191" t="str">
        <x:v>獣爪</x:v>
      </x:c>
      <x:c r="F191" t="str">
        <x:v>じゅうそう</x:v>
      </x:c>
      <x:c r="G191" t="str">
        <x:v>兽爪</x:v>
      </x:c>
      <x:c r="H191" t="str">
        <x:v>兽爪</x:v>
      </x:c>
      <x:c r="I191"/>
      <x:c r="J191" t="str">
        <x:v>짐승의 손톱</x:v>
      </x:c>
      <x:c r="K191" t="str">
        <x:v>Bestial Claw</x:v>
      </x:c>
      <x:c r="L191"/>
      <x:c r="M191" t="str">
        <x:v>通常札</x:v>
      </x:c>
      <x:c r="N191"/>
      <x:c r="O191"/>
      <x:c r="P191"/>
      <x:c r="Q191"/>
      <x:c r="R191" t="str">
        <x:v>攻撃</x:v>
      </x:c>
      <x:c r="S191"/>
      <x:c r="T191" t="str">
        <x:v>1-2</x:v>
      </x:c>
      <x:c r="U191"/>
      <x:c r="V191" t="str">
        <x:v>3/1</x:v>
      </x:c>
      <x:c r="W191"/>
      <x:c r="X191"/>
      <x:c r="Y191"/>
      <x:c r="Z191"/>
      <x:c r="AA191"/>
      <x:c r="AB191"/>
      <x:c r="AC191"/>
      <x:c r="AD191"/>
      <x:c r="AE191" s="438"/>
      <x:c r="AF191" s="438"/>
      <x:c r="AG191" s="438"/>
      <x:c r="AH191" s="438"/>
      <x:c r="AI191" s="438"/>
      <x:c r="AJ191" s="438"/>
      <x:c r="AK191" s="438"/>
      <x:c r="AL191" s="438"/>
      <x:c r="AM191" s="438"/>
      <x:c r="AN191" s="438"/>
      <x:c r="AO191" s="438"/>
      <x:c r="AP191" s="438"/>
      <x:c r="AQ191" s="438"/>
      <x:c r="AR191" s="438"/>
      <x:c r="AS191" s="438"/>
      <x:c r="AT191" t="str">
        <x:f>IF(A191="", "","'"&amp;A191&amp;"': {megami: '"&amp;B191&amp;"'"&amp;IF(C191&lt;&gt;"",", anotherID: '"&amp;C191&amp;"', replace: '"&amp;D191&amp;"'","")&amp;", name: '"&amp;SUBSTITUTE(E191,"'","\'")&amp;"', nameEn: '"&amp;SUBSTITUTE(K191,"'","\'")&amp;"', nameZh: '"&amp;SUBSTITUTE(G191,"'","\'")&amp;"', nameZhG190: '"&amp;SUBSTITUTE(H191,"'","\'")&amp;"', nameKo: '"&amp;SUBSTITUTE(J191,"'","\'")&amp;"', ruby: '"&amp;F191&amp;"', rubyEn: '"&amp;L191&amp;IF(I191&lt;&gt;"", "', rubyZh: '"&amp;I191, "")&amp;"', baseType: '"&amp;IF(M191="通常札","normal",IF(M191="切札","special",IF(M191="追加札","extra",IF(M191="transform","transform",IF(M191="嵐","storm",IF(M191="兵員","troop",IF(M191="構想","plan",IF(M191="メインパーツ","mainParts",IF(M191="カスタムパーツ","customParts",IF(M191="運命","fate",IF(M191="仮想樹","virtualTree","")))))))))))&amp;"'"&amp;IF(N191="○",", extra: true","")&amp;IF(O191&lt;&gt;"",", extraFrom: '"&amp;O191&amp;"'","")&amp;IF(P191&lt;&gt;"",", exchangableTo: '"&amp;P191&amp;"'","")&amp;IF(Q191="○",", poison: true","")&amp;IF(R191&lt;&gt;"", ", type: '"&amp;IF(R191="攻撃","attack",IF(R191="行動","action",IF(R191="不定","variable",IF(R191="対応","reaction",IF(R191="全力","fullpower",IF(R191="付与","enhance",IF(R191="transform","transform","")))))))&amp;"'", "")&amp;IF(S191&lt;&gt;"",", subType: '"&amp;IF(S191="攻撃","attack",IF(S191="行動","action",IF(S191="不定","variable",IF(S191="対応","reaction",IF(S191="全力","fullpower",IF(S191="付与","enhance",IF(S191="transform","transform","")))))))&amp;"'","")&amp;""&amp;IF(T191&lt;&gt;"",", range: '"&amp;T191&amp;"'","")&amp;IF(V191&lt;&gt;"",", damage: '"&amp;V191&amp;"'","")&amp;IF(X191&lt;&gt;"",", capacity: '"&amp;X191&amp;"'","")&amp;IF(Y191&lt;&gt;"",", growth: "&amp;Y191&amp;"","")&amp;IF(Z191&lt;&gt;"",", cost: '"&amp;Z191&amp;"'","")&amp;", text: '"&amp;SUBSTITUTE(SUBSTITUTE(AE191, CHAR(13), ""),CHAR(10),"\n")&amp;IF(AF191&lt;&gt;"", "', textAdditional: '"&amp;SUBSTITUTE(SUBSTITUTE(AF191, CHAR(13), ""),CHAR(10),"\n"), "")&amp;"', textZh: '"&amp;SUBSTITUTE(SUBSTITUTE(SUBSTITUTE(AG191, CHAR(13), ""),CHAR(10),"\n"),"'","\'")&amp;"', textZhG190: '"&amp;SUBSTITUTE(SUBSTITUTE(SUBSTITUTE(AI191, CHAR(13), ""),CHAR(10),"\n"),"'","\'")&amp;IF(AH191&lt;&gt;"", "', textZhAdditional: '"&amp;SUBSTITUTE(SUBSTITUTE(AH191, CHAR(13), ""),CHAR(10),"\n"), "")&amp;IF(AK191&lt;&gt;"", "', textZhG190Additional: '"&amp;SUBSTITUTE(SUBSTITUTE(AK191, CHAR(13), ""),CHAR(10),"\n"), "")&amp;"', textKo: '"&amp;SUBSTITUTE(SUBSTITUTE(SUBSTITUTE(AM191, CHAR(13), ""),CHAR(10),"\n"),"'","\'")&amp;IF(AM191&lt;&gt;"", "', textKoAdditional: '"&amp;SUBSTITUTE(SUBSTITUTE(AM191, CHAR(13), ""),CHAR(10),"\n"), "")&amp;"', textEn: '"&amp;SUBSTITUTE(SUBSTITUTE(SUBSTITUTE(AM191, CHAR(13), ""),CHAR(10),"\n"),"'","\'")&amp;IF(AN191&lt;&gt;"", "', textEnAdditional: '"&amp;SUBSTITUTE(SUBSTITUTE(AN191, CHAR(13), ""),CHAR(10),"\n"), "")&amp;"'"&amp;IF(AB191="○",", sealable: true","")&amp;IF(AC191="○",", removable: true","")&amp;IF(AA191="○",", lie: true","")&amp;IF(AD191="○",", investable: true","")&amp;"},")</x:f>
        <x:v>'12-raira-o-n-1': {megami: 'raira', name: '獣爪', nameEn: 'Bestial Claw', nameZh: '兽爪', nameZhG190: '兽爪', nameKo: '짐승의 손톱', ruby: 'じゅうそう', rubyEn: '', baseType: 'normal', type: 'attack', range: '1-2', damage: '3/1', text: '', textZh: '', textZhG190: '', textKo: '', textEn: ''},</x:v>
      </x:c>
      <x:c r="AU191" t="str">
        <x:f>IF($A191&lt;&gt;"", "    /** 《"&amp;$E191&amp;"》 */ export const "&amp;SUBSTITUTE(UPPER(IF(MID($A191, 3, 1)="-", RIGHT($A191,LEN($A191)-3), $A191)), "-", "_")&amp;": TCardId = '"&amp;$A191&amp;"';", "")</x:f>
        <x:v>    /** 《獣爪》 */ export const RAIRA_O_N_1: TCardId = '12-raira-o-n-1';</x:v>
      </x:c>
      <x:c r="AV191" t="str">
        <x:f>IF($A192&lt;&gt;"", "    | '"&amp;$A192&amp;"'", "")</x:f>
        <x:v>    | '12-raira-o-n-2'</x:v>
      </x:c>
    </x:row>
    <x:row r="192" ht="38" customHeight="1">
      <x:c r="A192" t="str">
        <x:v>12-raira-o-n-2</x:v>
      </x:c>
      <x:c r="B192" t="str">
        <x:v>raira</x:v>
      </x:c>
      <x:c r="C192"/>
      <x:c r="D192"/>
      <x:c r="E192" t="str">
        <x:v>風雷撃</x:v>
      </x:c>
      <x:c r="F192" t="str">
        <x:v>ふうらいげき</x:v>
      </x:c>
      <x:c r="G192" t="str">
        <x:v>风雷击</x:v>
      </x:c>
      <x:c r="H192" t="str">
        <x:v>风雷击</x:v>
      </x:c>
      <x:c r="I192"/>
      <x:c r="J192" t="str">
        <x:v>풍뢰격</x:v>
      </x:c>
      <x:c r="K192" t="str">
        <x:v>Wind and Thunder</x:v>
      </x:c>
      <x:c r="L192"/>
      <x:c r="M192" t="str">
        <x:v>通常札</x:v>
      </x:c>
      <x:c r="N192"/>
      <x:c r="O192"/>
      <x:c r="P192"/>
      <x:c r="Q192"/>
      <x:c r="R192" t="str">
        <x:v>攻撃</x:v>
      </x:c>
      <x:c r="S192"/>
      <x:c r="T192" t="str">
        <x:v>1-2</x:v>
      </x:c>
      <x:c r="U192"/>
      <x:c r="V192" t="str">
        <x:v>X/2</x:v>
      </x:c>
      <x:c r="W192"/>
      <x:c r="X192"/>
      <x:c r="Y192"/>
      <x:c r="Z192"/>
      <x:c r="AA192"/>
      <x:c r="AB192"/>
      <x:c r="AC192"/>
      <x:c r="AD192"/>
      <x:c r="AE192" s="438" t="str">
        <x:v>【常時】Xは風神ゲージと雷神ゲージのうち、小さい方の値である。</x:v>
      </x:c>
      <x:c r="AF192" s="438"/>
      <x:c r="AG192" s="438" t="str">
        <x:v>【常时】X等于风神槽与雷神槽的值中的较小者。</x:v>
      </x:c>
      <x:c r="AH192" s="438"/>
      <x:c r="AI192" s="438"/>
      <x:c r="AJ192" s="438"/>
      <x:c r="AK192" s="438" t="str">
        <x:v>【상시】X는 풍신 게이지나 뇌신 게이지 중, 작은쪽의 수치가 된다.</x:v>
      </x:c>
      <x:c r="AL192" s="438"/>
      <x:c r="AM192" s="438" t="str">
        <x:v>Forced: X is equal to the lower of your Wind and Thunder God gauges.</x:v>
      </x:c>
      <x:c r="AN192" s="438"/>
      <x:c r="AO192" s="438"/>
      <x:c r="AP192" s="438"/>
      <x:c r="AQ192" s="438"/>
      <x:c r="AR192" s="438"/>
      <x:c r="AS192" s="438"/>
      <x:c r="AT192" t="str">
        <x:f>IF(A192="", "","'"&amp;A192&amp;"': {megami: '"&amp;B192&amp;"'"&amp;IF(C192&lt;&gt;"",", anotherID: '"&amp;C192&amp;"', replace: '"&amp;D192&amp;"'","")&amp;", name: '"&amp;SUBSTITUTE(E192,"'","\'")&amp;"', nameEn: '"&amp;SUBSTITUTE(K192,"'","\'")&amp;"', nameZh: '"&amp;SUBSTITUTE(G192,"'","\'")&amp;"', nameZhG191: '"&amp;SUBSTITUTE(H192,"'","\'")&amp;"', nameKo: '"&amp;SUBSTITUTE(J192,"'","\'")&amp;"', ruby: '"&amp;F192&amp;"', rubyEn: '"&amp;L192&amp;IF(I192&lt;&gt;"", "', rubyZh: '"&amp;I192, "")&amp;"', baseType: '"&amp;IF(M192="通常札","normal",IF(M192="切札","special",IF(M192="追加札","extra",IF(M192="transform","transform",IF(M192="嵐","storm",IF(M192="兵員","troop",IF(M192="構想","plan",IF(M192="メインパーツ","mainParts",IF(M192="カスタムパーツ","customParts",IF(M192="運命","fate",IF(M192="仮想樹","virtualTree","")))))))))))&amp;"'"&amp;IF(N192="○",", extra: true","")&amp;IF(O192&lt;&gt;"",", extraFrom: '"&amp;O192&amp;"'","")&amp;IF(P192&lt;&gt;"",", exchangableTo: '"&amp;P192&amp;"'","")&amp;IF(Q192="○",", poison: true","")&amp;IF(R192&lt;&gt;"", ", type: '"&amp;IF(R192="攻撃","attack",IF(R192="行動","action",IF(R192="不定","variable",IF(R192="対応","reaction",IF(R192="全力","fullpower",IF(R192="付与","enhance",IF(R192="transform","transform","")))))))&amp;"'", "")&amp;IF(S192&lt;&gt;"",", subType: '"&amp;IF(S192="攻撃","attack",IF(S192="行動","action",IF(S192="不定","variable",IF(S192="対応","reaction",IF(S192="全力","fullpower",IF(S192="付与","enhance",IF(S192="transform","transform","")))))))&amp;"'","")&amp;""&amp;IF(T192&lt;&gt;"",", range: '"&amp;T192&amp;"'","")&amp;IF(V192&lt;&gt;"",", damage: '"&amp;V192&amp;"'","")&amp;IF(X192&lt;&gt;"",", capacity: '"&amp;X192&amp;"'","")&amp;IF(Y192&lt;&gt;"",", growth: "&amp;Y192&amp;"","")&amp;IF(Z192&lt;&gt;"",", cost: '"&amp;Z192&amp;"'","")&amp;", text: '"&amp;SUBSTITUTE(SUBSTITUTE(AE192, CHAR(13), ""),CHAR(10),"\n")&amp;IF(AF192&lt;&gt;"", "', textAdditional: '"&amp;SUBSTITUTE(SUBSTITUTE(AF192, CHAR(13), ""),CHAR(10),"\n"), "")&amp;"', textZh: '"&amp;SUBSTITUTE(SUBSTITUTE(SUBSTITUTE(AG192, CHAR(13), ""),CHAR(10),"\n"),"'","\'")&amp;"', textZhG191: '"&amp;SUBSTITUTE(SUBSTITUTE(SUBSTITUTE(AI192, CHAR(13), ""),CHAR(10),"\n"),"'","\'")&amp;IF(AH192&lt;&gt;"", "', textZhAdditional: '"&amp;SUBSTITUTE(SUBSTITUTE(AH192, CHAR(13), ""),CHAR(10),"\n"), "")&amp;IF(AK192&lt;&gt;"", "', textZhG191Additional: '"&amp;SUBSTITUTE(SUBSTITUTE(AK192, CHAR(13), ""),CHAR(10),"\n"), "")&amp;"', textKo: '"&amp;SUBSTITUTE(SUBSTITUTE(SUBSTITUTE(AM192, CHAR(13), ""),CHAR(10),"\n"),"'","\'")&amp;IF(AM192&lt;&gt;"", "', textKoAdditional: '"&amp;SUBSTITUTE(SUBSTITUTE(AM192, CHAR(13), ""),CHAR(10),"\n"), "")&amp;"', textEn: '"&amp;SUBSTITUTE(SUBSTITUTE(SUBSTITUTE(AM192, CHAR(13), ""),CHAR(10),"\n"),"'","\'")&amp;IF(AN192&lt;&gt;"", "', textEnAdditional: '"&amp;SUBSTITUTE(SUBSTITUTE(AN192, CHAR(13), ""),CHAR(10),"\n"), "")&amp;"'"&amp;IF(AB192="○",", sealable: true","")&amp;IF(AC192="○",", removable: true","")&amp;IF(AA192="○",", lie: true","")&amp;IF(AD192="○",", investable: true","")&amp;"},")</x:f>
        <x:v>'12-raira-o-n-2': {megami: 'raira', name: '風雷撃', nameEn: 'Wind and Thunder', nameZh: '风雷击', nameZhG191: '风雷击', nameKo: '풍뢰격', ruby: 'ふうらいげき', rubyEn: '', baseType: 'normal', type: 'attack', range: '1-2', damage: 'X/2', text: '【常時】Xは風神ゲージと雷神ゲージのうち、小さい方の値である。', textZh: '【常时】X等于风神槽与雷神槽的值中的较小者。', textZhG191: '', textZhG191Additional: '【상시】X는 풍신 게이지나 뇌신 게이지 중, 작은쪽의 수치가 된다.', textKo: 'Forced: X is equal to the lower of your Wind and Thunder God gauges.', textKoAdditional: 'Forced: X is equal to the lower of your Wind and Thunder God gauges.', textEn: 'Forced: X is equal to the lower of your Wind and Thunder God gauges.'},</x:v>
      </x:c>
      <x:c r="AU192" t="str">
        <x:f>IF($A192&lt;&gt;"", "    /** 《"&amp;$E192&amp;"》 */ export const "&amp;SUBSTITUTE(UPPER(IF(MID($A192, 3, 1)="-", RIGHT($A192,LEN($A192)-3), $A192)), "-", "_")&amp;": TCardId = '"&amp;$A192&amp;"';", "")</x:f>
        <x:v>    /** 《風雷撃》 */ export const RAIRA_O_N_2: TCardId = '12-raira-o-n-2';</x:v>
      </x:c>
      <x:c r="AV192" t="str">
        <x:f>IF($A193&lt;&gt;"", "    | '"&amp;$A193&amp;"'", "")</x:f>
        <x:v>    | '12-raira-o-n-3'</x:v>
      </x:c>
    </x:row>
    <x:row r="193" ht="38" customHeight="1">
      <x:c r="A193" t="str">
        <x:v>12-raira-o-n-3</x:v>
      </x:c>
      <x:c r="B193" t="str">
        <x:v>raira</x:v>
      </x:c>
      <x:c r="C193"/>
      <x:c r="D193"/>
      <x:c r="E193" t="str">
        <x:v>流転爪</x:v>
      </x:c>
      <x:c r="F193" t="str">
        <x:v>るてんそう</x:v>
      </x:c>
      <x:c r="G193" t="str">
        <x:v>流转爪</x:v>
      </x:c>
      <x:c r="H193" t="str">
        <x:v>流转爪</x:v>
      </x:c>
      <x:c r="I193"/>
      <x:c r="J193" t="str">
        <x:v>윤회의 손톱</x:v>
      </x:c>
      <x:c r="K193" t="str">
        <x:v>Claw of Regrowth</x:v>
      </x:c>
      <x:c r="L193"/>
      <x:c r="M193" t="str">
        <x:v>通常札</x:v>
      </x:c>
      <x:c r="N193"/>
      <x:c r="O193"/>
      <x:c r="P193"/>
      <x:c r="Q193"/>
      <x:c r="R193" t="str">
        <x:v>攻撃</x:v>
      </x:c>
      <x:c r="S193"/>
      <x:c r="T193" t="str">
        <x:v>1-2</x:v>
      </x:c>
      <x:c r="U193"/>
      <x:c r="V193" t="str">
        <x:v>2/1</x:v>
      </x:c>
      <x:c r="W193"/>
      <x:c r="X193"/>
      <x:c r="Y193"/>
      <x:c r="Z193"/>
      <x:c r="AA193"/>
      <x:c r="AB193"/>
      <x:c r="AC193"/>
      <x:c r="AD193"/>
      <x:c r="AE193" s="438" t="str">
        <x:v>【攻撃後】捨て札にある《攻撃》カード1枚を選び、山札の一番上に置いてもよい。</x:v>
      </x:c>
      <x:c r="AF193" s="438"/>
      <x:c r="AG193" s="499" t="str">
        <x:v>【攻击后】你可以从弃牌区选择1张《攻击》牌，将其置于你的牌库顶。</x:v>
      </x:c>
      <x:c r="AH193" s="438"/>
      <x:c r="AI193" s="499" t="str">
        <x:v>【攻击后】你可以从弃牌区选择一张《攻击》牌，将其置于你的牌库顶。</x:v>
      </x:c>
      <x:c r="AJ193" s="438"/>
      <x:c r="AK193" s="499" t="str">
        <x:v>【공격후】당신의 버림패에 있는 《공격》카드 1장을 골라, 패산 맨 위에 두어도 좋다.</x:v>
      </x:c>
      <x:c r="AL193" s="438"/>
      <x:c r="AM193" s="499" t="str">
        <x:v>After Attack: You may put an Attack card from your played pile on top of your deck.</x:v>
      </x:c>
      <x:c r="AN193" s="438"/>
      <x:c r="AO193" s="438"/>
      <x:c r="AP193" s="438"/>
      <x:c r="AQ193" s="438"/>
      <x:c r="AR193" s="438"/>
      <x:c r="AS193" s="438"/>
      <x:c r="AT193" t="str">
        <x:f>IF(A193="", "","'"&amp;A193&amp;"': {megami: '"&amp;B193&amp;"'"&amp;IF(C193&lt;&gt;"",", anotherID: '"&amp;C193&amp;"', replace: '"&amp;D193&amp;"'","")&amp;", name: '"&amp;SUBSTITUTE(E193,"'","\'")&amp;"', nameEn: '"&amp;SUBSTITUTE(K193,"'","\'")&amp;"', nameZh: '"&amp;SUBSTITUTE(G193,"'","\'")&amp;"', nameZhG192: '"&amp;SUBSTITUTE(H193,"'","\'")&amp;"', nameKo: '"&amp;SUBSTITUTE(J193,"'","\'")&amp;"', ruby: '"&amp;F193&amp;"', rubyEn: '"&amp;L193&amp;IF(I193&lt;&gt;"", "', rubyZh: '"&amp;I193, "")&amp;"', baseType: '"&amp;IF(M193="通常札","normal",IF(M193="切札","special",IF(M193="追加札","extra",IF(M193="transform","transform",IF(M193="嵐","storm",IF(M193="兵員","troop",IF(M193="構想","plan",IF(M193="メインパーツ","mainParts",IF(M193="カスタムパーツ","customParts",IF(M193="運命","fate",IF(M193="仮想樹","virtualTree","")))))))))))&amp;"'"&amp;IF(N193="○",", extra: true","")&amp;IF(O193&lt;&gt;"",", extraFrom: '"&amp;O193&amp;"'","")&amp;IF(P193&lt;&gt;"",", exchangableTo: '"&amp;P193&amp;"'","")&amp;IF(Q193="○",", poison: true","")&amp;IF(R193&lt;&gt;"", ", type: '"&amp;IF(R193="攻撃","attack",IF(R193="行動","action",IF(R193="不定","variable",IF(R193="対応","reaction",IF(R193="全力","fullpower",IF(R193="付与","enhance",IF(R193="transform","transform","")))))))&amp;"'", "")&amp;IF(S193&lt;&gt;"",", subType: '"&amp;IF(S193="攻撃","attack",IF(S193="行動","action",IF(S193="不定","variable",IF(S193="対応","reaction",IF(S193="全力","fullpower",IF(S193="付与","enhance",IF(S193="transform","transform","")))))))&amp;"'","")&amp;""&amp;IF(T193&lt;&gt;"",", range: '"&amp;T193&amp;"'","")&amp;IF(V193&lt;&gt;"",", damage: '"&amp;V193&amp;"'","")&amp;IF(X193&lt;&gt;"",", capacity: '"&amp;X193&amp;"'","")&amp;IF(Y193&lt;&gt;"",", growth: "&amp;Y193&amp;"","")&amp;IF(Z193&lt;&gt;"",", cost: '"&amp;Z193&amp;"'","")&amp;", text: '"&amp;SUBSTITUTE(SUBSTITUTE(AE193, CHAR(13), ""),CHAR(10),"\n")&amp;IF(AF193&lt;&gt;"", "', textAdditional: '"&amp;SUBSTITUTE(SUBSTITUTE(AF193, CHAR(13), ""),CHAR(10),"\n"), "")&amp;"', textZh: '"&amp;SUBSTITUTE(SUBSTITUTE(SUBSTITUTE(AG193, CHAR(13), ""),CHAR(10),"\n"),"'","\'")&amp;"', textZhG192: '"&amp;SUBSTITUTE(SUBSTITUTE(SUBSTITUTE(AI193, CHAR(13), ""),CHAR(10),"\n"),"'","\'")&amp;IF(AH193&lt;&gt;"", "', textZhAdditional: '"&amp;SUBSTITUTE(SUBSTITUTE(AH193, CHAR(13), ""),CHAR(10),"\n"), "")&amp;IF(AK193&lt;&gt;"", "', textZhG192Additional: '"&amp;SUBSTITUTE(SUBSTITUTE(AK193, CHAR(13), ""),CHAR(10),"\n"), "")&amp;"', textKo: '"&amp;SUBSTITUTE(SUBSTITUTE(SUBSTITUTE(AM193, CHAR(13), ""),CHAR(10),"\n"),"'","\'")&amp;IF(AM193&lt;&gt;"", "', textKoAdditional: '"&amp;SUBSTITUTE(SUBSTITUTE(AM193, CHAR(13), ""),CHAR(10),"\n"), "")&amp;"', textEn: '"&amp;SUBSTITUTE(SUBSTITUTE(SUBSTITUTE(AM193, CHAR(13), ""),CHAR(10),"\n"),"'","\'")&amp;IF(AN193&lt;&gt;"", "', textEnAdditional: '"&amp;SUBSTITUTE(SUBSTITUTE(AN193, CHAR(13), ""),CHAR(10),"\n"), "")&amp;"'"&amp;IF(AB193="○",", sealable: true","")&amp;IF(AC193="○",", removable: true","")&amp;IF(AA193="○",", lie: true","")&amp;IF(AD193="○",", investable: true","")&amp;"},")</x:f>
        <x:v>'12-raira-o-n-3': {megami: 'raira', name: '流転爪', nameEn: 'Claw of Regrowth', nameZh: '流转爪', nameZhG192: '流转爪', nameKo: '윤회의 손톱', ruby: 'るてんそう', rubyEn: '', baseType: 'normal', type: 'attack', range: '1-2', damage: '2/1', text: '【攻撃後】捨て札にある《攻撃》カード1枚を選び、山札の一番上に置いてもよい。', textZh: '【攻击后】你可以从弃牌区选择1张《攻击》牌，将其置于你的牌库顶。', textZhG192: '【攻击后】你可以从弃牌区选择一张《攻击》牌，将其置于你的牌库顶。', textZhG192Additional: '【공격후】당신의 버림패에 있는 《공격》카드 1장을 골라, 패산 맨 위에 두어도 좋다.', textKo: 'After Attack: You may put an Attack card from your played pile on top of your deck.', textKoAdditional: 'After Attack: You may put an Attack card from your played pile on top of your deck.', textEn: 'After Attack: You may put an Attack card from your played pile on top of your deck.'},</x:v>
      </x:c>
      <x:c r="AU193" t="str">
        <x:f>IF($A193&lt;&gt;"", "    /** 《"&amp;$E193&amp;"》 */ export const "&amp;SUBSTITUTE(UPPER(IF(MID($A193, 3, 1)="-", RIGHT($A193,LEN($A193)-3), $A193)), "-", "_")&amp;": TCardId = '"&amp;$A193&amp;"';", "")</x:f>
        <x:v>    /** 《流転爪》 */ export const RAIRA_O_N_3: TCardId = '12-raira-o-n-3';</x:v>
      </x:c>
      <x:c r="AV193" t="str">
        <x:f>IF($A194&lt;&gt;"", "    | '"&amp;$A194&amp;"'", "")</x:f>
        <x:v>    | '12-raira-o-n-4'</x:v>
      </x:c>
    </x:row>
    <x:row r="194" ht="38" customHeight="1">
      <x:c r="A194" t="str">
        <x:v>12-raira-o-n-4</x:v>
      </x:c>
      <x:c r="B194" t="str">
        <x:v>raira</x:v>
      </x:c>
      <x:c r="C194"/>
      <x:c r="D194"/>
      <x:c r="E194" t="str">
        <x:v>風走り</x:v>
      </x:c>
      <x:c r="F194" t="str">
        <x:v>かぜばしり</x:v>
      </x:c>
      <x:c r="G194" t="str">
        <x:v>疾风步</x:v>
      </x:c>
      <x:c r="H194" t="str">
        <x:v>疾风步</x:v>
      </x:c>
      <x:c r="I194"/>
      <x:c r="J194" t="str">
        <x:v>바람 달리기</x:v>
      </x:c>
      <x:c r="K194" t="str">
        <x:v>Windrun</x:v>
      </x:c>
      <x:c r="L194"/>
      <x:c r="M194" t="str">
        <x:v>通常札</x:v>
      </x:c>
      <x:c r="N194"/>
      <x:c r="O194"/>
      <x:c r="P194"/>
      <x:c r="Q194"/>
      <x:c r="R194" t="str">
        <x:v>行動</x:v>
      </x:c>
      <x:c r="S194"/>
      <x:c r="T194"/>
      <x:c r="U194"/>
      <x:c r="V194"/>
      <x:c r="W194"/>
      <x:c r="X194"/>
      <x:c r="Y194"/>
      <x:c r="Z194"/>
      <x:c r="AA194"/>
      <x:c r="AB194"/>
      <x:c r="AC194"/>
      <x:c r="AD194"/>
      <x:c r="AE194" s="438" t="str">
        <x:v>現在の間合が3以上ならば、間合→ダスト：2</x:v>
      </x:c>
      <x:c r="AF194" s="438"/>
      <x:c r="AG194" s="499" t="str">
        <x:v>若当前距离大于等于3，则：距→2→虚</x:v>
      </x:c>
      <x:c r="AH194" s="438"/>
      <x:c r="AI194" s="499" t="str">
        <x:v>若当前距离大于3，则距（2）→虚</x:v>
      </x:c>
      <x:c r="AJ194" s="438"/>
      <x:c r="AK194" s="499" t="str">
        <x:v>현재 간격이 3이상이라면、간격→더스트：2</x:v>
      </x:c>
      <x:c r="AL194" s="438"/>
      <x:c r="AM194" s="499" t="str">
        <x:v>If the current Distance is 3 or more:
Distance (2)→ Shadow</x:v>
      </x:c>
      <x:c r="AN194" s="438"/>
      <x:c r="AO194" s="438"/>
      <x:c r="AP194" s="438"/>
      <x:c r="AQ194" s="438"/>
      <x:c r="AR194" s="438"/>
      <x:c r="AS194" s="438"/>
      <x:c r="AT194" t="str">
        <x:f>IF(A194="", "","'"&amp;A194&amp;"': {megami: '"&amp;B194&amp;"'"&amp;IF(C194&lt;&gt;"",", anotherID: '"&amp;C194&amp;"', replace: '"&amp;D194&amp;"'","")&amp;", name: '"&amp;SUBSTITUTE(E194,"'","\'")&amp;"', nameEn: '"&amp;SUBSTITUTE(K194,"'","\'")&amp;"', nameZh: '"&amp;SUBSTITUTE(G194,"'","\'")&amp;"', nameZhG193: '"&amp;SUBSTITUTE(H194,"'","\'")&amp;"', nameKo: '"&amp;SUBSTITUTE(J194,"'","\'")&amp;"', ruby: '"&amp;F194&amp;"', rubyEn: '"&amp;L194&amp;IF(I194&lt;&gt;"", "', rubyZh: '"&amp;I194, "")&amp;"', baseType: '"&amp;IF(M194="通常札","normal",IF(M194="切札","special",IF(M194="追加札","extra",IF(M194="transform","transform",IF(M194="嵐","storm",IF(M194="兵員","troop",IF(M194="構想","plan",IF(M194="メインパーツ","mainParts",IF(M194="カスタムパーツ","customParts",IF(M194="運命","fate",IF(M194="仮想樹","virtualTree","")))))))))))&amp;"'"&amp;IF(N194="○",", extra: true","")&amp;IF(O194&lt;&gt;"",", extraFrom: '"&amp;O194&amp;"'","")&amp;IF(P194&lt;&gt;"",", exchangableTo: '"&amp;P194&amp;"'","")&amp;IF(Q194="○",", poison: true","")&amp;IF(R194&lt;&gt;"", ", type: '"&amp;IF(R194="攻撃","attack",IF(R194="行動","action",IF(R194="不定","variable",IF(R194="対応","reaction",IF(R194="全力","fullpower",IF(R194="付与","enhance",IF(R194="transform","transform","")))))))&amp;"'", "")&amp;IF(S194&lt;&gt;"",", subType: '"&amp;IF(S194="攻撃","attack",IF(S194="行動","action",IF(S194="不定","variable",IF(S194="対応","reaction",IF(S194="全力","fullpower",IF(S194="付与","enhance",IF(S194="transform","transform","")))))))&amp;"'","")&amp;""&amp;IF(T194&lt;&gt;"",", range: '"&amp;T194&amp;"'","")&amp;IF(V194&lt;&gt;"",", damage: '"&amp;V194&amp;"'","")&amp;IF(X194&lt;&gt;"",", capacity: '"&amp;X194&amp;"'","")&amp;IF(Y194&lt;&gt;"",", growth: "&amp;Y194&amp;"","")&amp;IF(Z194&lt;&gt;"",", cost: '"&amp;Z194&amp;"'","")&amp;", text: '"&amp;SUBSTITUTE(SUBSTITUTE(AE194, CHAR(13), ""),CHAR(10),"\n")&amp;IF(AF194&lt;&gt;"", "', textAdditional: '"&amp;SUBSTITUTE(SUBSTITUTE(AF194, CHAR(13), ""),CHAR(10),"\n"), "")&amp;"', textZh: '"&amp;SUBSTITUTE(SUBSTITUTE(SUBSTITUTE(AG194, CHAR(13), ""),CHAR(10),"\n"),"'","\'")&amp;"', textZhG193: '"&amp;SUBSTITUTE(SUBSTITUTE(SUBSTITUTE(AI194, CHAR(13), ""),CHAR(10),"\n"),"'","\'")&amp;IF(AH194&lt;&gt;"", "', textZhAdditional: '"&amp;SUBSTITUTE(SUBSTITUTE(AH194, CHAR(13), ""),CHAR(10),"\n"), "")&amp;IF(AK194&lt;&gt;"", "', textZhG193Additional: '"&amp;SUBSTITUTE(SUBSTITUTE(AK194, CHAR(13), ""),CHAR(10),"\n"), "")&amp;"', textKo: '"&amp;SUBSTITUTE(SUBSTITUTE(SUBSTITUTE(AM194, CHAR(13), ""),CHAR(10),"\n"),"'","\'")&amp;IF(AM194&lt;&gt;"", "', textKoAdditional: '"&amp;SUBSTITUTE(SUBSTITUTE(AM194, CHAR(13), ""),CHAR(10),"\n"), "")&amp;"', textEn: '"&amp;SUBSTITUTE(SUBSTITUTE(SUBSTITUTE(AM194, CHAR(13), ""),CHAR(10),"\n"),"'","\'")&amp;IF(AN194&lt;&gt;"", "', textEnAdditional: '"&amp;SUBSTITUTE(SUBSTITUTE(AN194, CHAR(13), ""),CHAR(10),"\n"), "")&amp;"'"&amp;IF(AB194="○",", sealable: true","")&amp;IF(AC194="○",", removable: true","")&amp;IF(AA194="○",", lie: true","")&amp;IF(AD194="○",", investable: true","")&amp;"},")</x:f>
        <x:v>'12-raira-o-n-4': {megami: 'raira', name: '風走り', nameEn: 'Windrun', nameZh: '疾风步', nameZhG193: '疾风步', nameKo: '바람 달리기', ruby: 'かぜばしり', rubyEn: '', baseType: 'normal', type: 'action', text: '現在の間合が3以上ならば、間合→ダスト：2', textZh: '若当前距离大于等于3，则：距→2→虚', textZhG193: '若当前距离大于3，则距（2）→虚', textZhG193Additional: '현재 간격이 3이상이라면、간격→더스트：2', textKo: 'If the current Distance is 3 or more:\nDistance (2)→ Shadow', textKoAdditional: 'If the current Distance is 3 or more:\nDistance (2)→ Shadow', textEn: 'If the current Distance is 3 or more:\nDistance (2)→ Shadow'},</x:v>
      </x:c>
      <x:c r="AU194" t="str">
        <x:f>IF($A194&lt;&gt;"", "    /** 《"&amp;$E194&amp;"》 */ export const "&amp;SUBSTITUTE(UPPER(IF(MID($A194, 3, 1)="-", RIGHT($A194,LEN($A194)-3), $A194)), "-", "_")&amp;": TCardId = '"&amp;$A194&amp;"';", "")</x:f>
        <x:v>    /** 《風走り》 */ export const RAIRA_O_N_4: TCardId = '12-raira-o-n-4';</x:v>
      </x:c>
      <x:c r="AV194" t="str">
        <x:f>IF($A195&lt;&gt;"", "    | '"&amp;$A195&amp;"'", "")</x:f>
        <x:v>    | '12-raira-o-n-5'</x:v>
      </x:c>
    </x:row>
    <x:row r="195" ht="83" customHeight="1">
      <x:c r="A195" t="str">
        <x:v>12-raira-o-n-5</x:v>
      </x:c>
      <x:c r="B195" t="str">
        <x:v>raira</x:v>
      </x:c>
      <x:c r="C195"/>
      <x:c r="D195"/>
      <x:c r="E195" t="str">
        <x:v>風雷の知恵</x:v>
      </x:c>
      <x:c r="F195" t="str">
        <x:v>ふうらいのちえ</x:v>
      </x:c>
      <x:c r="G195" t="str">
        <x:v>风雷的智慧</x:v>
      </x:c>
      <x:c r="H195" t="str">
        <x:v>风雷的知慧</x:v>
      </x:c>
      <x:c r="I195"/>
      <x:c r="J195" t="str">
        <x:v>풍뢰의 지혜</x:v>
      </x:c>
      <x:c r="K195" t="str">
        <x:v>Wisdom of the Gods</x:v>
      </x:c>
      <x:c r="L195"/>
      <x:c r="M195" t="str">
        <x:v>通常札</x:v>
      </x:c>
      <x:c r="N195"/>
      <x:c r="O195"/>
      <x:c r="P195"/>
      <x:c r="Q195"/>
      <x:c r="R195" t="str">
        <x:v>行動</x:v>
      </x:c>
      <x:c r="S195"/>
      <x:c r="T195"/>
      <x:c r="U195"/>
      <x:c r="V195"/>
      <x:c r="W195"/>
      <x:c r="X195"/>
      <x:c r="Y195"/>
      <x:c r="Z195"/>
      <x:c r="AA195"/>
      <x:c r="AB195"/>
      <x:c r="AC195"/>
      <x:c r="AD195"/>
      <x:c r="AE195" s="438" t="str">
        <x:v>集中力を1得る。
風神ゲージと雷神ゲージの合計が4以上ならば、捨て札にある他のメガミのカードを1枚まで選び、山札の一番上に置いてもよい。
12以上ならば、山札を再構成してカードを1枚引き、このカードを取り除く。</x:v>
      </x:c>
      <x:c r="AF195" s="438"/>
      <x:c r="AG195" s="499" t="str">
        <x:v>若风神槽与雷神槽的值之和大于等于4，则你可以从弃牌区选择另一柱女神的1张弃牌，将其置于你的牌库顶。
选择风神槽或雷神槽，其值增加1。</x:v>
      </x:c>
      <x:c r="AH195" s="438"/>
      <x:c r="AI195" s="499" t="str">
        <x:v>若风神槽与雷神槽的值之和大于4，则你可以从弃牌区选择另一柱女武神的一张牌，将其置于你的牌库顶。选择风神槽或雷神槽，其值增加1。</x:v>
      </x:c>
      <x:c r="AJ195" s="438"/>
      <x:c r="AK195" s="499" t="str">
        <x:v>풍신 게이지와 뇌신 게이지의 합계가 4이상이라면, 당신의 버림패에 있는 다른 여신 카드 1장을 골라, 패산 맨 위에 두어도 좋다.
 풍신 게이지나 뇌신 게이지를 1 올린다.</x:v>
      </x:c>
      <x:c r="AL195" s="438"/>
      <x:c r="AM195" s="499" t="str">
        <x:v>If the total of your Wind and Thunder God gauges is 4 or more, you may put one of your other Megami's cards from your played pile on top of your deck.
Increase your Wind God or Thunder God gauge by 1.</x:v>
      </x:c>
      <x:c r="AN195" s="438"/>
      <x:c r="AO195" s="438"/>
      <x:c r="AP195" s="438"/>
      <x:c r="AQ195" s="438"/>
      <x:c r="AR195" s="438"/>
      <x:c r="AS195" s="438"/>
      <x:c r="AT195" t="str">
        <x:f>IF(A195="", "","'"&amp;A195&amp;"': {megami: '"&amp;B195&amp;"'"&amp;IF(C195&lt;&gt;"",", anotherID: '"&amp;C195&amp;"', replace: '"&amp;D195&amp;"'","")&amp;", name: '"&amp;SUBSTITUTE(E195,"'","\'")&amp;"', nameEn: '"&amp;SUBSTITUTE(K195,"'","\'")&amp;"', nameZh: '"&amp;SUBSTITUTE(G195,"'","\'")&amp;"', nameZhG194: '"&amp;SUBSTITUTE(H195,"'","\'")&amp;"', nameKo: '"&amp;SUBSTITUTE(J195,"'","\'")&amp;"', ruby: '"&amp;F195&amp;"', rubyEn: '"&amp;L195&amp;IF(I195&lt;&gt;"", "', rubyZh: '"&amp;I195, "")&amp;"', baseType: '"&amp;IF(M195="通常札","normal",IF(M195="切札","special",IF(M195="追加札","extra",IF(M195="transform","transform",IF(M195="嵐","storm",IF(M195="兵員","troop",IF(M195="構想","plan",IF(M195="メインパーツ","mainParts",IF(M195="カスタムパーツ","customParts",IF(M195="運命","fate",IF(M195="仮想樹","virtualTree","")))))))))))&amp;"'"&amp;IF(N195="○",", extra: true","")&amp;IF(O195&lt;&gt;"",", extraFrom: '"&amp;O195&amp;"'","")&amp;IF(P195&lt;&gt;"",", exchangableTo: '"&amp;P195&amp;"'","")&amp;IF(Q195="○",", poison: true","")&amp;IF(R195&lt;&gt;"", ", type: '"&amp;IF(R195="攻撃","attack",IF(R195="行動","action",IF(R195="不定","variable",IF(R195="対応","reaction",IF(R195="全力","fullpower",IF(R195="付与","enhance",IF(R195="transform","transform","")))))))&amp;"'", "")&amp;IF(S195&lt;&gt;"",", subType: '"&amp;IF(S195="攻撃","attack",IF(S195="行動","action",IF(S195="不定","variable",IF(S195="対応","reaction",IF(S195="全力","fullpower",IF(S195="付与","enhance",IF(S195="transform","transform","")))))))&amp;"'","")&amp;""&amp;IF(T195&lt;&gt;"",", range: '"&amp;T195&amp;"'","")&amp;IF(V195&lt;&gt;"",", damage: '"&amp;V195&amp;"'","")&amp;IF(X195&lt;&gt;"",", capacity: '"&amp;X195&amp;"'","")&amp;IF(Y195&lt;&gt;"",", growth: "&amp;Y195&amp;"","")&amp;IF(Z195&lt;&gt;"",", cost: '"&amp;Z195&amp;"'","")&amp;", text: '"&amp;SUBSTITUTE(SUBSTITUTE(AE195, CHAR(13), ""),CHAR(10),"\n")&amp;IF(AF195&lt;&gt;"", "', textAdditional: '"&amp;SUBSTITUTE(SUBSTITUTE(AF195, CHAR(13), ""),CHAR(10),"\n"), "")&amp;"', textZh: '"&amp;SUBSTITUTE(SUBSTITUTE(SUBSTITUTE(AG195, CHAR(13), ""),CHAR(10),"\n"),"'","\'")&amp;"', textZhG194: '"&amp;SUBSTITUTE(SUBSTITUTE(SUBSTITUTE(AI195, CHAR(13), ""),CHAR(10),"\n"),"'","\'")&amp;IF(AH195&lt;&gt;"", "', textZhAdditional: '"&amp;SUBSTITUTE(SUBSTITUTE(AH195, CHAR(13), ""),CHAR(10),"\n"), "")&amp;IF(AK195&lt;&gt;"", "', textZhG194Additional: '"&amp;SUBSTITUTE(SUBSTITUTE(AK195, CHAR(13), ""),CHAR(10),"\n"), "")&amp;"', textKo: '"&amp;SUBSTITUTE(SUBSTITUTE(SUBSTITUTE(AM195, CHAR(13), ""),CHAR(10),"\n"),"'","\'")&amp;IF(AM195&lt;&gt;"", "', textKoAdditional: '"&amp;SUBSTITUTE(SUBSTITUTE(AM195, CHAR(13), ""),CHAR(10),"\n"), "")&amp;"', textEn: '"&amp;SUBSTITUTE(SUBSTITUTE(SUBSTITUTE(AM195, CHAR(13), ""),CHAR(10),"\n"),"'","\'")&amp;IF(AN195&lt;&gt;"", "', textEnAdditional: '"&amp;SUBSTITUTE(SUBSTITUTE(AN195, CHAR(13), ""),CHAR(10),"\n"), "")&amp;"'"&amp;IF(AB195="○",", sealable: true","")&amp;IF(AC195="○",", removable: true","")&amp;IF(AA195="○",", lie: true","")&amp;IF(AD195="○",", investable: true","")&amp;"},")</x:f>
        <x:v>'12-raira-o-n-5': {megami: 'raira', name: '風雷の知恵', nameEn: 'Wisdom of the Gods', nameZh: '风雷的智慧', nameZhG194: '风雷的知慧', nameKo: '풍뢰의 지혜', ruby: 'ふうらいのちえ', rubyEn: '', baseType: 'normal', type: 'action', text: '集中力を1得る。\n風神ゲージと雷神ゲージの合計が4以上ならば、捨て札にある他のメガミのカードを1枚まで選び、山札の一番上に置いてもよい。\n12以上ならば、山札を再構成してカードを1枚引き、このカードを取り除く。', textZh: '若风神槽与雷神槽的值之和大于等于4，则你可以从弃牌区选择另一柱女神的1张弃牌，将其置于你的牌库顶。\n选择风神槽或雷神槽，其值增加1。', textZhG194: '若风神槽与雷神槽的值之和大于4，则你可以从弃牌区选择另一柱女武神的一张牌，将其置于你的牌库顶。选择风神槽或雷神槽，其值增加1。', textZhG194Additional: '풍신 게이지와 뇌신 게이지의 합계가 4이상이라면, 당신의 버림패에 있는 다른 여신 카드 1장을 골라, 패산 맨 위에 두어도 좋다.\n 풍신 게이지나 뇌신 게이지를 1 올린다.', textKo: 'If the total of your Wind and Thunder God gauges is 4 or more, you may put one of your other Megami\'s cards from your played pile on top of your deck.\n\nIncrease your Wind God or Thunder God gauge by 1.', textKoAdditional: 'If the total of your Wind and Thunder God gauges is 4 or more, you may put one of your other Megami's cards from your played pile on top of your deck.\n\nIncrease your Wind God or Thunder God gauge by 1.', textEn: 'If the total of your Wind and Thunder God gauges is 4 or more, you may put one of your other Megami\'s cards from your played pile on top of your deck.\n\nIncrease your Wind God or Thunder God gauge by 1.'},</x:v>
      </x:c>
      <x:c r="AU195" t="str">
        <x:f>IF($A195&lt;&gt;"", "    /** 《"&amp;$E195&amp;"》 */ export const "&amp;SUBSTITUTE(UPPER(IF(MID($A195, 3, 1)="-", RIGHT($A195,LEN($A195)-3), $A195)), "-", "_")&amp;": TCardId = '"&amp;$A195&amp;"';", "")</x:f>
        <x:v>    /** 《風雷の知恵》 */ export const RAIRA_O_N_5: TCardId = '12-raira-o-n-5';</x:v>
      </x:c>
      <x:c r="AV195" t="str">
        <x:f>IF($A196&lt;&gt;"", "    | '"&amp;$A196&amp;"'", "")</x:f>
        <x:v>    | '12-raira-o-n-6'</x:v>
      </x:c>
    </x:row>
    <x:row r="196" ht="83" customHeight="1">
      <x:c r="A196" t="str">
        <x:v>12-raira-o-n-6</x:v>
      </x:c>
      <x:c r="B196" t="str">
        <x:v>raira</x:v>
      </x:c>
      <x:c r="C196"/>
      <x:c r="D196"/>
      <x:c r="E196" t="str">
        <x:v>呼び声</x:v>
      </x:c>
      <x:c r="F196" t="str">
        <x:v>よびごえ</x:v>
      </x:c>
      <x:c r="G196" t="str">
        <x:v>呼声</x:v>
      </x:c>
      <x:c r="H196" t="str">
        <x:v>吼叫</x:v>
      </x:c>
      <x:c r="I196"/>
      <x:c r="J196" t="str">
        <x:v>울부짖기</x:v>
      </x:c>
      <x:c r="K196" t="str">
        <x:v>Roar</x:v>
      </x:c>
      <x:c r="L196"/>
      <x:c r="M196" t="str">
        <x:v>通常札</x:v>
      </x:c>
      <x:c r="N196"/>
      <x:c r="O196"/>
      <x:c r="P196"/>
      <x:c r="Q196"/>
      <x:c r="R196" t="str">
        <x:v>行動</x:v>
      </x:c>
      <x:c r="S196" t="str">
        <x:v>全力</x:v>
      </x:c>
      <x:c r="T196"/>
      <x:c r="U196"/>
      <x:c r="V196"/>
      <x:c r="W196"/>
      <x:c r="X196"/>
      <x:c r="Y196"/>
      <x:c r="Z196"/>
      <x:c r="AA196"/>
      <x:c r="AB196"/>
      <x:c r="AC196"/>
      <x:c r="AD196"/>
      <x:c r="AE196" s="438" t="str">
        <x:v>以下から1つを選ぶ。
・風神ゲージと雷神ゲージを1ずつ上げ、相手を畏縮させる。
・雷神ゲージを2倍にする。
その後、風神ゲージと雷神ゲージの合計が12以上ならば、基本動作を2回まで行う。</x:v>
      </x:c>
      <x:c r="AF196" s="438"/>
      <x:c r="AG196" s="499" t="str">
        <x:v>选择一项：
●令对手畏缩，风神槽与雷神槽的值各增加1；
●雷神槽的值加倍。
这之后，风神槽或雷神槽有7或以上的话，给予敌装1点伤害，进行最多2次基本动作。</x:v>
      </x:c>
      <x:c r="AH196" s="438"/>
      <x:c r="AI196" s="438"/>
      <x:c r="AJ196" s="438"/>
      <x:c r="AK196" s="499" t="str">
        <x:v>아래에서 1가지를 선택한다.
상대를 위축시키고, 풍신 게이지와 뇌신 게이지를 1씩 올린다.
뇌신 게이지를 2배로 만든다.
그 후, 풍신 게이지 또는 뇌신 게이지가 7 이상이라면, 공격 『적정거리 0-10, 1/-』을 수행한 뒤, 기본행동을 2회까지 수행한다.</x:v>
      </x:c>
      <x:c r="AL196" s="438"/>
      <x:c r="AM196" s="438"/>
      <x:c r="AN196" s="438"/>
      <x:c r="AO196" s="438"/>
      <x:c r="AP196" s="438"/>
      <x:c r="AQ196" s="438"/>
      <x:c r="AR196" s="438"/>
      <x:c r="AS196" s="438"/>
      <x:c r="AT196" t="str">
        <x:f>IF(A196="", "","'"&amp;A196&amp;"': {megami: '"&amp;B196&amp;"'"&amp;IF(C196&lt;&gt;"",", anotherID: '"&amp;C196&amp;"', replace: '"&amp;D196&amp;"'","")&amp;", name: '"&amp;SUBSTITUTE(E196,"'","\'")&amp;"', nameEn: '"&amp;SUBSTITUTE(K196,"'","\'")&amp;"', nameZh: '"&amp;SUBSTITUTE(G196,"'","\'")&amp;"', nameZhG195: '"&amp;SUBSTITUTE(H196,"'","\'")&amp;"', nameKo: '"&amp;SUBSTITUTE(J196,"'","\'")&amp;"', ruby: '"&amp;F196&amp;"', rubyEn: '"&amp;L196&amp;IF(I196&lt;&gt;"", "', rubyZh: '"&amp;I196, "")&amp;"', baseType: '"&amp;IF(M196="通常札","normal",IF(M196="切札","special",IF(M196="追加札","extra",IF(M196="transform","transform",IF(M196="嵐","storm",IF(M196="兵員","troop",IF(M196="構想","plan",IF(M196="メインパーツ","mainParts",IF(M196="カスタムパーツ","customParts",IF(M196="運命","fate",IF(M196="仮想樹","virtualTree","")))))))))))&amp;"'"&amp;IF(N196="○",", extra: true","")&amp;IF(O196&lt;&gt;"",", extraFrom: '"&amp;O196&amp;"'","")&amp;IF(P196&lt;&gt;"",", exchangableTo: '"&amp;P196&amp;"'","")&amp;IF(Q196="○",", poison: true","")&amp;IF(R196&lt;&gt;"", ", type: '"&amp;IF(R196="攻撃","attack",IF(R196="行動","action",IF(R196="不定","variable",IF(R196="対応","reaction",IF(R196="全力","fullpower",IF(R196="付与","enhance",IF(R196="transform","transform","")))))))&amp;"'", "")&amp;IF(S196&lt;&gt;"",", subType: '"&amp;IF(S196="攻撃","attack",IF(S196="行動","action",IF(S196="不定","variable",IF(S196="対応","reaction",IF(S196="全力","fullpower",IF(S196="付与","enhance",IF(S196="transform","transform","")))))))&amp;"'","")&amp;""&amp;IF(T196&lt;&gt;"",", range: '"&amp;T196&amp;"'","")&amp;IF(V196&lt;&gt;"",", damage: '"&amp;V196&amp;"'","")&amp;IF(X196&lt;&gt;"",", capacity: '"&amp;X196&amp;"'","")&amp;IF(Y196&lt;&gt;"",", growth: "&amp;Y196&amp;"","")&amp;IF(Z196&lt;&gt;"",", cost: '"&amp;Z196&amp;"'","")&amp;", text: '"&amp;SUBSTITUTE(SUBSTITUTE(AE196, CHAR(13), ""),CHAR(10),"\n")&amp;IF(AF196&lt;&gt;"", "', textAdditional: '"&amp;SUBSTITUTE(SUBSTITUTE(AF196, CHAR(13), ""),CHAR(10),"\n"), "")&amp;"', textZh: '"&amp;SUBSTITUTE(SUBSTITUTE(SUBSTITUTE(AG196, CHAR(13), ""),CHAR(10),"\n"),"'","\'")&amp;"', textZhG195: '"&amp;SUBSTITUTE(SUBSTITUTE(SUBSTITUTE(AI196, CHAR(13), ""),CHAR(10),"\n"),"'","\'")&amp;IF(AH196&lt;&gt;"", "', textZhAdditional: '"&amp;SUBSTITUTE(SUBSTITUTE(AH196, CHAR(13), ""),CHAR(10),"\n"), "")&amp;IF(AK196&lt;&gt;"", "', textZhG195Additional: '"&amp;SUBSTITUTE(SUBSTITUTE(AK196, CHAR(13), ""),CHAR(10),"\n"), "")&amp;"', textKo: '"&amp;SUBSTITUTE(SUBSTITUTE(SUBSTITUTE(AM196, CHAR(13), ""),CHAR(10),"\n"),"'","\'")&amp;IF(AM196&lt;&gt;"", "', textKoAdditional: '"&amp;SUBSTITUTE(SUBSTITUTE(AM196, CHAR(13), ""),CHAR(10),"\n"), "")&amp;"', textEn: '"&amp;SUBSTITUTE(SUBSTITUTE(SUBSTITUTE(AM196, CHAR(13), ""),CHAR(10),"\n"),"'","\'")&amp;IF(AN196&lt;&gt;"", "', textEnAdditional: '"&amp;SUBSTITUTE(SUBSTITUTE(AN196, CHAR(13), ""),CHAR(10),"\n"), "")&amp;"'"&amp;IF(AB196="○",", sealable: true","")&amp;IF(AC196="○",", removable: true","")&amp;IF(AA196="○",", lie: true","")&amp;IF(AD196="○",", investable: true","")&amp;"},")</x:f>
        <x:v>'12-raira-o-n-6': {megami: 'raira', name: '呼び声', nameEn: 'Roar', nameZh: '呼声', nameZhG195: '吼叫', nameKo: '울부짖기', ruby: 'よびごえ', rubyEn: '', baseType: 'normal', type: 'action', subType: 'fullpower', text: '以下から1つを選ぶ。\n・風神ゲージと雷神ゲージを1ずつ上げ、相手を畏縮させる。\n・雷神ゲージを2倍にする。\nその後、風神ゲージと雷神ゲージの合計が12以上ならば、基本動作を2回まで行う。', textZh: '选择一项：\n●令对手畏缩，风神槽与雷神槽的值各增加1；\n●雷神槽的值加倍。\n\n这之后，风神槽或雷神槽有7或以上的话，给予敌装1点伤害，进行最多2次基本动作。', textZhG195: '', textZhG195Additional: '아래에서 1가지를 선택한다.\n상대를 위축시키고, 풍신 게이지와 뇌신 게이지를 1씩 올린다.\n뇌신 게이지를 2배로 만든다.\n그 후, 풍신 게이지 또는 뇌신 게이지가 7 이상이라면, 공격 『적정거리 0-10, 1/-』을 수행한 뒤, 기본행동을 2회까지 수행한다.', textKo: '', textEn: ''},</x:v>
      </x:c>
      <x:c r="AU196" t="str">
        <x:f>IF($A196&lt;&gt;"", "    /** 《"&amp;$E196&amp;"》 */ export const "&amp;SUBSTITUTE(UPPER(IF(MID($A196, 3, 1)="-", RIGHT($A196,LEN($A196)-3), $A196)), "-", "_")&amp;": TCardId = '"&amp;$A196&amp;"';", "")</x:f>
        <x:v>    /** 《呼び声》 */ export const RAIRA_O_N_6: TCardId = '12-raira-o-n-6';</x:v>
      </x:c>
      <x:c r="AV196" t="str">
        <x:f>IF($A197&lt;&gt;"", "    | '"&amp;$A197&amp;"'", "")</x:f>
        <x:v>    | '12-raira-o-n-7'</x:v>
      </x:c>
    </x:row>
    <x:row r="197" ht="30" customHeight="1">
      <x:c r="A197" t="str">
        <x:v>12-raira-o-n-7</x:v>
      </x:c>
      <x:c r="B197" t="str">
        <x:v>raira</x:v>
      </x:c>
      <x:c r="C197"/>
      <x:c r="D197"/>
      <x:c r="E197" t="str">
        <x:v>空駆け</x:v>
      </x:c>
      <x:c r="F197" t="str">
        <x:v>そらかけ</x:v>
      </x:c>
      <x:c r="G197" t="str">
        <x:v>驭空</x:v>
      </x:c>
      <x:c r="H197" t="str">
        <x:v>驭空</x:v>
      </x:c>
      <x:c r="I197"/>
      <x:c r="J197" t="str">
        <x:v>하늘 박차기</x:v>
      </x:c>
      <x:c r="K197" t="str">
        <x:v>Pounce</x:v>
      </x:c>
      <x:c r="L197"/>
      <x:c r="M197" t="str">
        <x:v>通常札</x:v>
      </x:c>
      <x:c r="N197"/>
      <x:c r="O197"/>
      <x:c r="P197"/>
      <x:c r="Q197"/>
      <x:c r="R197" t="str">
        <x:v>行動</x:v>
      </x:c>
      <x:c r="S197" t="str">
        <x:v>全力</x:v>
      </x:c>
      <x:c r="T197"/>
      <x:c r="U197"/>
      <x:c r="V197"/>
      <x:c r="W197"/>
      <x:c r="X197"/>
      <x:c r="Y197"/>
      <x:c r="Z197"/>
      <x:c r="AA197"/>
      <x:c r="AB197"/>
      <x:c r="AC197"/>
      <x:c r="AD197"/>
      <x:c r="AE197" s="438" t="str">
        <x:v>間合⇔ダスト：3</x:v>
      </x:c>
      <x:c r="AF197" s="438"/>
      <x:c r="AG197" s="499" t="str">
        <x:v>距↔3↔虚</x:v>
      </x:c>
      <x:c r="AH197" s="438"/>
      <x:c r="AI197" s="499" t="str">
        <x:v>距（3）⇔ 虚</x:v>
      </x:c>
      <x:c r="AJ197" s="438"/>
      <x:c r="AK197" s="499" t="str">
        <x:v>간격⇔더스트：3</x:v>
      </x:c>
      <x:c r="AL197" s="438"/>
      <x:c r="AM197" s="499" t="str">
        <x:v>Distance (3)⇔ Shadow</x:v>
      </x:c>
      <x:c r="AN197" s="438"/>
      <x:c r="AO197" s="438"/>
      <x:c r="AP197" s="438"/>
      <x:c r="AQ197" s="438"/>
      <x:c r="AR197" s="438"/>
      <x:c r="AS197" s="438"/>
      <x:c r="AT197" t="str">
        <x:f>IF(A197="", "","'"&amp;A197&amp;"': {megami: '"&amp;B197&amp;"'"&amp;IF(C197&lt;&gt;"",", anotherID: '"&amp;C197&amp;"', replace: '"&amp;D197&amp;"'","")&amp;", name: '"&amp;SUBSTITUTE(E197,"'","\'")&amp;"', nameEn: '"&amp;SUBSTITUTE(K197,"'","\'")&amp;"', nameZh: '"&amp;SUBSTITUTE(G197,"'","\'")&amp;"', nameZhG196: '"&amp;SUBSTITUTE(H197,"'","\'")&amp;"', nameKo: '"&amp;SUBSTITUTE(J197,"'","\'")&amp;"', ruby: '"&amp;F197&amp;"', rubyEn: '"&amp;L197&amp;IF(I197&lt;&gt;"", "', rubyZh: '"&amp;I197, "")&amp;"', baseType: '"&amp;IF(M197="通常札","normal",IF(M197="切札","special",IF(M197="追加札","extra",IF(M197="transform","transform",IF(M197="嵐","storm",IF(M197="兵員","troop",IF(M197="構想","plan",IF(M197="メインパーツ","mainParts",IF(M197="カスタムパーツ","customParts",IF(M197="運命","fate",IF(M197="仮想樹","virtualTree","")))))))))))&amp;"'"&amp;IF(N197="○",", extra: true","")&amp;IF(O197&lt;&gt;"",", extraFrom: '"&amp;O197&amp;"'","")&amp;IF(P197&lt;&gt;"",", exchangableTo: '"&amp;P197&amp;"'","")&amp;IF(Q197="○",", poison: true","")&amp;IF(R197&lt;&gt;"", ", type: '"&amp;IF(R197="攻撃","attack",IF(R197="行動","action",IF(R197="不定","variable",IF(R197="対応","reaction",IF(R197="全力","fullpower",IF(R197="付与","enhance",IF(R197="transform","transform","")))))))&amp;"'", "")&amp;IF(S197&lt;&gt;"",", subType: '"&amp;IF(S197="攻撃","attack",IF(S197="行動","action",IF(S197="不定","variable",IF(S197="対応","reaction",IF(S197="全力","fullpower",IF(S197="付与","enhance",IF(S197="transform","transform","")))))))&amp;"'","")&amp;""&amp;IF(T197&lt;&gt;"",", range: '"&amp;T197&amp;"'","")&amp;IF(V197&lt;&gt;"",", damage: '"&amp;V197&amp;"'","")&amp;IF(X197&lt;&gt;"",", capacity: '"&amp;X197&amp;"'","")&amp;IF(Y197&lt;&gt;"",", growth: "&amp;Y197&amp;"","")&amp;IF(Z197&lt;&gt;"",", cost: '"&amp;Z197&amp;"'","")&amp;", text: '"&amp;SUBSTITUTE(SUBSTITUTE(AE197, CHAR(13), ""),CHAR(10),"\n")&amp;IF(AF197&lt;&gt;"", "', textAdditional: '"&amp;SUBSTITUTE(SUBSTITUTE(AF197, CHAR(13), ""),CHAR(10),"\n"), "")&amp;"', textZh: '"&amp;SUBSTITUTE(SUBSTITUTE(SUBSTITUTE(AG197, CHAR(13), ""),CHAR(10),"\n"),"'","\'")&amp;"', textZhG196: '"&amp;SUBSTITUTE(SUBSTITUTE(SUBSTITUTE(AI197, CHAR(13), ""),CHAR(10),"\n"),"'","\'")&amp;IF(AH197&lt;&gt;"", "', textZhAdditional: '"&amp;SUBSTITUTE(SUBSTITUTE(AH197, CHAR(13), ""),CHAR(10),"\n"), "")&amp;IF(AK197&lt;&gt;"", "', textZhG196Additional: '"&amp;SUBSTITUTE(SUBSTITUTE(AK197, CHAR(13), ""),CHAR(10),"\n"), "")&amp;"', textKo: '"&amp;SUBSTITUTE(SUBSTITUTE(SUBSTITUTE(AM197, CHAR(13), ""),CHAR(10),"\n"),"'","\'")&amp;IF(AM197&lt;&gt;"", "', textKoAdditional: '"&amp;SUBSTITUTE(SUBSTITUTE(AM197, CHAR(13), ""),CHAR(10),"\n"), "")&amp;"', textEn: '"&amp;SUBSTITUTE(SUBSTITUTE(SUBSTITUTE(AM197, CHAR(13), ""),CHAR(10),"\n"),"'","\'")&amp;IF(AN197&lt;&gt;"", "', textEnAdditional: '"&amp;SUBSTITUTE(SUBSTITUTE(AN197, CHAR(13), ""),CHAR(10),"\n"), "")&amp;"'"&amp;IF(AB197="○",", sealable: true","")&amp;IF(AC197="○",", removable: true","")&amp;IF(AA197="○",", lie: true","")&amp;IF(AD197="○",", investable: true","")&amp;"},")</x:f>
        <x:v>'12-raira-o-n-7': {megami: 'raira', name: '空駆け', nameEn: 'Pounce', nameZh: '驭空', nameZhG196: '驭空', nameKo: '하늘 박차기', ruby: 'そらかけ', rubyEn: '', baseType: 'normal', type: 'action', subType: 'fullpower', text: '間合⇔ダスト：3', textZh: '距↔3↔虚', textZhG196: '距（3）⇔ 虚', textZhG196Additional: '간격⇔더스트：3', textKo: 'Distance (3)⇔ Shadow', textKoAdditional: 'Distance (3)⇔ Shadow', textEn: 'Distance (3)⇔ Shadow'},</x:v>
      </x:c>
      <x:c r="AU197" t="str">
        <x:f>IF($A197&lt;&gt;"", "    /** 《"&amp;$E197&amp;"》 */ export const "&amp;SUBSTITUTE(UPPER(IF(MID($A197, 3, 1)="-", RIGHT($A197,LEN($A197)-3), $A197)), "-", "_")&amp;": TCardId = '"&amp;$A197&amp;"';", "")</x:f>
        <x:v>    /** 《空駆け》 */ export const RAIRA_O_N_7: TCardId = '12-raira-o-n-7';</x:v>
      </x:c>
      <x:c r="AV197" t="str">
        <x:f>IF($A198&lt;&gt;"", "    | '"&amp;$A198&amp;"'", "")</x:f>
        <x:v>    | '12-raira-o-s-1'</x:v>
      </x:c>
    </x:row>
    <x:row r="198" ht="68" customHeight="1">
      <x:c r="A198" t="str">
        <x:v>12-raira-o-s-1</x:v>
      </x:c>
      <x:c r="B198" t="str">
        <x:v>raira</x:v>
      </x:c>
      <x:c r="C198"/>
      <x:c r="D198"/>
      <x:c r="E198" t="str">
        <x:v>雷螺風神爪</x:v>
      </x:c>
      <x:c r="F198" t="str">
        <x:v>らいらふうじんそう</x:v>
      </x:c>
      <x:c r="G198" t="str">
        <x:v>雷螺风神爪</x:v>
      </x:c>
      <x:c r="H198" t="str">
        <x:v>雷螺风神爪</x:v>
      </x:c>
      <x:c r="I198"/>
      <x:c r="J198" t="str">
        <x:v>뇌라풍신조</x:v>
      </x:c>
      <x:c r="K198" t="str">
        <x:v>Stormcharged Claw</x:v>
      </x:c>
      <x:c r="L198"/>
      <x:c r="M198" t="str">
        <x:v>切札</x:v>
      </x:c>
      <x:c r="N198"/>
      <x:c r="O198"/>
      <x:c r="P198"/>
      <x:c r="Q198"/>
      <x:c r="R198" t="str">
        <x:v>攻撃</x:v>
      </x:c>
      <x:c r="S198"/>
      <x:c r="T198" t="str">
        <x:v>1-2</x:v>
      </x:c>
      <x:c r="U198"/>
      <x:c r="V198" t="str">
        <x:v>2/2</x:v>
      </x:c>
      <x:c r="W198"/>
      <x:c r="X198"/>
      <x:c r="Y198"/>
      <x:c r="Z198" t="n">
        <x:v>3</x:v>
      </x:c>
      <x:c r="AA198"/>
      <x:c r="AB198"/>
      <x:c r="AC198"/>
      <x:c r="AD198"/>
      <x:c r="AE198" s="438" t="str">
        <x:v>【常時】雷神ゲージが4以上ならば、この《攻撃》は+1/+0となる。
再起:風神ゲージが4以上である</x:v>
      </x:c>
      <x:c r="AF198" s="438"/>
      <x:c r="AG198" s="499" t="str">
        <x:v>【常时】若雷神槽的值大于等于4，则此《攻击》得+1/+0。
----
【再起】风神槽的值大于等于4。</x:v>
      </x:c>
      <x:c r="AH198" s="438"/>
      <x:c r="AI198" s="499" t="str">
        <x:v>【常时】若雷神槽的值大于4，则此《攻击》得+1/+0。
----
再起：风神槽的值大于4。</x:v>
      </x:c>
      <x:c r="AJ198" s="438"/>
      <x:c r="AK198" s="499" t="str">
        <x:v>【상시】당신의 뇌신 게이지가 4이상이라면、이 《공격》은 +1/+0이 된다. 
 ----
 【재기】당신의 풍신 게이지가 4 이상이다.</x:v>
      </x:c>
      <x:c r="AL198" s="438"/>
      <x:c r="AM198" s="499" t="str">
        <x:v>Forced: This attack gains +1/+0 if your Thunder God gauge is 4 or more.
----
Resurgence: Your Wind God gauge is 4 or more.</x:v>
      </x:c>
      <x:c r="AN198" s="438"/>
      <x:c r="AO198" s="438"/>
      <x:c r="AP198" s="438"/>
      <x:c r="AQ198" s="438"/>
      <x:c r="AR198" s="438"/>
      <x:c r="AS198" s="438"/>
      <x:c r="AT198" t="str">
        <x:f>IF(A198="", "","'"&amp;A198&amp;"': {megami: '"&amp;B198&amp;"'"&amp;IF(C198&lt;&gt;"",", anotherID: '"&amp;C198&amp;"', replace: '"&amp;D198&amp;"'","")&amp;", name: '"&amp;SUBSTITUTE(E198,"'","\'")&amp;"', nameEn: '"&amp;SUBSTITUTE(K198,"'","\'")&amp;"', nameZh: '"&amp;SUBSTITUTE(G198,"'","\'")&amp;"', nameZhG197: '"&amp;SUBSTITUTE(H198,"'","\'")&amp;"', nameKo: '"&amp;SUBSTITUTE(J198,"'","\'")&amp;"', ruby: '"&amp;F198&amp;"', rubyEn: '"&amp;L198&amp;IF(I198&lt;&gt;"", "', rubyZh: '"&amp;I198, "")&amp;"', baseType: '"&amp;IF(M198="通常札","normal",IF(M198="切札","special",IF(M198="追加札","extra",IF(M198="transform","transform",IF(M198="嵐","storm",IF(M198="兵員","troop",IF(M198="構想","plan",IF(M198="メインパーツ","mainParts",IF(M198="カスタムパーツ","customParts",IF(M198="運命","fate",IF(M198="仮想樹","virtualTree","")))))))))))&amp;"'"&amp;IF(N198="○",", extra: true","")&amp;IF(O198&lt;&gt;"",", extraFrom: '"&amp;O198&amp;"'","")&amp;IF(P198&lt;&gt;"",", exchangableTo: '"&amp;P198&amp;"'","")&amp;IF(Q198="○",", poison: true","")&amp;IF(R198&lt;&gt;"", ", type: '"&amp;IF(R198="攻撃","attack",IF(R198="行動","action",IF(R198="不定","variable",IF(R198="対応","reaction",IF(R198="全力","fullpower",IF(R198="付与","enhance",IF(R198="transform","transform","")))))))&amp;"'", "")&amp;IF(S198&lt;&gt;"",", subType: '"&amp;IF(S198="攻撃","attack",IF(S198="行動","action",IF(S198="不定","variable",IF(S198="対応","reaction",IF(S198="全力","fullpower",IF(S198="付与","enhance",IF(S198="transform","transform","")))))))&amp;"'","")&amp;""&amp;IF(T198&lt;&gt;"",", range: '"&amp;T198&amp;"'","")&amp;IF(V198&lt;&gt;"",", damage: '"&amp;V198&amp;"'","")&amp;IF(X198&lt;&gt;"",", capacity: '"&amp;X198&amp;"'","")&amp;IF(Y198&lt;&gt;"",", growth: "&amp;Y198&amp;"","")&amp;IF(Z198&lt;&gt;"",", cost: '"&amp;Z198&amp;"'","")&amp;", text: '"&amp;SUBSTITUTE(SUBSTITUTE(AE198, CHAR(13), ""),CHAR(10),"\n")&amp;IF(AF198&lt;&gt;"", "', textAdditional: '"&amp;SUBSTITUTE(SUBSTITUTE(AF198, CHAR(13), ""),CHAR(10),"\n"), "")&amp;"', textZh: '"&amp;SUBSTITUTE(SUBSTITUTE(SUBSTITUTE(AG198, CHAR(13), ""),CHAR(10),"\n"),"'","\'")&amp;"', textZhG197: '"&amp;SUBSTITUTE(SUBSTITUTE(SUBSTITUTE(AI198, CHAR(13), ""),CHAR(10),"\n"),"'","\'")&amp;IF(AH198&lt;&gt;"", "', textZhAdditional: '"&amp;SUBSTITUTE(SUBSTITUTE(AH198, CHAR(13), ""),CHAR(10),"\n"), "")&amp;IF(AK198&lt;&gt;"", "', textZhG197Additional: '"&amp;SUBSTITUTE(SUBSTITUTE(AK198, CHAR(13), ""),CHAR(10),"\n"), "")&amp;"', textKo: '"&amp;SUBSTITUTE(SUBSTITUTE(SUBSTITUTE(AM198, CHAR(13), ""),CHAR(10),"\n"),"'","\'")&amp;IF(AM198&lt;&gt;"", "', textKoAdditional: '"&amp;SUBSTITUTE(SUBSTITUTE(AM198, CHAR(13), ""),CHAR(10),"\n"), "")&amp;"', textEn: '"&amp;SUBSTITUTE(SUBSTITUTE(SUBSTITUTE(AM198, CHAR(13), ""),CHAR(10),"\n"),"'","\'")&amp;IF(AN198&lt;&gt;"", "', textEnAdditional: '"&amp;SUBSTITUTE(SUBSTITUTE(AN198, CHAR(13), ""),CHAR(10),"\n"), "")&amp;"'"&amp;IF(AB198="○",", sealable: true","")&amp;IF(AC198="○",", removable: true","")&amp;IF(AA198="○",", lie: true","")&amp;IF(AD198="○",", investable: true","")&amp;"},")</x:f>
        <x:v>'12-raira-o-s-1': {megami: 'raira', name: '雷螺風神爪', nameEn: 'Stormcharged Claw', nameZh: '雷螺风神爪', nameZhG197: '雷螺风神爪', nameKo: '뇌라풍신조', ruby: 'らいらふうじんそう', rubyEn: '', baseType: 'special', type: 'attack', range: '1-2', damage: '2/2', cost: '3', text: '【常時】雷神ゲージが4以上ならば、この《攻撃》は+1/+0となる。\n再起:風神ゲージが4以上である', textZh: '【常时】若雷神槽的值大于等于4，则此《攻击》得+1/+0。\n----\n【再起】风神槽的值大于等于4。', textZhG197: '【常时】若雷神槽的值大于4，则此《攻击》得+1/+0。\n----\n再起：风神槽的值大于4。', textZhG197Additional: '【상시】당신의 뇌신 게이지가 4이상이라면、이 《공격》은 +1/+0이 된다. \n ----\n 【재기】당신의 풍신 게이지가 4 이상이다.', textKo: 'Forced: This attack gains +1/+0 if your Thunder God gauge is 4 or more.\n----\nResurgence: Your Wind God gauge is 4 or more.', textKoAdditional: 'Forced: This attack gains +1/+0 if your Thunder God gauge is 4 or more.\n----\nResurgence: Your Wind God gauge is 4 or more.', textEn: 'Forced: This attack gains +1/+0 if your Thunder God gauge is 4 or more.\n----\nResurgence: Your Wind God gauge is 4 or more.'},</x:v>
      </x:c>
      <x:c r="AU198" t="str">
        <x:f>IF($A198&lt;&gt;"", "    /** 《"&amp;$E198&amp;"》 */ export const "&amp;SUBSTITUTE(UPPER(IF(MID($A198, 3, 1)="-", RIGHT($A198,LEN($A198)-3), $A198)), "-", "_")&amp;": TCardId = '"&amp;$A198&amp;"';", "")</x:f>
        <x:v>    /** 《雷螺風神爪》 */ export const RAIRA_O_S_1: TCardId = '12-raira-o-s-1';</x:v>
      </x:c>
      <x:c r="AV198" t="str">
        <x:f>IF($A199&lt;&gt;"", "    | '"&amp;$A199&amp;"'", "")</x:f>
        <x:v>    | '12-raira-o-s-2'</x:v>
      </x:c>
    </x:row>
    <x:row r="199" ht="53" customHeight="1">
      <x:c r="A199" t="str">
        <x:v>12-raira-o-s-2</x:v>
      </x:c>
      <x:c r="B199" t="str">
        <x:v>raira</x:v>
      </x:c>
      <x:c r="C199"/>
      <x:c r="D199"/>
      <x:c r="E199" t="str">
        <x:v>天雷召喚陣</x:v>
      </x:c>
      <x:c r="F199" t="str">
        <x:v>てんらいしょうかんじん</x:v>
      </x:c>
      <x:c r="G199" t="str">
        <x:v>天雷召唤阵</x:v>
      </x:c>
      <x:c r="H199" t="str">
        <x:v>天雷召唤阵</x:v>
      </x:c>
      <x:c r="I199"/>
      <x:c r="J199" t="str">
        <x:v>천뢰소환진</x:v>
      </x:c>
      <x:c r="K199" t="str">
        <x:v>Thundercall Ritual</x:v>
      </x:c>
      <x:c r="L199"/>
      <x:c r="M199" t="str">
        <x:v>切札</x:v>
      </x:c>
      <x:c r="N199"/>
      <x:c r="O199"/>
      <x:c r="P199"/>
      <x:c r="Q199"/>
      <x:c r="R199" t="str">
        <x:v>行動</x:v>
      </x:c>
      <x:c r="S199" t="str">
        <x:v>全力</x:v>
      </x:c>
      <x:c r="T199"/>
      <x:c r="U199"/>
      <x:c r="V199"/>
      <x:c r="W199"/>
      <x:c r="X199"/>
      <x:c r="Y199"/>
      <x:c r="Z199" t="n">
        <x:v>6</x:v>
      </x:c>
      <x:c r="AA199"/>
      <x:c r="AB199"/>
      <x:c r="AC199"/>
      <x:c r="AD199"/>
      <x:c r="AE199" s="438" t="str">
        <x:v>攻撃『適正距離0-10、1/1』をX回行う。Xは雷神ゲージの半分（切り上げ）に等しい。</x:v>
      </x:c>
      <x:c r="AF199" s="438"/>
      <x:c r="AG199" s="499" t="str">
        <x:v>进行X次“攻击距离0-10、伤害1/1”的攻击，X等于雷神槽的值的一半（向上取整）。</x:v>
      </x:c>
      <x:c r="AH199" s="438"/>
      <x:c r="AI199" s="499" t="str">
        <x:v>进行X次“攻击距离0-10 伤害1/1”的攻击，X等于雷神槽的值的一半（向上取整）。</x:v>
      </x:c>
      <x:c r="AJ199" s="438"/>
      <x:c r="AK199" s="499" t="str">
        <x:v>공격『적정거리0-10、1/1』을 X번 행한다. X는 뇌신 게이지의 절반(올림값)과 같다.</x:v>
      </x:c>
      <x:c r="AL199" s="438"/>
      <x:c r="AM199" s="499" t="str">
        <x:v>You attack with "Range: 0-10, Damage: 1/1" X times, where X is equal to half your Thunder God gauge, rounded up.</x:v>
      </x:c>
      <x:c r="AN199" s="438"/>
      <x:c r="AO199" s="438"/>
      <x:c r="AP199" s="438"/>
      <x:c r="AQ199" s="438"/>
      <x:c r="AR199" s="438"/>
      <x:c r="AS199" s="438"/>
      <x:c r="AT199" t="str">
        <x:f>IF(A199="", "","'"&amp;A199&amp;"': {megami: '"&amp;B199&amp;"'"&amp;IF(C199&lt;&gt;"",", anotherID: '"&amp;C199&amp;"', replace: '"&amp;D199&amp;"'","")&amp;", name: '"&amp;SUBSTITUTE(E199,"'","\'")&amp;"', nameEn: '"&amp;SUBSTITUTE(K199,"'","\'")&amp;"', nameZh: '"&amp;SUBSTITUTE(G199,"'","\'")&amp;"', nameZhG198: '"&amp;SUBSTITUTE(H199,"'","\'")&amp;"', nameKo: '"&amp;SUBSTITUTE(J199,"'","\'")&amp;"', ruby: '"&amp;F199&amp;"', rubyEn: '"&amp;L199&amp;IF(I199&lt;&gt;"", "', rubyZh: '"&amp;I199, "")&amp;"', baseType: '"&amp;IF(M199="通常札","normal",IF(M199="切札","special",IF(M199="追加札","extra",IF(M199="transform","transform",IF(M199="嵐","storm",IF(M199="兵員","troop",IF(M199="構想","plan",IF(M199="メインパーツ","mainParts",IF(M199="カスタムパーツ","customParts",IF(M199="運命","fate",IF(M199="仮想樹","virtualTree","")))))))))))&amp;"'"&amp;IF(N199="○",", extra: true","")&amp;IF(O199&lt;&gt;"",", extraFrom: '"&amp;O199&amp;"'","")&amp;IF(P199&lt;&gt;"",", exchangableTo: '"&amp;P199&amp;"'","")&amp;IF(Q199="○",", poison: true","")&amp;IF(R199&lt;&gt;"", ", type: '"&amp;IF(R199="攻撃","attack",IF(R199="行動","action",IF(R199="不定","variable",IF(R199="対応","reaction",IF(R199="全力","fullpower",IF(R199="付与","enhance",IF(R199="transform","transform","")))))))&amp;"'", "")&amp;IF(S199&lt;&gt;"",", subType: '"&amp;IF(S199="攻撃","attack",IF(S199="行動","action",IF(S199="不定","variable",IF(S199="対応","reaction",IF(S199="全力","fullpower",IF(S199="付与","enhance",IF(S199="transform","transform","")))))))&amp;"'","")&amp;""&amp;IF(T199&lt;&gt;"",", range: '"&amp;T199&amp;"'","")&amp;IF(V199&lt;&gt;"",", damage: '"&amp;V199&amp;"'","")&amp;IF(X199&lt;&gt;"",", capacity: '"&amp;X199&amp;"'","")&amp;IF(Y199&lt;&gt;"",", growth: "&amp;Y199&amp;"","")&amp;IF(Z199&lt;&gt;"",", cost: '"&amp;Z199&amp;"'","")&amp;", text: '"&amp;SUBSTITUTE(SUBSTITUTE(AE199, CHAR(13), ""),CHAR(10),"\n")&amp;IF(AF199&lt;&gt;"", "', textAdditional: '"&amp;SUBSTITUTE(SUBSTITUTE(AF199, CHAR(13), ""),CHAR(10),"\n"), "")&amp;"', textZh: '"&amp;SUBSTITUTE(SUBSTITUTE(SUBSTITUTE(AG199, CHAR(13), ""),CHAR(10),"\n"),"'","\'")&amp;"', textZhG198: '"&amp;SUBSTITUTE(SUBSTITUTE(SUBSTITUTE(AI199, CHAR(13), ""),CHAR(10),"\n"),"'","\'")&amp;IF(AH199&lt;&gt;"", "', textZhAdditional: '"&amp;SUBSTITUTE(SUBSTITUTE(AH199, CHAR(13), ""),CHAR(10),"\n"), "")&amp;IF(AK199&lt;&gt;"", "', textZhG198Additional: '"&amp;SUBSTITUTE(SUBSTITUTE(AK199, CHAR(13), ""),CHAR(10),"\n"), "")&amp;"', textKo: '"&amp;SUBSTITUTE(SUBSTITUTE(SUBSTITUTE(AM199, CHAR(13), ""),CHAR(10),"\n"),"'","\'")&amp;IF(AM199&lt;&gt;"", "', textKoAdditional: '"&amp;SUBSTITUTE(SUBSTITUTE(AM199, CHAR(13), ""),CHAR(10),"\n"), "")&amp;"', textEn: '"&amp;SUBSTITUTE(SUBSTITUTE(SUBSTITUTE(AM199, CHAR(13), ""),CHAR(10),"\n"),"'","\'")&amp;IF(AN199&lt;&gt;"", "', textEnAdditional: '"&amp;SUBSTITUTE(SUBSTITUTE(AN199, CHAR(13), ""),CHAR(10),"\n"), "")&amp;"'"&amp;IF(AB199="○",", sealable: true","")&amp;IF(AC199="○",", removable: true","")&amp;IF(AA199="○",", lie: true","")&amp;IF(AD199="○",", investable: true","")&amp;"},")</x:f>
        <x:v>'12-raira-o-s-2': {megami: 'raira', name: '天雷召喚陣', nameEn: 'Thundercall Ritual', nameZh: '天雷召唤阵', nameZhG198: '天雷召唤阵', nameKo: '천뢰소환진', ruby: 'てんらいしょうかんじん', rubyEn: '', baseType: 'special', type: 'action', subType: 'fullpower', cost: '6', text: '攻撃『適正距離0-10、1/1』をX回行う。Xは雷神ゲージの半分（切り上げ）に等しい。', textZh: '进行X次“攻击距离0-10、伤害1/1”的攻击，X等于雷神槽的值的一半（向上取整）。', textZhG198: '进行X次“攻击距离0-10 伤害1/1”的攻击，X等于雷神槽的值的一半（向上取整）。', textZhG198Additional: '공격『적정거리0-10、1/1』을 X번 행한다. X는 뇌신 게이지의 절반(올림값)과 같다.', textKo: 'You attack with "Range: 0-10, Damage: 1/1" X times, where X is equal to half your Thunder God gauge, rounded up.', textKoAdditional: 'You attack with "Range: 0-10, Damage: 1/1" X times, where X is equal to half your Thunder God gauge, rounded up.', textEn: 'You attack with "Range: 0-10, Damage: 1/1" X times, where X is equal to half your Thunder God gauge, rounded up.'},</x:v>
      </x:c>
      <x:c r="AU199" t="str">
        <x:f>IF($A199&lt;&gt;"", "    /** 《"&amp;$E199&amp;"》 */ export const "&amp;SUBSTITUTE(UPPER(IF(MID($A199, 3, 1)="-", RIGHT($A199,LEN($A199)-3), $A199)), "-", "_")&amp;": TCardId = '"&amp;$A199&amp;"';", "")</x:f>
        <x:v>    /** 《天雷召喚陣》 */ export const RAIRA_O_S_2: TCardId = '12-raira-o-s-2';</x:v>
      </x:c>
      <x:c r="AV199" t="str">
        <x:f>IF($A200&lt;&gt;"", "    | '"&amp;$A200&amp;"'", "")</x:f>
        <x:v>    | '12-raira-o-s-3'</x:v>
      </x:c>
    </x:row>
    <x:row r="200" ht="113" customHeight="1">
      <x:c r="A200" t="str">
        <x:v>12-raira-o-s-3</x:v>
      </x:c>
      <x:c r="B200" t="str">
        <x:v>raira</x:v>
      </x:c>
      <x:c r="C200"/>
      <x:c r="D200"/>
      <x:c r="E200" t="str">
        <x:v>風魔招来孔</x:v>
      </x:c>
      <x:c r="F200" t="str">
        <x:v>ふうましょうらいこう</x:v>
      </x:c>
      <x:c r="G200" t="str">
        <x:v>风魔招来孔</x:v>
      </x:c>
      <x:c r="H200" t="str">
        <x:v>风魔招来孔</x:v>
      </x:c>
      <x:c r="I200"/>
      <x:c r="J200" t="str">
        <x:v>풍마초래공</x:v>
      </x:c>
      <x:c r="K200" t="str">
        <x:v>Windbeast Invocation</x:v>
      </x:c>
      <x:c r="L200"/>
      <x:c r="M200" t="str">
        <x:v>切札</x:v>
      </x:c>
      <x:c r="N200"/>
      <x:c r="O200"/>
      <x:c r="P200"/>
      <x:c r="Q200"/>
      <x:c r="R200" t="str">
        <x:v>行動</x:v>
      </x:c>
      <x:c r="S200"/>
      <x:c r="T200"/>
      <x:c r="U200"/>
      <x:c r="V200"/>
      <x:c r="W200"/>
      <x:c r="X200"/>
      <x:c r="Y200"/>
      <x:c r="Z200" t="n">
        <x:v>2</x:v>
      </x:c>
      <x:c r="AA200"/>
      <x:c r="AB200"/>
      <x:c r="AC200" t="str">
        <x:v>○</x:v>
      </x:c>
      <x:c r="AD200"/>
      <x:c r="AE200" s="438" t="str">
        <x:v>現在の風神ゲージに応じて、追加札から以下のカードを未使用で得る。（条件を満たしたものは全て得る）その後、このカードを取り除く。
3以上……「風魔旋風」
7以上……「風魔纏廻」
12以上……「風魔天狗道」</x:v>
      </x:c>
      <x:c r="AF200" s="438"/>
      <x:c r="AG200" s="499" t="str">
        <x:v>根据现在的风神槽的值，从追加牌区以未使用状态获得以下王牌（满足条件的全部都可以获得）。然后将此牌移出游戏。
3或以上……『风魔旋风』
6或以上……『风魔缠回』
10或以上……『风魔天狗道』</x:v>
      </x:c>
      <x:c r="AH200" s="438"/>
      <x:c r="AI200" s="499" t="str">
        <x:v>根据现在的风神槽的值，将以下牌以未使用状态加入王牌，然后将此牌移出游戏。
3以上……『风魔旋风』
7以上……『风魔缠回』
12以上……『风魔天狗道』</x:v>
      </x:c>
      <x:c r="AJ200" s="438"/>
      <x:c r="AK200" s="499" t="str">
        <x:v>현재 풍신 게이지에 따라, 이하의 비장패를 추가패에서 미사용으로 얻는다(조건을 만족한 것은 모두 얻는다). 그 후, 이 카드를 제외한다.
 3이상……풍마선풍 
 7이상……풍마전회 
 12이상……풍마천구도</x:v>
      </x:c>
      <x:c r="AL200" s="438"/>
      <x:c r="AM200" s="499" t="str">
        <x:v>Based on your Wind God gauge, add your set aside "Windbeast" cards to your Special cards, face-down. Remove this card from the game.
3 or more: Windbeast Manifestation
7 or more: Windbeast Reincarnation
12 or more: Windbeast Perdition
(Add all cards you meet the requirement for.)</x:v>
      </x:c>
      <x:c r="AN200" s="438"/>
      <x:c r="AO200" s="438"/>
      <x:c r="AP200" s="438"/>
      <x:c r="AQ200" s="438"/>
      <x:c r="AR200" s="438"/>
      <x:c r="AS200" s="438"/>
      <x:c r="AT200" t="str">
        <x:f>IF(A200="", "","'"&amp;A200&amp;"': {megami: '"&amp;B200&amp;"'"&amp;IF(C200&lt;&gt;"",", anotherID: '"&amp;C200&amp;"', replace: '"&amp;D200&amp;"'","")&amp;", name: '"&amp;SUBSTITUTE(E200,"'","\'")&amp;"', nameEn: '"&amp;SUBSTITUTE(K200,"'","\'")&amp;"', nameZh: '"&amp;SUBSTITUTE(G200,"'","\'")&amp;"', nameZhG199: '"&amp;SUBSTITUTE(H200,"'","\'")&amp;"', nameKo: '"&amp;SUBSTITUTE(J200,"'","\'")&amp;"', ruby: '"&amp;F200&amp;"', rubyEn: '"&amp;L200&amp;IF(I200&lt;&gt;"", "', rubyZh: '"&amp;I200, "")&amp;"', baseType: '"&amp;IF(M200="通常札","normal",IF(M200="切札","special",IF(M200="追加札","extra",IF(M200="transform","transform",IF(M200="嵐","storm",IF(M200="兵員","troop",IF(M200="構想","plan",IF(M200="メインパーツ","mainParts",IF(M200="カスタムパーツ","customParts",IF(M200="運命","fate",IF(M200="仮想樹","virtualTree","")))))))))))&amp;"'"&amp;IF(N200="○",", extra: true","")&amp;IF(O200&lt;&gt;"",", extraFrom: '"&amp;O200&amp;"'","")&amp;IF(P200&lt;&gt;"",", exchangableTo: '"&amp;P200&amp;"'","")&amp;IF(Q200="○",", poison: true","")&amp;IF(R200&lt;&gt;"", ", type: '"&amp;IF(R200="攻撃","attack",IF(R200="行動","action",IF(R200="不定","variable",IF(R200="対応","reaction",IF(R200="全力","fullpower",IF(R200="付与","enhance",IF(R200="transform","transform","")))))))&amp;"'", "")&amp;IF(S200&lt;&gt;"",", subType: '"&amp;IF(S200="攻撃","attack",IF(S200="行動","action",IF(S200="不定","variable",IF(S200="対応","reaction",IF(S200="全力","fullpower",IF(S200="付与","enhance",IF(S200="transform","transform","")))))))&amp;"'","")&amp;""&amp;IF(T200&lt;&gt;"",", range: '"&amp;T200&amp;"'","")&amp;IF(V200&lt;&gt;"",", damage: '"&amp;V200&amp;"'","")&amp;IF(X200&lt;&gt;"",", capacity: '"&amp;X200&amp;"'","")&amp;IF(Y200&lt;&gt;"",", growth: "&amp;Y200&amp;"","")&amp;IF(Z200&lt;&gt;"",", cost: '"&amp;Z200&amp;"'","")&amp;", text: '"&amp;SUBSTITUTE(SUBSTITUTE(AE200, CHAR(13), ""),CHAR(10),"\n")&amp;IF(AF200&lt;&gt;"", "', textAdditional: '"&amp;SUBSTITUTE(SUBSTITUTE(AF200, CHAR(13), ""),CHAR(10),"\n"), "")&amp;"', textZh: '"&amp;SUBSTITUTE(SUBSTITUTE(SUBSTITUTE(AG200, CHAR(13), ""),CHAR(10),"\n"),"'","\'")&amp;"', textZhG199: '"&amp;SUBSTITUTE(SUBSTITUTE(SUBSTITUTE(AI200, CHAR(13), ""),CHAR(10),"\n"),"'","\'")&amp;IF(AH200&lt;&gt;"", "', textZhAdditional: '"&amp;SUBSTITUTE(SUBSTITUTE(AH200, CHAR(13), ""),CHAR(10),"\n"), "")&amp;IF(AK200&lt;&gt;"", "', textZhG199Additional: '"&amp;SUBSTITUTE(SUBSTITUTE(AK200, CHAR(13), ""),CHAR(10),"\n"), "")&amp;"', textKo: '"&amp;SUBSTITUTE(SUBSTITUTE(SUBSTITUTE(AM200, CHAR(13), ""),CHAR(10),"\n"),"'","\'")&amp;IF(AM200&lt;&gt;"", "', textKoAdditional: '"&amp;SUBSTITUTE(SUBSTITUTE(AM200, CHAR(13), ""),CHAR(10),"\n"), "")&amp;"', textEn: '"&amp;SUBSTITUTE(SUBSTITUTE(SUBSTITUTE(AM200, CHAR(13), ""),CHAR(10),"\n"),"'","\'")&amp;IF(AN200&lt;&gt;"", "', textEnAdditional: '"&amp;SUBSTITUTE(SUBSTITUTE(AN200, CHAR(13), ""),CHAR(10),"\n"), "")&amp;"'"&amp;IF(AB200="○",", sealable: true","")&amp;IF(AC200="○",", removable: true","")&amp;IF(AA200="○",", lie: true","")&amp;IF(AD200="○",", investable: true","")&amp;"},")</x:f>
        <x:v>'12-raira-o-s-3': {megami: 'raira', name: '風魔招来孔', nameEn: 'Windbeast Invocation', nameZh: '风魔招来孔', nameZhG199: '风魔招来孔', nameKo: '풍마초래공', ruby: 'ふうましょうらいこう', rubyEn: '', baseType: 'special', type: 'action', cost: '2', text: '現在の風神ゲージに応じて、追加札から以下のカードを未使用で得る。（条件を満たしたものは全て得る）その後、このカードを取り除く。\n3以上……「風魔旋風」\n7以上……「風魔纏廻」\n12以上……「風魔天狗道」', textZh: '根据现在的风神槽的值，从追加牌区以未使用状态获得以下王牌（满足条件的全部都可以获得）。然后将此牌移出游戏。\n3或以上……『风魔旋风』\n6或以上……『风魔缠回』\n10或以上……『风魔天狗道』', textZhG199: '根据现在的风神槽的值，将以下牌以未使用状态加入王牌，然后将此牌移出游戏。\n3以上……『风魔旋风』\n7以上……『风魔缠回』\n12以上……『风魔天狗道』', textZhG199Additional: '현재 풍신 게이지에 따라, 이하의 비장패를 추가패에서 미사용으로 얻는다(조건을 만족한 것은 모두 얻는다). 그 후, 이 카드를 제외한다.\n 3이상……풍마선풍 \n 7이상……풍마전회 \n 12이상……풍마천구도', textKo: 'Based on your Wind God gauge, add your set aside "Windbeast" cards to your Special cards, face-down. Remove this card from the game.\n3 or more: Windbeast Manifestation\n7 or more: Windbeast Reincarnation\n12 or more: Windbeast Perdition\n(Add all cards you meet the requirement for.)', textKoAdditional: 'Based on your Wind God gauge, add your set aside "Windbeast" cards to your Special cards, face-down. Remove this card from the game.\n3 or more: Windbeast Manifestation\n7 or more: Windbeast Reincarnation\n12 or more: Windbeast Perdition\n(Add all cards you meet the requirement for.)', textEn: 'Based on your Wind God gauge, add your set aside "Windbeast" cards to your Special cards, face-down. Remove this card from the game.\n3 or more: Windbeast Manifestation\n7 or more: Windbeast Reincarnation\n12 or more: Windbeast Perdition\n(Add all cards you meet the requirement for.)', removable: true},</x:v>
      </x:c>
      <x:c r="AU200" t="str">
        <x:f>IF($A200&lt;&gt;"", "    /** 《"&amp;$E200&amp;"》 */ export const "&amp;SUBSTITUTE(UPPER(IF(MID($A200, 3, 1)="-", RIGHT($A200,LEN($A200)-3), $A200)), "-", "_")&amp;": TCardId = '"&amp;$A200&amp;"';", "")</x:f>
        <x:v>    /** 《風魔招来孔》 */ export const RAIRA_O_S_3: TCardId = '12-raira-o-s-3';</x:v>
      </x:c>
      <x:c r="AV200" t="str">
        <x:f>IF($A201&lt;&gt;"", "    | '"&amp;$A201&amp;"'", "")</x:f>
        <x:v>    | '12-raira-o-s-4'</x:v>
      </x:c>
    </x:row>
    <x:row r="201" ht="68" customHeight="1">
      <x:c r="A201" t="str">
        <x:v>12-raira-o-s-4</x:v>
      </x:c>
      <x:c r="B201" t="str">
        <x:v>raira</x:v>
      </x:c>
      <x:c r="C201"/>
      <x:c r="D201"/>
      <x:c r="E201" t="str">
        <x:v>円環輪廻旋</x:v>
      </x:c>
      <x:c r="F201" t="str">
        <x:v>えんかんりんかいせん</x:v>
      </x:c>
      <x:c r="G201" t="str">
        <x:v>圆环轮回旋</x:v>
      </x:c>
      <x:c r="H201" t="str">
        <x:v>圆环轮回旋</x:v>
      </x:c>
      <x:c r="I201"/>
      <x:c r="J201" t="str">
        <x:v>원환륜회선</x:v>
      </x:c>
      <x:c r="K201" t="str">
        <x:v>Death and Rebirth</x:v>
      </x:c>
      <x:c r="L201"/>
      <x:c r="M201" t="str">
        <x:v>切札</x:v>
      </x:c>
      <x:c r="N201"/>
      <x:c r="O201"/>
      <x:c r="P201"/>
      <x:c r="Q201"/>
      <x:c r="R201" t="str">
        <x:v>付与</x:v>
      </x:c>
      <x:c r="S201" t="str">
        <x:v>対応</x:v>
      </x:c>
      <x:c r="T201"/>
      <x:c r="U201"/>
      <x:c r="V201"/>
      <x:c r="W201"/>
      <x:c r="X201" t="n">
        <x:v>2</x:v>
      </x:c>
      <x:c r="Y201"/>
      <x:c r="Z201" t="n">
        <x:v>2</x:v>
      </x:c>
      <x:c r="AA201"/>
      <x:c r="AB201"/>
      <x:c r="AC201"/>
      <x:c r="AD201"/>
      <x:c r="AE201" s="438" t="str">
        <x:v>【展開中】相手の《攻撃》の解決後に以下を全て行ってもよい。
・間合⇔ダスト：1
・風神ゲージが雷神ゲージを1上げる。</x:v>
      </x:c>
      <x:c r="AF201" s="438"/>
      <x:c r="AG201" s="499" t="str">
        <x:v>【展开中】对手的《攻击》结算完毕时，你可以依次结算下述效果：
●距↔1↔虚
●选择风神槽或雷神槽，其值增加1。</x:v>
      </x:c>
      <x:c r="AH201" s="438"/>
      <x:c r="AI201" s="499" t="str">
        <x:v>【展开中】每当对手进行的《攻击》结算完毕时，你可以依次执行：
距（1）⇔ 虚 
选择风神槽或雷神槽，其值增加1。</x:v>
      </x:c>
      <x:c r="AJ201" s="438"/>
      <x:c r="AK201" s="499" t="str">
        <x:v>【전개중】상대의 《공격》 해결 후에 아래를 전부 처리해도 좋다.
・간격⇔더스트：1
・풍신 게이지 또는 뇌신 게이지를 1올린다.</x:v>
      </x:c>
      <x:c r="AL201" s="438"/>
      <x:c r="AM201" s="499" t="str">
        <x:v>Ongoing: After one of your opponent's attacks resolves, perform neither or both:
・Distance (1)⇔ Shadow
・Increase your Wind or Thunder Gauge by 1.</x:v>
      </x:c>
      <x:c r="AN201" s="438"/>
      <x:c r="AO201" s="438"/>
      <x:c r="AP201" s="438"/>
      <x:c r="AQ201" s="438"/>
      <x:c r="AR201" s="438"/>
      <x:c r="AS201" s="438"/>
      <x:c r="AT201" t="str">
        <x:f>IF(A201="", "","'"&amp;A201&amp;"': {megami: '"&amp;B201&amp;"'"&amp;IF(C201&lt;&gt;"",", anotherID: '"&amp;C201&amp;"', replace: '"&amp;D201&amp;"'","")&amp;", name: '"&amp;SUBSTITUTE(E201,"'","\'")&amp;"', nameEn: '"&amp;SUBSTITUTE(K201,"'","\'")&amp;"', nameZh: '"&amp;SUBSTITUTE(G201,"'","\'")&amp;"', nameZhG200: '"&amp;SUBSTITUTE(H201,"'","\'")&amp;"', nameKo: '"&amp;SUBSTITUTE(J201,"'","\'")&amp;"', ruby: '"&amp;F201&amp;"', rubyEn: '"&amp;L201&amp;IF(I201&lt;&gt;"", "', rubyZh: '"&amp;I201, "")&amp;"', baseType: '"&amp;IF(M201="通常札","normal",IF(M201="切札","special",IF(M201="追加札","extra",IF(M201="transform","transform",IF(M201="嵐","storm",IF(M201="兵員","troop",IF(M201="構想","plan",IF(M201="メインパーツ","mainParts",IF(M201="カスタムパーツ","customParts",IF(M201="運命","fate",IF(M201="仮想樹","virtualTree","")))))))))))&amp;"'"&amp;IF(N201="○",", extra: true","")&amp;IF(O201&lt;&gt;"",", extraFrom: '"&amp;O201&amp;"'","")&amp;IF(P201&lt;&gt;"",", exchangableTo: '"&amp;P201&amp;"'","")&amp;IF(Q201="○",", poison: true","")&amp;IF(R201&lt;&gt;"", ", type: '"&amp;IF(R201="攻撃","attack",IF(R201="行動","action",IF(R201="不定","variable",IF(R201="対応","reaction",IF(R201="全力","fullpower",IF(R201="付与","enhance",IF(R201="transform","transform","")))))))&amp;"'", "")&amp;IF(S201&lt;&gt;"",", subType: '"&amp;IF(S201="攻撃","attack",IF(S201="行動","action",IF(S201="不定","variable",IF(S201="対応","reaction",IF(S201="全力","fullpower",IF(S201="付与","enhance",IF(S201="transform","transform","")))))))&amp;"'","")&amp;""&amp;IF(T201&lt;&gt;"",", range: '"&amp;T201&amp;"'","")&amp;IF(V201&lt;&gt;"",", damage: '"&amp;V201&amp;"'","")&amp;IF(X201&lt;&gt;"",", capacity: '"&amp;X201&amp;"'","")&amp;IF(Y201&lt;&gt;"",", growth: "&amp;Y201&amp;"","")&amp;IF(Z201&lt;&gt;"",", cost: '"&amp;Z201&amp;"'","")&amp;", text: '"&amp;SUBSTITUTE(SUBSTITUTE(AE201, CHAR(13), ""),CHAR(10),"\n")&amp;IF(AF201&lt;&gt;"", "', textAdditional: '"&amp;SUBSTITUTE(SUBSTITUTE(AF201, CHAR(13), ""),CHAR(10),"\n"), "")&amp;"', textZh: '"&amp;SUBSTITUTE(SUBSTITUTE(SUBSTITUTE(AG201, CHAR(13), ""),CHAR(10),"\n"),"'","\'")&amp;"', textZhG200: '"&amp;SUBSTITUTE(SUBSTITUTE(SUBSTITUTE(AI201, CHAR(13), ""),CHAR(10),"\n"),"'","\'")&amp;IF(AH201&lt;&gt;"", "', textZhAdditional: '"&amp;SUBSTITUTE(SUBSTITUTE(AH201, CHAR(13), ""),CHAR(10),"\n"), "")&amp;IF(AK201&lt;&gt;"", "', textZhG200Additional: '"&amp;SUBSTITUTE(SUBSTITUTE(AK201, CHAR(13), ""),CHAR(10),"\n"), "")&amp;"', textKo: '"&amp;SUBSTITUTE(SUBSTITUTE(SUBSTITUTE(AM201, CHAR(13), ""),CHAR(10),"\n"),"'","\'")&amp;IF(AM201&lt;&gt;"", "', textKoAdditional: '"&amp;SUBSTITUTE(SUBSTITUTE(AM201, CHAR(13), ""),CHAR(10),"\n"), "")&amp;"', textEn: '"&amp;SUBSTITUTE(SUBSTITUTE(SUBSTITUTE(AM201, CHAR(13), ""),CHAR(10),"\n"),"'","\'")&amp;IF(AN201&lt;&gt;"", "', textEnAdditional: '"&amp;SUBSTITUTE(SUBSTITUTE(AN201, CHAR(13), ""),CHAR(10),"\n"), "")&amp;"'"&amp;IF(AB201="○",", sealable: true","")&amp;IF(AC201="○",", removable: true","")&amp;IF(AA201="○",", lie: true","")&amp;IF(AD201="○",", investable: true","")&amp;"},")</x:f>
        <x:v>'12-raira-o-s-4': {megami: 'raira', name: '円環輪廻旋', nameEn: 'Death and Rebirth', nameZh: '圆环轮回旋', nameZhG200: '圆环轮回旋', nameKo: '원환륜회선', ruby: 'えんかんりんかいせん', rubyEn: '', baseType: 'special', type: 'enhance', subType: 'reaction', capacity: '2', cost: '2', text: '【展開中】相手の《攻撃》の解決後に以下を全て行ってもよい。\n・間合⇔ダスト：1\n・風神ゲージが雷神ゲージを1上げる。', textZh: '【展开中】对手的《攻击》结算完毕时，你可以依次结算下述效果：\n●距↔1↔虚\n●选择风神槽或雷神槽，其值增加1。', textZhG200: '【展开中】每当对手进行的《攻击》结算完毕时，你可以依次执行：\n距（1）⇔ 虚 \n选择风神槽或雷神槽，其值增加1。', textZhG200Additional: '【전개중】상대의 《공격》 해결 후에 아래를 전부 처리해도 좋다.\n・간격⇔더스트：1\n・풍신 게이지 또는 뇌신 게이지를 1올린다.', textKo: 'Ongoing: After one of your opponent\'s attacks resolves, perform neither or both:\n・Distance (1)⇔ Shadow\n・Increase your Wind or Thunder Gauge by 1.', textKoAdditional: 'Ongoing: After one of your opponent's attacks resolves, perform neither or both:\n・Distance (1)⇔ Shadow\n・Increase your Wind or Thunder Gauge by 1.', textEn: 'Ongoing: After one of your opponent\'s attacks resolves, perform neither or both:\n・Distance (1)⇔ Shadow\n・Increase your Wind or Thunder Gauge by 1.'},</x:v>
      </x:c>
      <x:c r="AU201" t="str">
        <x:f>IF($A201&lt;&gt;"", "    /** 《"&amp;$E201&amp;"》 */ export const "&amp;SUBSTITUTE(UPPER(IF(MID($A201, 3, 1)="-", RIGHT($A201,LEN($A201)-3), $A201)), "-", "_")&amp;": TCardId = '"&amp;$A201&amp;"';", "")</x:f>
        <x:v>    /** 《円環輪廻旋》 */ export const RAIRA_O_S_4: TCardId = '12-raira-o-s-4';</x:v>
      </x:c>
      <x:c r="AV201" t="str">
        <x:f>IF($A202&lt;&gt;"", "    | '"&amp;$A202&amp;"'", "")</x:f>
        <x:v>    | '12-raira-o-s-3-ex1'</x:v>
      </x:c>
    </x:row>
    <x:row r="202" ht="30" customHeight="1">
      <x:c r="A202" t="str">
        <x:v>12-raira-o-s-3-ex1</x:v>
      </x:c>
      <x:c r="B202" t="str">
        <x:v>raira</x:v>
      </x:c>
      <x:c r="C202"/>
      <x:c r="D202"/>
      <x:c r="E202" t="str">
        <x:v>風魔旋風</x:v>
      </x:c>
      <x:c r="F202" t="str">
        <x:v>ふうませんぷう</x:v>
      </x:c>
      <x:c r="G202" t="str">
        <x:v>风魔旋风</x:v>
      </x:c>
      <x:c r="H202" t="str">
        <x:v>风魔旋风</x:v>
      </x:c>
      <x:c r="I202"/>
      <x:c r="J202" t="str">
        <x:v>풍마선풍</x:v>
      </x:c>
      <x:c r="K202" t="str">
        <x:v>Windbeast Manifestation</x:v>
      </x:c>
      <x:c r="L202"/>
      <x:c r="M202" t="str">
        <x:v>切札</x:v>
      </x:c>
      <x:c r="N202" t="str">
        <x:v>○</x:v>
      </x:c>
      <x:c r="O202" t="str">
        <x:v>12-raira-o-s-3</x:v>
      </x:c>
      <x:c r="P202"/>
      <x:c r="Q202"/>
      <x:c r="R202" t="str">
        <x:v>攻撃</x:v>
      </x:c>
      <x:c r="S202"/>
      <x:c r="T202" t="str">
        <x:v>1-3</x:v>
      </x:c>
      <x:c r="U202"/>
      <x:c r="V202" t="str">
        <x:v>1/2</x:v>
      </x:c>
      <x:c r="W202"/>
      <x:c r="X202"/>
      <x:c r="Y202"/>
      <x:c r="Z202" t="n">
        <x:v>1</x:v>
      </x:c>
      <x:c r="AA202"/>
      <x:c r="AB202"/>
      <x:c r="AC202"/>
      <x:c r="AD202"/>
      <x:c r="AE202" s="438"/>
      <x:c r="AF202" s="438"/>
      <x:c r="AG202" s="438"/>
      <x:c r="AH202" s="438"/>
      <x:c r="AI202" s="438"/>
      <x:c r="AJ202" s="438"/>
      <x:c r="AK202" s="438"/>
      <x:c r="AL202" s="438"/>
      <x:c r="AM202" s="438"/>
      <x:c r="AN202" s="438"/>
      <x:c r="AO202" s="438"/>
      <x:c r="AP202" s="438"/>
      <x:c r="AQ202" s="438"/>
      <x:c r="AR202" s="438"/>
      <x:c r="AS202" s="438"/>
      <x:c r="AT202" t="str">
        <x:f>IF(A202="", "","'"&amp;A202&amp;"': {megami: '"&amp;B202&amp;"'"&amp;IF(C202&lt;&gt;"",", anotherID: '"&amp;C202&amp;"', replace: '"&amp;D202&amp;"'","")&amp;", name: '"&amp;SUBSTITUTE(E202,"'","\'")&amp;"', nameEn: '"&amp;SUBSTITUTE(K202,"'","\'")&amp;"', nameZh: '"&amp;SUBSTITUTE(G202,"'","\'")&amp;"', nameZhG201: '"&amp;SUBSTITUTE(H202,"'","\'")&amp;"', nameKo: '"&amp;SUBSTITUTE(J202,"'","\'")&amp;"', ruby: '"&amp;F202&amp;"', rubyEn: '"&amp;L202&amp;IF(I202&lt;&gt;"", "', rubyZh: '"&amp;I202, "")&amp;"', baseType: '"&amp;IF(M202="通常札","normal",IF(M202="切札","special",IF(M202="追加札","extra",IF(M202="transform","transform",IF(M202="嵐","storm",IF(M202="兵員","troop",IF(M202="構想","plan",IF(M202="メインパーツ","mainParts",IF(M202="カスタムパーツ","customParts",IF(M202="運命","fate",IF(M202="仮想樹","virtualTree","")))))))))))&amp;"'"&amp;IF(N202="○",", extra: true","")&amp;IF(O202&lt;&gt;"",", extraFrom: '"&amp;O202&amp;"'","")&amp;IF(P202&lt;&gt;"",", exchangableTo: '"&amp;P202&amp;"'","")&amp;IF(Q202="○",", poison: true","")&amp;IF(R202&lt;&gt;"", ", type: '"&amp;IF(R202="攻撃","attack",IF(R202="行動","action",IF(R202="不定","variable",IF(R202="対応","reaction",IF(R202="全力","fullpower",IF(R202="付与","enhance",IF(R202="transform","transform","")))))))&amp;"'", "")&amp;IF(S202&lt;&gt;"",", subType: '"&amp;IF(S202="攻撃","attack",IF(S202="行動","action",IF(S202="不定","variable",IF(S202="対応","reaction",IF(S202="全力","fullpower",IF(S202="付与","enhance",IF(S202="transform","transform","")))))))&amp;"'","")&amp;""&amp;IF(T202&lt;&gt;"",", range: '"&amp;T202&amp;"'","")&amp;IF(V202&lt;&gt;"",", damage: '"&amp;V202&amp;"'","")&amp;IF(X202&lt;&gt;"",", capacity: '"&amp;X202&amp;"'","")&amp;IF(Y202&lt;&gt;"",", growth: "&amp;Y202&amp;"","")&amp;IF(Z202&lt;&gt;"",", cost: '"&amp;Z202&amp;"'","")&amp;", text: '"&amp;SUBSTITUTE(SUBSTITUTE(AE202, CHAR(13), ""),CHAR(10),"\n")&amp;IF(AF202&lt;&gt;"", "', textAdditional: '"&amp;SUBSTITUTE(SUBSTITUTE(AF202, CHAR(13), ""),CHAR(10),"\n"), "")&amp;"', textZh: '"&amp;SUBSTITUTE(SUBSTITUTE(SUBSTITUTE(AG202, CHAR(13), ""),CHAR(10),"\n"),"'","\'")&amp;"', textZhG201: '"&amp;SUBSTITUTE(SUBSTITUTE(SUBSTITUTE(AI202, CHAR(13), ""),CHAR(10),"\n"),"'","\'")&amp;IF(AH202&lt;&gt;"", "', textZhAdditional: '"&amp;SUBSTITUTE(SUBSTITUTE(AH202, CHAR(13), ""),CHAR(10),"\n"), "")&amp;IF(AK202&lt;&gt;"", "', textZhG201Additional: '"&amp;SUBSTITUTE(SUBSTITUTE(AK202, CHAR(13), ""),CHAR(10),"\n"), "")&amp;"', textKo: '"&amp;SUBSTITUTE(SUBSTITUTE(SUBSTITUTE(AM202, CHAR(13), ""),CHAR(10),"\n"),"'","\'")&amp;IF(AM202&lt;&gt;"", "', textKoAdditional: '"&amp;SUBSTITUTE(SUBSTITUTE(AM202, CHAR(13), ""),CHAR(10),"\n"), "")&amp;"', textEn: '"&amp;SUBSTITUTE(SUBSTITUTE(SUBSTITUTE(AM202, CHAR(13), ""),CHAR(10),"\n"),"'","\'")&amp;IF(AN202&lt;&gt;"", "', textEnAdditional: '"&amp;SUBSTITUTE(SUBSTITUTE(AN202, CHAR(13), ""),CHAR(10),"\n"), "")&amp;"'"&amp;IF(AB202="○",", sealable: true","")&amp;IF(AC202="○",", removable: true","")&amp;IF(AA202="○",", lie: true","")&amp;IF(AD202="○",", investable: true","")&amp;"},")</x:f>
        <x:v>'12-raira-o-s-3-ex1': {megami: 'raira', name: '風魔旋風', nameEn: 'Windbeast Manifestation', nameZh: '风魔旋风', nameZhG201: '风魔旋风', nameKo: '풍마선풍', ruby: 'ふうませんぷう', rubyEn: '', baseType: 'special', extra: true, extraFrom: '12-raira-o-s-3', type: 'attack', range: '1-3', damage: '1/2', cost: '1', text: '', textZh: '', textZhG201: '', textKo: '', textEn: ''},</x:v>
      </x:c>
      <x:c r="AU202" t="str">
        <x:f>IF($A202&lt;&gt;"", "    /** 《"&amp;$E202&amp;"》 */ export const "&amp;SUBSTITUTE(UPPER(IF(MID($A202, 3, 1)="-", RIGHT($A202,LEN($A202)-3), $A202)), "-", "_")&amp;": TCardId = '"&amp;$A202&amp;"';", "")</x:f>
        <x:v>    /** 《風魔旋風》 */ export const RAIRA_O_S_3_EX1: TCardId = '12-raira-o-s-3-ex1';</x:v>
      </x:c>
      <x:c r="AV202" t="str">
        <x:f>IF($A203&lt;&gt;"", "    | '"&amp;$A203&amp;"'", "")</x:f>
        <x:v>    | '12-raira-o-s-3-ex2'</x:v>
      </x:c>
    </x:row>
    <x:row r="203" ht="68" customHeight="1">
      <x:c r="A203" t="str">
        <x:v>12-raira-o-s-3-ex2</x:v>
      </x:c>
      <x:c r="B203" t="str">
        <x:v>raira</x:v>
      </x:c>
      <x:c r="C203"/>
      <x:c r="D203"/>
      <x:c r="E203" t="str">
        <x:v>風魔纏廻</x:v>
      </x:c>
      <x:c r="F203" t="str">
        <x:v>ふうまてんかい</x:v>
      </x:c>
      <x:c r="G203" t="str">
        <x:v>风魔缠回</x:v>
      </x:c>
      <x:c r="H203" t="str">
        <x:v>风魔缠回</x:v>
      </x:c>
      <x:c r="I203"/>
      <x:c r="J203" t="str">
        <x:v>풍마전회</x:v>
      </x:c>
      <x:c r="K203" t="str">
        <x:v>Windbeast Reincarnation</x:v>
      </x:c>
      <x:c r="L203"/>
      <x:c r="M203" t="str">
        <x:v>切札</x:v>
      </x:c>
      <x:c r="N203" t="str">
        <x:v>○</x:v>
      </x:c>
      <x:c r="O203" t="str">
        <x:v>12-raira-o-s-3</x:v>
      </x:c>
      <x:c r="P203"/>
      <x:c r="Q203"/>
      <x:c r="R203" t="str">
        <x:v>行動</x:v>
      </x:c>
      <x:c r="S203"/>
      <x:c r="T203"/>
      <x:c r="U203"/>
      <x:c r="V203"/>
      <x:c r="W203"/>
      <x:c r="X203"/>
      <x:c r="Y203"/>
      <x:c r="Z203" t="n">
        <x:v>1</x:v>
      </x:c>
      <x:c r="AA203"/>
      <x:c r="AB203"/>
      <x:c r="AC203"/>
      <x:c r="AD203"/>
      <x:c r="AE203" s="438" t="str">
        <x:v>あなたの使用済の切札を1枚選び、それを未使用に戻す。
【使用済】あなたの切札の消費は1少なくなる。（0未満にはならない）</x:v>
      </x:c>
      <x:c r="AF203" s="438"/>
      <x:c r="AG203" s="499" t="str">
        <x:v>将你的1张处于已使用状态的王牌变为未使用状态。
【已使用】你的王牌的费用减小1（王牌的费用不会为负）。</x:v>
      </x:c>
      <x:c r="AH203" s="438"/>
      <x:c r="AI203" s="499" t="str">
        <x:v>将你的一张正面朝上的王牌翻面。【已使用】你的王牌的费用减小1（王牌的费用不会为负）。</x:v>
      </x:c>
      <x:c r="AJ203" s="438"/>
      <x:c r="AK203" s="499" t="str">
        <x:v>당신의 사용완료 비장패를 1장 골라, 그것을 미사용으로 되돌린다.
 【사용완료】당신의 비장패의 소비는 1 적게 된다.(0 미만으로는 되지 않는다).</x:v>
      </x:c>
      <x:c r="AL203" s="438"/>
      <x:c r="AM203" s="499" t="str">
        <x:v>Turn one of your Devoted Special cards face-down.
Devoted: Your Special cards cost 1 less Flare (to a minimum of 0).</x:v>
      </x:c>
      <x:c r="AN203" s="438"/>
      <x:c r="AO203" s="438"/>
      <x:c r="AP203" s="438"/>
      <x:c r="AQ203" s="438"/>
      <x:c r="AR203" s="438"/>
      <x:c r="AS203" s="438"/>
      <x:c r="AT203" t="str">
        <x:f>IF(A203="", "","'"&amp;A203&amp;"': {megami: '"&amp;B203&amp;"'"&amp;IF(C203&lt;&gt;"",", anotherID: '"&amp;C203&amp;"', replace: '"&amp;D203&amp;"'","")&amp;", name: '"&amp;SUBSTITUTE(E203,"'","\'")&amp;"', nameEn: '"&amp;SUBSTITUTE(K203,"'","\'")&amp;"', nameZh: '"&amp;SUBSTITUTE(G203,"'","\'")&amp;"', nameZhG202: '"&amp;SUBSTITUTE(H203,"'","\'")&amp;"', nameKo: '"&amp;SUBSTITUTE(J203,"'","\'")&amp;"', ruby: '"&amp;F203&amp;"', rubyEn: '"&amp;L203&amp;IF(I203&lt;&gt;"", "', rubyZh: '"&amp;I203, "")&amp;"', baseType: '"&amp;IF(M203="通常札","normal",IF(M203="切札","special",IF(M203="追加札","extra",IF(M203="transform","transform",IF(M203="嵐","storm",IF(M203="兵員","troop",IF(M203="構想","plan",IF(M203="メインパーツ","mainParts",IF(M203="カスタムパーツ","customParts",IF(M203="運命","fate",IF(M203="仮想樹","virtualTree","")))))))))))&amp;"'"&amp;IF(N203="○",", extra: true","")&amp;IF(O203&lt;&gt;"",", extraFrom: '"&amp;O203&amp;"'","")&amp;IF(P203&lt;&gt;"",", exchangableTo: '"&amp;P203&amp;"'","")&amp;IF(Q203="○",", poison: true","")&amp;IF(R203&lt;&gt;"", ", type: '"&amp;IF(R203="攻撃","attack",IF(R203="行動","action",IF(R203="不定","variable",IF(R203="対応","reaction",IF(R203="全力","fullpower",IF(R203="付与","enhance",IF(R203="transform","transform","")))))))&amp;"'", "")&amp;IF(S203&lt;&gt;"",", subType: '"&amp;IF(S203="攻撃","attack",IF(S203="行動","action",IF(S203="不定","variable",IF(S203="対応","reaction",IF(S203="全力","fullpower",IF(S203="付与","enhance",IF(S203="transform","transform","")))))))&amp;"'","")&amp;""&amp;IF(T203&lt;&gt;"",", range: '"&amp;T203&amp;"'","")&amp;IF(V203&lt;&gt;"",", damage: '"&amp;V203&amp;"'","")&amp;IF(X203&lt;&gt;"",", capacity: '"&amp;X203&amp;"'","")&amp;IF(Y203&lt;&gt;"",", growth: "&amp;Y203&amp;"","")&amp;IF(Z203&lt;&gt;"",", cost: '"&amp;Z203&amp;"'","")&amp;", text: '"&amp;SUBSTITUTE(SUBSTITUTE(AE203, CHAR(13), ""),CHAR(10),"\n")&amp;IF(AF203&lt;&gt;"", "', textAdditional: '"&amp;SUBSTITUTE(SUBSTITUTE(AF203, CHAR(13), ""),CHAR(10),"\n"), "")&amp;"', textZh: '"&amp;SUBSTITUTE(SUBSTITUTE(SUBSTITUTE(AG203, CHAR(13), ""),CHAR(10),"\n"),"'","\'")&amp;"', textZhG202: '"&amp;SUBSTITUTE(SUBSTITUTE(SUBSTITUTE(AI203, CHAR(13), ""),CHAR(10),"\n"),"'","\'")&amp;IF(AH203&lt;&gt;"", "', textZhAdditional: '"&amp;SUBSTITUTE(SUBSTITUTE(AH203, CHAR(13), ""),CHAR(10),"\n"), "")&amp;IF(AK203&lt;&gt;"", "', textZhG202Additional: '"&amp;SUBSTITUTE(SUBSTITUTE(AK203, CHAR(13), ""),CHAR(10),"\n"), "")&amp;"', textKo: '"&amp;SUBSTITUTE(SUBSTITUTE(SUBSTITUTE(AM203, CHAR(13), ""),CHAR(10),"\n"),"'","\'")&amp;IF(AM203&lt;&gt;"", "', textKoAdditional: '"&amp;SUBSTITUTE(SUBSTITUTE(AM203, CHAR(13), ""),CHAR(10),"\n"), "")&amp;"', textEn: '"&amp;SUBSTITUTE(SUBSTITUTE(SUBSTITUTE(AM203, CHAR(13), ""),CHAR(10),"\n"),"'","\'")&amp;IF(AN203&lt;&gt;"", "', textEnAdditional: '"&amp;SUBSTITUTE(SUBSTITUTE(AN203, CHAR(13), ""),CHAR(10),"\n"), "")&amp;"'"&amp;IF(AB203="○",", sealable: true","")&amp;IF(AC203="○",", removable: true","")&amp;IF(AA203="○",", lie: true","")&amp;IF(AD203="○",", investable: true","")&amp;"},")</x:f>
        <x:v>'12-raira-o-s-3-ex2': {megami: 'raira', name: '風魔纏廻', nameEn: 'Windbeast Reincarnation', nameZh: '风魔缠回', nameZhG202: '风魔缠回', nameKo: '풍마전회', ruby: 'ふうまてんかい', rubyEn: '', baseType: 'special', extra: true, extraFrom: '12-raira-o-s-3', type: 'action', cost: '1', text: 'あなたの使用済の切札を1枚選び、それを未使用に戻す。\n【使用済】あなたの切札の消費は1少なくなる。（0未満にはならない）', textZh: '将你的1张处于已使用状态的王牌变为未使用状态。\n【已使用】你的王牌的费用减小1（王牌的费用不会为负）。', textZhG202: '将你的一张正面朝上的王牌翻面。【已使用】你的王牌的费用减小1（王牌的费用不会为负）。', textZhG202Additional: '당신의 사용완료 비장패를 1장 골라, 그것을 미사용으로 되돌린다.\n 【사용완료】당신의 비장패의 소비는 1 적게 된다.(0 미만으로는 되지 않는다).', textKo: 'Turn one of your Devoted Special cards face-down.\n\nDevoted: Your Special cards cost 1 less Flare (to a minimum of 0).', textKoAdditional: 'Turn one of your Devoted Special cards face-down.\n\nDevoted: Your Special cards cost 1 less Flare (to a minimum of 0).', textEn: 'Turn one of your Devoted Special cards face-down.\n\nDevoted: Your Special cards cost 1 less Flare (to a minimum of 0).'},</x:v>
      </x:c>
      <x:c r="AU203" t="str">
        <x:f>IF($A203&lt;&gt;"", "    /** 《"&amp;$E203&amp;"》 */ export const "&amp;SUBSTITUTE(UPPER(IF(MID($A203, 3, 1)="-", RIGHT($A203,LEN($A203)-3), $A203)), "-", "_")&amp;": TCardId = '"&amp;$A203&amp;"';", "")</x:f>
        <x:v>    /** 《風魔纏廻》 */ export const RAIRA_O_S_3_EX2: TCardId = '12-raira-o-s-3-ex2';</x:v>
      </x:c>
      <x:c r="AV203" t="str">
        <x:f>IF($A204&lt;&gt;"", "    | '"&amp;$A204&amp;"'", "")</x:f>
        <x:v>    | '12-raira-o-s-3-ex3'</x:v>
      </x:c>
    </x:row>
    <x:row r="204" ht="83" customHeight="1">
      <x:c r="A204" t="str">
        <x:v>12-raira-o-s-3-ex3</x:v>
      </x:c>
      <x:c r="B204" t="str">
        <x:v>raira</x:v>
      </x:c>
      <x:c r="C204"/>
      <x:c r="D204"/>
      <x:c r="E204" t="str">
        <x:v>風魔天狗道</x:v>
      </x:c>
      <x:c r="F204" t="str">
        <x:v>ふうまてんぐどう</x:v>
      </x:c>
      <x:c r="G204" t="str">
        <x:v>风魔天狗道</x:v>
      </x:c>
      <x:c r="H204" t="str">
        <x:v>风魔天狗道</x:v>
      </x:c>
      <x:c r="I204"/>
      <x:c r="J204" t="str">
        <x:v>풍마천구도</x:v>
      </x:c>
      <x:c r="K204" t="str">
        <x:v>Windbeast Perdition</x:v>
      </x:c>
      <x:c r="L204"/>
      <x:c r="M204" t="str">
        <x:v>切札</x:v>
      </x:c>
      <x:c r="N204" t="str">
        <x:v>○</x:v>
      </x:c>
      <x:c r="O204" t="str">
        <x:v>12-raira-o-s-3</x:v>
      </x:c>
      <x:c r="P204"/>
      <x:c r="Q204"/>
      <x:c r="R204" t="str">
        <x:v>行動</x:v>
      </x:c>
      <x:c r="S204" t="str">
        <x:v>対応</x:v>
      </x:c>
      <x:c r="T204"/>
      <x:c r="U204"/>
      <x:c r="V204"/>
      <x:c r="W204"/>
      <x:c r="X204"/>
      <x:c r="Y204"/>
      <x:c r="Z204" t="n">
        <x:v>4</x:v>
      </x:c>
      <x:c r="AA204"/>
      <x:c r="AB204"/>
      <x:c r="AC204" t="str">
        <x:v>○</x:v>
      </x:c>
      <x:c r="AD204"/>
      <x:c r="AE204" s="438" t="str">
        <x:v>間合⇔ダスト：5
あなたはこの効果で本来よりも少ない個数の桜花結晶を動かしてもよい。
その後、このカードを取り除く。</x:v>
      </x:c>
      <x:c r="AF204" s="438"/>
      <x:c r="AG204" s="499" t="str">
        <x:v>距↔5↔虚
结算上述效果时，你可以选择移动少于5个樱花结晶。
之后，将此牌移出游戏。</x:v>
      </x:c>
      <x:c r="AH204" s="438"/>
      <x:c r="AI204" s="499" t="str">
        <x:v>距(5)⇔ 虚
结算上述效果时，你可以选择移动少于5个樱花结晶。
将此牌移出游戏。</x:v>
      </x:c>
      <x:c r="AJ204" s="438"/>
      <x:c r="AK204" s="499" t="str">
        <x:v>더스트⇔간격：5 
 당신은 이 효과로 원래보다 적은 갯수의 벚꽃 결정을 움직여도 좋다.그 후, 이 카드는 제외된다.</x:v>
      </x:c>
      <x:c r="AL204" s="438"/>
      <x:c r="AM204" s="499" t="str">
        <x:v>Distance (5)⇔ Shadow
You may choose to move fewer than 5 Sakura tokens with this effect.
Remove this card from the game.</x:v>
      </x:c>
      <x:c r="AN204" s="438"/>
      <x:c r="AO204" s="438"/>
      <x:c r="AP204" s="438"/>
      <x:c r="AQ204" s="438"/>
      <x:c r="AR204" s="438"/>
      <x:c r="AS204" s="438"/>
      <x:c r="AT204" t="str">
        <x:f>IF(A204="", "","'"&amp;A204&amp;"': {megami: '"&amp;B204&amp;"'"&amp;IF(C204&lt;&gt;"",", anotherID: '"&amp;C204&amp;"', replace: '"&amp;D204&amp;"'","")&amp;", name: '"&amp;SUBSTITUTE(E204,"'","\'")&amp;"', nameEn: '"&amp;SUBSTITUTE(K204,"'","\'")&amp;"', nameZh: '"&amp;SUBSTITUTE(G204,"'","\'")&amp;"', nameZhG203: '"&amp;SUBSTITUTE(H204,"'","\'")&amp;"', nameKo: '"&amp;SUBSTITUTE(J204,"'","\'")&amp;"', ruby: '"&amp;F204&amp;"', rubyEn: '"&amp;L204&amp;IF(I204&lt;&gt;"", "', rubyZh: '"&amp;I204, "")&amp;"', baseType: '"&amp;IF(M204="通常札","normal",IF(M204="切札","special",IF(M204="追加札","extra",IF(M204="transform","transform",IF(M204="嵐","storm",IF(M204="兵員","troop",IF(M204="構想","plan",IF(M204="メインパーツ","mainParts",IF(M204="カスタムパーツ","customParts",IF(M204="運命","fate",IF(M204="仮想樹","virtualTree","")))))))))))&amp;"'"&amp;IF(N204="○",", extra: true","")&amp;IF(O204&lt;&gt;"",", extraFrom: '"&amp;O204&amp;"'","")&amp;IF(P204&lt;&gt;"",", exchangableTo: '"&amp;P204&amp;"'","")&amp;IF(Q204="○",", poison: true","")&amp;IF(R204&lt;&gt;"", ", type: '"&amp;IF(R204="攻撃","attack",IF(R204="行動","action",IF(R204="不定","variable",IF(R204="対応","reaction",IF(R204="全力","fullpower",IF(R204="付与","enhance",IF(R204="transform","transform","")))))))&amp;"'", "")&amp;IF(S204&lt;&gt;"",", subType: '"&amp;IF(S204="攻撃","attack",IF(S204="行動","action",IF(S204="不定","variable",IF(S204="対応","reaction",IF(S204="全力","fullpower",IF(S204="付与","enhance",IF(S204="transform","transform","")))))))&amp;"'","")&amp;""&amp;IF(T204&lt;&gt;"",", range: '"&amp;T204&amp;"'","")&amp;IF(V204&lt;&gt;"",", damage: '"&amp;V204&amp;"'","")&amp;IF(X204&lt;&gt;"",", capacity: '"&amp;X204&amp;"'","")&amp;IF(Y204&lt;&gt;"",", growth: "&amp;Y204&amp;"","")&amp;IF(Z204&lt;&gt;"",", cost: '"&amp;Z204&amp;"'","")&amp;", text: '"&amp;SUBSTITUTE(SUBSTITUTE(AE204, CHAR(13), ""),CHAR(10),"\n")&amp;IF(AF204&lt;&gt;"", "', textAdditional: '"&amp;SUBSTITUTE(SUBSTITUTE(AF204, CHAR(13), ""),CHAR(10),"\n"), "")&amp;"', textZh: '"&amp;SUBSTITUTE(SUBSTITUTE(SUBSTITUTE(AG204, CHAR(13), ""),CHAR(10),"\n"),"'","\'")&amp;"', textZhG203: '"&amp;SUBSTITUTE(SUBSTITUTE(SUBSTITUTE(AI204, CHAR(13), ""),CHAR(10),"\n"),"'","\'")&amp;IF(AH204&lt;&gt;"", "', textZhAdditional: '"&amp;SUBSTITUTE(SUBSTITUTE(AH204, CHAR(13), ""),CHAR(10),"\n"), "")&amp;IF(AK204&lt;&gt;"", "', textZhG203Additional: '"&amp;SUBSTITUTE(SUBSTITUTE(AK204, CHAR(13), ""),CHAR(10),"\n"), "")&amp;"', textKo: '"&amp;SUBSTITUTE(SUBSTITUTE(SUBSTITUTE(AM204, CHAR(13), ""),CHAR(10),"\n"),"'","\'")&amp;IF(AM204&lt;&gt;"", "', textKoAdditional: '"&amp;SUBSTITUTE(SUBSTITUTE(AM204, CHAR(13), ""),CHAR(10),"\n"), "")&amp;"', textEn: '"&amp;SUBSTITUTE(SUBSTITUTE(SUBSTITUTE(AM204, CHAR(13), ""),CHAR(10),"\n"),"'","\'")&amp;IF(AN204&lt;&gt;"", "', textEnAdditional: '"&amp;SUBSTITUTE(SUBSTITUTE(AN204, CHAR(13), ""),CHAR(10),"\n"), "")&amp;"'"&amp;IF(AB204="○",", sealable: true","")&amp;IF(AC204="○",", removable: true","")&amp;IF(AA204="○",", lie: true","")&amp;IF(AD204="○",", investable: true","")&amp;"},")</x:f>
        <x:v>'12-raira-o-s-3-ex3': {megami: 'raira', name: '風魔天狗道', nameEn: 'Windbeast Perdition', nameZh: '风魔天狗道', nameZhG203: '风魔天狗道', nameKo: '풍마천구도', ruby: 'ふうまてんぐどう', rubyEn: '', baseType: 'special', extra: true, extraFrom: '12-raira-o-s-3', type: 'action', subType: 'reaction', cost: '4', text: '間合⇔ダスト：5\nあなたはこの効果で本来よりも少ない個数の桜花結晶を動かしてもよい。\nその後、このカードを取り除く。', textZh: '距↔5↔虚\n结算上述效果时，你可以选择移动少于5个樱花结晶。\n之后，将此牌移出游戏。', textZhG203: '距(5)⇔ 虚\n结算上述效果时，你可以选择移动少于5个樱花结晶。\n将此牌移出游戏。', textZhG203Additional: '더스트⇔간격：5 \n 당신은 이 효과로 원래보다 적은 갯수의 벚꽃 결정을 움직여도 좋다.그 후, 이 카드는 제외된다.', textKo: 'Distance (5)⇔ Shadow\nYou may choose to move fewer than 5 Sakura tokens with this effect.\n\nRemove this card from the game.', textKoAdditional: 'Distance (5)⇔ Shadow\nYou may choose to move fewer than 5 Sakura tokens with this effect.\n\nRemove this card from the game.', textEn: 'Distance (5)⇔ Shadow\nYou may choose to move fewer than 5 Sakura tokens with this effect.\n\nRemove this card from the game.', removable: true},</x:v>
      </x:c>
      <x:c r="AU204" t="str">
        <x:f>IF($A204&lt;&gt;"", "    /** 《"&amp;$E204&amp;"》 */ export const "&amp;SUBSTITUTE(UPPER(IF(MID($A204, 3, 1)="-", RIGHT($A204,LEN($A204)-3), $A204)), "-", "_")&amp;": TCardId = '"&amp;$A204&amp;"';", "")</x:f>
        <x:v>    /** 《風魔天狗道》 */ export const RAIRA_O_S_3_EX3: TCardId = '12-raira-o-s-3-ex3';</x:v>
      </x:c>
      <x:c r="AV204" t="str">
        <x:f>IF($A205&lt;&gt;"", "    | '"&amp;$A205&amp;"'", "")</x:f>
        <x:v>    | '12-raira-A1-n-2'</x:v>
      </x:c>
    </x:row>
    <x:row r="205" ht="30" customHeight="1">
      <x:c r="A205" t="str">
        <x:v>12-raira-A1-n-2</x:v>
      </x:c>
      <x:c r="B205" t="str">
        <x:v>raira</x:v>
      </x:c>
      <x:c r="C205" t="str">
        <x:v>A1</x:v>
      </x:c>
      <x:c r="D205" t="str">
        <x:v>12-raira-o-n-2</x:v>
      </x:c>
      <x:c r="E205" t="str">
        <x:v>暴風</x:v>
      </x:c>
      <x:c r="F205" t="str">
        <x:v>ぼうふう</x:v>
      </x:c>
      <x:c r="G205" t="str">
        <x:v>暴风</x:v>
      </x:c>
      <x:c r="H205" t="str">
        <x:v>暴风</x:v>
      </x:c>
      <x:c r="I205"/>
      <x:c r="J205" t="str">
        <x:v>폭풍</x:v>
      </x:c>
      <x:c r="K205" t="str">
        <x:v>Gale Winds</x:v>
      </x:c>
      <x:c r="L205"/>
      <x:c r="M205" t="str">
        <x:v>通常札</x:v>
      </x:c>
      <x:c r="N205"/>
      <x:c r="O205"/>
      <x:c r="P205"/>
      <x:c r="Q205"/>
      <x:c r="R205" t="str">
        <x:v>攻撃</x:v>
      </x:c>
      <x:c r="S205"/>
      <x:c r="T205" t="str">
        <x:v>2-3</x:v>
      </x:c>
      <x:c r="U205"/>
      <x:c r="V205" t="str">
        <x:v>2/1</x:v>
      </x:c>
      <x:c r="W205"/>
      <x:c r="X205"/>
      <x:c r="Y205"/>
      <x:c r="Z205"/>
      <x:c r="AA205"/>
      <x:c r="AB205"/>
      <x:c r="AC205"/>
      <x:c r="AD205"/>
      <x:c r="AE205" s="438" t="str">
        <x:v>【攻撃後】嵐の力を1回使用してもよい。</x:v>
      </x:c>
      <x:c r="AF205" s="438"/>
      <x:c r="AG205" s="499" t="str">
        <x:v>【攻击后】你可以使用1次风暴之力。</x:v>
      </x:c>
      <x:c r="AH205" s="438"/>
      <x:c r="AI205" s="499" t="str">
        <x:v>【攻击后】你可以使用1次岚之力。</x:v>
      </x:c>
      <x:c r="AJ205" s="438"/>
      <x:c r="AK205" s="499" t="str">
        <x:v>【공격후】폭풍의 힘을 1번 사용해도 좋다.</x:v>
      </x:c>
      <x:c r="AL205" s="438"/>
      <x:c r="AM205" s="499" t="str">
        <x:v>After Attack: You may harness the storm once.</x:v>
      </x:c>
      <x:c r="AN205" s="438"/>
      <x:c r="AO205" s="438"/>
      <x:c r="AP205" s="438"/>
      <x:c r="AQ205" s="438"/>
      <x:c r="AR205" s="438"/>
      <x:c r="AS205" s="438"/>
      <x:c r="AT205" t="str">
        <x:f>IF(A205="", "","'"&amp;A205&amp;"': {megami: '"&amp;B205&amp;"'"&amp;IF(C205&lt;&gt;"",", anotherID: '"&amp;C205&amp;"', replace: '"&amp;D205&amp;"'","")&amp;", name: '"&amp;SUBSTITUTE(E205,"'","\'")&amp;"', nameEn: '"&amp;SUBSTITUTE(K205,"'","\'")&amp;"', nameZh: '"&amp;SUBSTITUTE(G205,"'","\'")&amp;"', nameZhG204: '"&amp;SUBSTITUTE(H205,"'","\'")&amp;"', nameKo: '"&amp;SUBSTITUTE(J205,"'","\'")&amp;"', ruby: '"&amp;F205&amp;"', rubyEn: '"&amp;L205&amp;IF(I205&lt;&gt;"", "', rubyZh: '"&amp;I205, "")&amp;"', baseType: '"&amp;IF(M205="通常札","normal",IF(M205="切札","special",IF(M205="追加札","extra",IF(M205="transform","transform",IF(M205="嵐","storm",IF(M205="兵員","troop",IF(M205="構想","plan",IF(M205="メインパーツ","mainParts",IF(M205="カスタムパーツ","customParts",IF(M205="運命","fate",IF(M205="仮想樹","virtualTree","")))))))))))&amp;"'"&amp;IF(N205="○",", extra: true","")&amp;IF(O205&lt;&gt;"",", extraFrom: '"&amp;O205&amp;"'","")&amp;IF(P205&lt;&gt;"",", exchangableTo: '"&amp;P205&amp;"'","")&amp;IF(Q205="○",", poison: true","")&amp;IF(R205&lt;&gt;"", ", type: '"&amp;IF(R205="攻撃","attack",IF(R205="行動","action",IF(R205="不定","variable",IF(R205="対応","reaction",IF(R205="全力","fullpower",IF(R205="付与","enhance",IF(R205="transform","transform","")))))))&amp;"'", "")&amp;IF(S205&lt;&gt;"",", subType: '"&amp;IF(S205="攻撃","attack",IF(S205="行動","action",IF(S205="不定","variable",IF(S205="対応","reaction",IF(S205="全力","fullpower",IF(S205="付与","enhance",IF(S205="transform","transform","")))))))&amp;"'","")&amp;""&amp;IF(T205&lt;&gt;"",", range: '"&amp;T205&amp;"'","")&amp;IF(V205&lt;&gt;"",", damage: '"&amp;V205&amp;"'","")&amp;IF(X205&lt;&gt;"",", capacity: '"&amp;X205&amp;"'","")&amp;IF(Y205&lt;&gt;"",", growth: "&amp;Y205&amp;"","")&amp;IF(Z205&lt;&gt;"",", cost: '"&amp;Z205&amp;"'","")&amp;", text: '"&amp;SUBSTITUTE(SUBSTITUTE(AE205, CHAR(13), ""),CHAR(10),"\n")&amp;IF(AF205&lt;&gt;"", "', textAdditional: '"&amp;SUBSTITUTE(SUBSTITUTE(AF205, CHAR(13), ""),CHAR(10),"\n"), "")&amp;"', textZh: '"&amp;SUBSTITUTE(SUBSTITUTE(SUBSTITUTE(AG205, CHAR(13), ""),CHAR(10),"\n"),"'","\'")&amp;"', textZhG204: '"&amp;SUBSTITUTE(SUBSTITUTE(SUBSTITUTE(AI205, CHAR(13), ""),CHAR(10),"\n"),"'","\'")&amp;IF(AH205&lt;&gt;"", "', textZhAdditional: '"&amp;SUBSTITUTE(SUBSTITUTE(AH205, CHAR(13), ""),CHAR(10),"\n"), "")&amp;IF(AK205&lt;&gt;"", "', textZhG204Additional: '"&amp;SUBSTITUTE(SUBSTITUTE(AK205, CHAR(13), ""),CHAR(10),"\n"), "")&amp;"', textKo: '"&amp;SUBSTITUTE(SUBSTITUTE(SUBSTITUTE(AM205, CHAR(13), ""),CHAR(10),"\n"),"'","\'")&amp;IF(AM205&lt;&gt;"", "', textKoAdditional: '"&amp;SUBSTITUTE(SUBSTITUTE(AM205, CHAR(13), ""),CHAR(10),"\n"), "")&amp;"', textEn: '"&amp;SUBSTITUTE(SUBSTITUTE(SUBSTITUTE(AM205, CHAR(13), ""),CHAR(10),"\n"),"'","\'")&amp;IF(AN205&lt;&gt;"", "', textEnAdditional: '"&amp;SUBSTITUTE(SUBSTITUTE(AN205, CHAR(13), ""),CHAR(10),"\n"), "")&amp;"'"&amp;IF(AB205="○",", sealable: true","")&amp;IF(AC205="○",", removable: true","")&amp;IF(AA205="○",", lie: true","")&amp;IF(AD205="○",", investable: true","")&amp;"},")</x:f>
        <x:v>'12-raira-A1-n-2': {megami: 'raira', anotherID: 'A1', replace: '12-raira-o-n-2', name: '暴風', nameEn: 'Gale Winds', nameZh: '暴风', nameZhG204: '暴风', nameKo: '폭풍', ruby: 'ぼうふう', rubyEn: '', baseType: 'normal', type: 'attack', range: '2-3', damage: '2/1', text: '【攻撃後】嵐の力を1回使用してもよい。', textZh: '【攻击后】你可以使用1次风暴之力。', textZhG204: '【攻击后】你可以使用1次岚之力。', textZhG204Additional: '【공격후】폭풍의 힘을 1번 사용해도 좋다.', textKo: 'After Attack: You may harness the storm once.', textKoAdditional: 'After Attack: You may harness the storm once.', textEn: 'After Attack: You may harness the storm once.'},</x:v>
      </x:c>
      <x:c r="AU205" t="str">
        <x:f>IF($A205&lt;&gt;"", "    /** 《"&amp;$E205&amp;"》 */ export const "&amp;SUBSTITUTE(UPPER(IF(MID($A205, 3, 1)="-", RIGHT($A205,LEN($A205)-3), $A205)), "-", "_")&amp;": TCardId = '"&amp;$A205&amp;"';", "")</x:f>
        <x:v>    /** 《暴風》 */ export const RAIRA_A1_N_2: TCardId = '12-raira-A1-n-2';</x:v>
      </x:c>
      <x:c r="AV205" t="str">
        <x:f>IF($A206&lt;&gt;"", "    | '"&amp;$A206&amp;"'", "")</x:f>
        <x:v>    | '12-raira-A1-n-6'</x:v>
      </x:c>
    </x:row>
    <x:row r="206" ht="158" customHeight="1">
      <x:c r="A206" t="str">
        <x:v>12-raira-A1-n-6</x:v>
      </x:c>
      <x:c r="B206" t="str">
        <x:v>raira</x:v>
      </x:c>
      <x:c r="C206" t="str">
        <x:v>A1</x:v>
      </x:c>
      <x:c r="D206" t="str">
        <x:v>12-raira-o-n-6</x:v>
      </x:c>
      <x:c r="E206" t="str">
        <x:v>大嵐</x:v>
      </x:c>
      <x:c r="F206" t="str">
        <x:v>おおあらし</x:v>
      </x:c>
      <x:c r="G206" t="str">
        <x:v>大风暴</x:v>
      </x:c>
      <x:c r="H206" t="str">
        <x:v>大风暴</x:v>
      </x:c>
      <x:c r="I206"/>
      <x:c r="J206" t="str">
        <x:v>대폭풍우</x:v>
      </x:c>
      <x:c r="K206" t="str">
        <x:v>Tempest</x:v>
      </x:c>
      <x:c r="L206"/>
      <x:c r="M206" t="str">
        <x:v>通常札</x:v>
      </x:c>
      <x:c r="N206"/>
      <x:c r="O206"/>
      <x:c r="P206"/>
      <x:c r="Q206"/>
      <x:c r="R206" t="str">
        <x:v>付与</x:v>
      </x:c>
      <x:c r="S206" t="str">
        <x:v>全力</x:v>
      </x:c>
      <x:c r="T206"/>
      <x:c r="U206"/>
      <x:c r="V206"/>
      <x:c r="W206"/>
      <x:c r="X206" t="n">
        <x:v>0</x:v>
      </x:c>
      <x:c r="Y206"/>
      <x:c r="Z206"/>
      <x:c r="AA206"/>
      <x:c r="AB206"/>
      <x:c r="AC206"/>
      <x:c r="AD206"/>
      <x:c r="AE206" s="438" t="str">
        <x:v>【展開中】以下を3回選ぶ。同じものを複数回選んでもよい。
・風神ゲージか雷神ゲージを1上げる。
・このカードの上にダストから桜花結晶を1つ置く。
【展開中】あなたと相手の終了フェイズに攻撃『適正距離0-4、1/1 、対応不可』を行う。
【展開中】各ターンにおける相手の最初の《攻撃》は+0/-1となる。</x:v>
      </x:c>
      <x:c r="AF206" s="438"/>
      <x:c r="AG206" s="499" t="str">
        <x:v>【展开时】选择以下选项3次，且同样的选项可以重复选择：
●选择风神槽或雷神槽，其值增加1。
●从虚中把1个樱花结晶移至此牌上。
【展开中】在你和对手的结束阶段，进行一次“攻击距离0-4 伤害1/1 不可被对应”的攻击。
【展开中】每个回合里对手的第一次《攻击》得+0/-1。</x:v>
      </x:c>
      <x:c r="AH206" s="438"/>
      <x:c r="AI206" s="499" t="str">
        <x:v>【展开时】选择3次。你可以多次选择同一个选项。
1.选择风神槽或雷神槽，其值增加1；
2..将1个樱花结晶从虚移至此牌上。
【展开中】每当你和对手的结束阶段开始时，进行一次“攻击距离0-4 伤害1/1 不可被对应”的攻击。
【展开中】每回合内对手进行的第一次《攻击》获得+0/-1。</x:v>
      </x:c>
      <x:c r="AJ206" s="438"/>
      <x:c r="AK206" s="499" t="str">
        <x:v>【전개시】아래를 3번 고른다. 같은 것을 여러 선택해도 좋다.
・풍신 게이지 또는 뇌신 게이지를 1올린다.
・이 카드 위에 더스트에서 벚꽃 결정을 1개 올린다.
【전개중】당신과 상대의 종료 페이즈에 공격 『적정 거리0-4, 1/1, 대응불가』를 한다.\
【전개중】각 턴마다 상대의 최초의 《공격》은 +0/-1된다.</x:v>
      </x:c>
      <x:c r="AL206" s="438"/>
      <x:c r="AM206" s="499" t="str">
        <x:v>Initialize: Choose three. You may choose the same option more than once:
・Increase your Wind or Thunder Gauge by 1.
・Move a Sakura token from Shadow to this card.
Ongoing: At the end of each turn, you attack with "Range: 0-4, Damage: 1/1, No Reactions".
Ongoing: The first attack your opponent makes each turn gets +0/-1.</x:v>
      </x:c>
      <x:c r="AN206" s="438"/>
      <x:c r="AO206" s="438"/>
      <x:c r="AP206" s="438"/>
      <x:c r="AQ206" s="438"/>
      <x:c r="AR206" s="438"/>
      <x:c r="AS206" s="438"/>
      <x:c r="AT206" t="str">
        <x:f>IF(A206="", "","'"&amp;A206&amp;"': {megami: '"&amp;B206&amp;"'"&amp;IF(C206&lt;&gt;"",", anotherID: '"&amp;C206&amp;"', replace: '"&amp;D206&amp;"'","")&amp;", name: '"&amp;SUBSTITUTE(E206,"'","\'")&amp;"', nameEn: '"&amp;SUBSTITUTE(K206,"'","\'")&amp;"', nameZh: '"&amp;SUBSTITUTE(G206,"'","\'")&amp;"', nameZhG205: '"&amp;SUBSTITUTE(H206,"'","\'")&amp;"', nameKo: '"&amp;SUBSTITUTE(J206,"'","\'")&amp;"', ruby: '"&amp;F206&amp;"', rubyEn: '"&amp;L206&amp;IF(I206&lt;&gt;"", "', rubyZh: '"&amp;I206, "")&amp;"', baseType: '"&amp;IF(M206="通常札","normal",IF(M206="切札","special",IF(M206="追加札","extra",IF(M206="transform","transform",IF(M206="嵐","storm",IF(M206="兵員","troop",IF(M206="構想","plan",IF(M206="メインパーツ","mainParts",IF(M206="カスタムパーツ","customParts",IF(M206="運命","fate",IF(M206="仮想樹","virtualTree","")))))))))))&amp;"'"&amp;IF(N206="○",", extra: true","")&amp;IF(O206&lt;&gt;"",", extraFrom: '"&amp;O206&amp;"'","")&amp;IF(P206&lt;&gt;"",", exchangableTo: '"&amp;P206&amp;"'","")&amp;IF(Q206="○",", poison: true","")&amp;IF(R206&lt;&gt;"", ", type: '"&amp;IF(R206="攻撃","attack",IF(R206="行動","action",IF(R206="不定","variable",IF(R206="対応","reaction",IF(R206="全力","fullpower",IF(R206="付与","enhance",IF(R206="transform","transform","")))))))&amp;"'", "")&amp;IF(S206&lt;&gt;"",", subType: '"&amp;IF(S206="攻撃","attack",IF(S206="行動","action",IF(S206="不定","variable",IF(S206="対応","reaction",IF(S206="全力","fullpower",IF(S206="付与","enhance",IF(S206="transform","transform","")))))))&amp;"'","")&amp;""&amp;IF(T206&lt;&gt;"",", range: '"&amp;T206&amp;"'","")&amp;IF(V206&lt;&gt;"",", damage: '"&amp;V206&amp;"'","")&amp;IF(X206&lt;&gt;"",", capacity: '"&amp;X206&amp;"'","")&amp;IF(Y206&lt;&gt;"",", growth: "&amp;Y206&amp;"","")&amp;IF(Z206&lt;&gt;"",", cost: '"&amp;Z206&amp;"'","")&amp;", text: '"&amp;SUBSTITUTE(SUBSTITUTE(AE206, CHAR(13), ""),CHAR(10),"\n")&amp;IF(AF206&lt;&gt;"", "', textAdditional: '"&amp;SUBSTITUTE(SUBSTITUTE(AF206, CHAR(13), ""),CHAR(10),"\n"), "")&amp;"', textZh: '"&amp;SUBSTITUTE(SUBSTITUTE(SUBSTITUTE(AG206, CHAR(13), ""),CHAR(10),"\n"),"'","\'")&amp;"', textZhG205: '"&amp;SUBSTITUTE(SUBSTITUTE(SUBSTITUTE(AI206, CHAR(13), ""),CHAR(10),"\n"),"'","\'")&amp;IF(AH206&lt;&gt;"", "', textZhAdditional: '"&amp;SUBSTITUTE(SUBSTITUTE(AH206, CHAR(13), ""),CHAR(10),"\n"), "")&amp;IF(AK206&lt;&gt;"", "', textZhG205Additional: '"&amp;SUBSTITUTE(SUBSTITUTE(AK206, CHAR(13), ""),CHAR(10),"\n"), "")&amp;"', textKo: '"&amp;SUBSTITUTE(SUBSTITUTE(SUBSTITUTE(AM206, CHAR(13), ""),CHAR(10),"\n"),"'","\'")&amp;IF(AM206&lt;&gt;"", "', textKoAdditional: '"&amp;SUBSTITUTE(SUBSTITUTE(AM206, CHAR(13), ""),CHAR(10),"\n"), "")&amp;"', textEn: '"&amp;SUBSTITUTE(SUBSTITUTE(SUBSTITUTE(AM206, CHAR(13), ""),CHAR(10),"\n"),"'","\'")&amp;IF(AN206&lt;&gt;"", "', textEnAdditional: '"&amp;SUBSTITUTE(SUBSTITUTE(AN206, CHAR(13), ""),CHAR(10),"\n"), "")&amp;"'"&amp;IF(AB206="○",", sealable: true","")&amp;IF(AC206="○",", removable: true","")&amp;IF(AA206="○",", lie: true","")&amp;IF(AD206="○",", investable: true","")&amp;"},")</x:f>
        <x:v>'12-raira-A1-n-6': {megami: 'raira', anotherID: 'A1', replace: '12-raira-o-n-6', name: '大嵐', nameEn: 'Tempest', nameZh: '大风暴', nameZhG205: '大风暴', nameKo: '대폭풍우', ruby: 'おおあらし', rubyEn: '', baseType: 'normal', type: 'enhance', subType: 'fullpower', text: '【展開中】以下を3回選ぶ。同じものを複数回選んでもよい。\n・風神ゲージか雷神ゲージを1上げる。\n・このカードの上にダストから桜花結晶を1つ置く。\n【展開中】あなたと相手の終了フェイズに攻撃『適正距離0-4、1/1 、対応不可』を行う。\n【展開中】各ターンにおける相手の最初の《攻撃》は+0/-1となる。', textZh: '【展开时】选择以下选项3次，且同样的选项可以重复选择：\n●选择风神槽或雷神槽，其值增加1。\n●从虚中把1个樱花结晶移至此牌上。\n【展开中】在你和对手的结束阶段，进行一次“攻击距离0-4 伤害1/1 不可被对应”的攻击。\n【展开中】每个回合里对手的第一次《攻击》得+0/-1。', textZhG205: '【展开时】选择3次。你可以多次选择同一个选项。\n1.选择风神槽或雷神槽，其值增加1；\n2..将1个樱花结晶从虚移至此牌上。\n【展开中】每当你和对手的结束阶段开始时，进行一次“攻击距离0-4 伤害1/1 不可被对应”的攻击。\n【展开中】每回合内对手进行的第一次《攻击》获得+0/-1。', textZhG205Additional: '【전개시】아래를 3번 고른다. 같은 것을 여러 선택해도 좋다.\n・풍신 게이지 또는 뇌신 게이지를 1올린다.\n・이 카드 위에 더스트에서 벚꽃 결정을 1개 올린다.\n【전개중】당신과 상대의 종료 페이즈에 공격 『적정 거리0-4, 1/1, 대응불가』를 한다.\\n【전개중】각 턴마다 상대의 최초의 《공격》은 +0/-1된다.', textKo: 'Initialize: Choose three. You may choose the same option more than once:\n・Increase your Wind or Thunder Gauge by 1.\n・Move a Sakura token from Shadow to this card.\n\nOngoing: At the end of each turn, you attack with "Range: 0-4, Damage: 1/1, No Reactions".\n\nOngoing: The first attack your opponent makes each turn gets +0/-1.', textKoAdditional: 'Initialize: Choose three. You may choose the same option more than once:\n・Increase your Wind or Thunder Gauge by 1.\n・Move a Sakura token from Shadow to this card.\n\nOngoing: At the end of each turn, you attack with "Range: 0-4, Damage: 1/1, No Reactions".\n\nOngoing: The first attack your opponent makes each turn gets +0/-1.', textEn: 'Initialize: Choose three. You may choose the same option more than once:\n・Increase your Wind or Thunder Gauge by 1.\n・Move a Sakura token from Shadow to this card.\n\nOngoing: At the end of each turn, you attack with "Range: 0-4, Damage: 1/1, No Reactions".\n\nOngoing: The first attack your opponent makes each turn gets +0/-1.'},</x:v>
      </x:c>
      <x:c r="AU206" t="str">
        <x:f>IF($A206&lt;&gt;"", "    /** 《"&amp;$E206&amp;"》 */ export const "&amp;SUBSTITUTE(UPPER(IF(MID($A206, 3, 1)="-", RIGHT($A206,LEN($A206)-3), $A206)), "-", "_")&amp;": TCardId = '"&amp;$A206&amp;"';", "")</x:f>
        <x:v>    /** 《大嵐》 */ export const RAIRA_A1_N_6: TCardId = '12-raira-A1-n-6';</x:v>
      </x:c>
      <x:c r="AV206" t="str">
        <x:f>IF($A207&lt;&gt;"", "    | '"&amp;$A207&amp;"'", "")</x:f>
        <x:v>    | '12-raira-A1-s-3'</x:v>
      </x:c>
    </x:row>
    <x:row r="207" ht="143" customHeight="1">
      <x:c r="A207" t="str">
        <x:v>12-raira-A1-s-3</x:v>
      </x:c>
      <x:c r="B207" t="str">
        <x:v>raira</x:v>
      </x:c>
      <x:c r="C207" t="str">
        <x:v>A1</x:v>
      </x:c>
      <x:c r="D207" t="str">
        <x:v>12-raira-o-s-3</x:v>
      </x:c>
      <x:c r="E207" t="str">
        <x:v>陣風祭天儀</x:v>
      </x:c>
      <x:c r="F207" t="str">
        <x:v>じんぷうさいてんぎ</x:v>
      </x:c>
      <x:c r="G207" t="str">
        <x:v>阵风祭天仪</x:v>
      </x:c>
      <x:c r="H207" t="str">
        <x:v>阵风祭天式</x:v>
      </x:c>
      <x:c r="I207"/>
      <x:c r="J207" t="str">
        <x:v>진풍제천의</x:v>
      </x:c>
      <x:c r="K207" t="str">
        <x:v>Liturgy of the Storm</x:v>
      </x:c>
      <x:c r="L207"/>
      <x:c r="M207" t="str">
        <x:v>切札</x:v>
      </x:c>
      <x:c r="N207"/>
      <x:c r="O207"/>
      <x:c r="P207"/>
      <x:c r="Q207"/>
      <x:c r="R207" t="str">
        <x:v>行動</x:v>
      </x:c>
      <x:c r="S207"/>
      <x:c r="T207"/>
      <x:c r="U207"/>
      <x:c r="V207"/>
      <x:c r="W207"/>
      <x:c r="X207"/>
      <x:c r="Y207"/>
      <x:c r="Z207" t="n">
        <x:v>2</x:v>
      </x:c>
      <x:c r="AA207"/>
      <x:c r="AB207"/>
      <x:c r="AC207"/>
      <x:c r="AD207"/>
      <x:c r="AE207" s="438" t="str">
        <x:v>風神ゲージと雷神ゲージを2ずつ上げ、相手を畏縮させる。
【使用済】風神ゲージと雷神ゲージは増加しない。
【使用済】あなたのメインフェイズの開始時に、標準行動を選択したならば、嵐の力を2回まで使用してもよい。ただし、同じ力は選べない。</x:v>
      </x:c>
      <x:c r="AF207" s="438"/>
      <x:c r="AG207" s="499" t="str">
        <x:v>风神槽和雷神槽的值各增加1，令对手畏缩。
【已使用】你使用的牌不会带电（无法增长风雷槽）。
【已使用】你的行动阶段开始时，如果你选择进行标准行动，则你可以进行最多两次风暴之力，但是不能重复选择同一个。</x:v>
      </x:c>
      <x:c r="AH207" s="438"/>
      <x:c r="AI207" s="499" t="str">
        <x:v>风神槽和雷神槽各增加1，对手畏缩。
【已使用】你使用的牌不会带电。
【已使用】每当你的主要阶段开始时，若你选择执行标准行动，则你可以使用至多2次岚之力，但不能使用同一种岚之力2次。</x:v>
      </x:c>
      <x:c r="AJ207" s="438"/>
      <x:c r="AK207" s="499" t="str">
        <x:v>풍신 게이지와 뇌신 게이지를 1개씩 올리고 상대를 위축시킨다.
【사용됨】당신이 사용한 카드는 대전되지 않는다.
【사용됨】당신의 페인 페이즈 개시 시에 당신이 표준 행동을 선택했다면, 태풍의 힘을 2번까지 사용해도 좋다. 하지만 같은 힘은 선택할 수 없다.</x:v>
      </x:c>
      <x:c r="AL207" s="438"/>
      <x:c r="AM207" s="499" t="str">
        <x:v>Increase your Wind and Thunder Gauges by 1 each. Flinch your opponent.
Devoted: Your played cards do not become electrified.
Devoted: At the beginning of your main phase, if you chose to perform normal (non-Throughout) actions, you may harness the storm up to two times. You may not choose the same ability twice this way.</x:v>
      </x:c>
      <x:c r="AN207" s="438"/>
      <x:c r="AO207" s="438"/>
      <x:c r="AP207" s="438"/>
      <x:c r="AQ207" s="438"/>
      <x:c r="AR207" s="438"/>
      <x:c r="AS207" s="438"/>
      <x:c r="AT207" t="str">
        <x:f>IF(A207="", "","'"&amp;A207&amp;"': {megami: '"&amp;B207&amp;"'"&amp;IF(C207&lt;&gt;"",", anotherID: '"&amp;C207&amp;"', replace: '"&amp;D207&amp;"'","")&amp;", name: '"&amp;SUBSTITUTE(E207,"'","\'")&amp;"', nameEn: '"&amp;SUBSTITUTE(K207,"'","\'")&amp;"', nameZh: '"&amp;SUBSTITUTE(G207,"'","\'")&amp;"', nameZhG206: '"&amp;SUBSTITUTE(H207,"'","\'")&amp;"', nameKo: '"&amp;SUBSTITUTE(J207,"'","\'")&amp;"', ruby: '"&amp;F207&amp;"', rubyEn: '"&amp;L207&amp;IF(I207&lt;&gt;"", "', rubyZh: '"&amp;I207, "")&amp;"', baseType: '"&amp;IF(M207="通常札","normal",IF(M207="切札","special",IF(M207="追加札","extra",IF(M207="transform","transform",IF(M207="嵐","storm",IF(M207="兵員","troop",IF(M207="構想","plan",IF(M207="メインパーツ","mainParts",IF(M207="カスタムパーツ","customParts",IF(M207="運命","fate",IF(M207="仮想樹","virtualTree","")))))))))))&amp;"'"&amp;IF(N207="○",", extra: true","")&amp;IF(O207&lt;&gt;"",", extraFrom: '"&amp;O207&amp;"'","")&amp;IF(P207&lt;&gt;"",", exchangableTo: '"&amp;P207&amp;"'","")&amp;IF(Q207="○",", poison: true","")&amp;IF(R207&lt;&gt;"", ", type: '"&amp;IF(R207="攻撃","attack",IF(R207="行動","action",IF(R207="不定","variable",IF(R207="対応","reaction",IF(R207="全力","fullpower",IF(R207="付与","enhance",IF(R207="transform","transform","")))))))&amp;"'", "")&amp;IF(S207&lt;&gt;"",", subType: '"&amp;IF(S207="攻撃","attack",IF(S207="行動","action",IF(S207="不定","variable",IF(S207="対応","reaction",IF(S207="全力","fullpower",IF(S207="付与","enhance",IF(S207="transform","transform","")))))))&amp;"'","")&amp;""&amp;IF(T207&lt;&gt;"",", range: '"&amp;T207&amp;"'","")&amp;IF(V207&lt;&gt;"",", damage: '"&amp;V207&amp;"'","")&amp;IF(X207&lt;&gt;"",", capacity: '"&amp;X207&amp;"'","")&amp;IF(Y207&lt;&gt;"",", growth: "&amp;Y207&amp;"","")&amp;IF(Z207&lt;&gt;"",", cost: '"&amp;Z207&amp;"'","")&amp;", text: '"&amp;SUBSTITUTE(SUBSTITUTE(AE207, CHAR(13), ""),CHAR(10),"\n")&amp;IF(AF207&lt;&gt;"", "', textAdditional: '"&amp;SUBSTITUTE(SUBSTITUTE(AF207, CHAR(13), ""),CHAR(10),"\n"), "")&amp;"', textZh: '"&amp;SUBSTITUTE(SUBSTITUTE(SUBSTITUTE(AG207, CHAR(13), ""),CHAR(10),"\n"),"'","\'")&amp;"', textZhG206: '"&amp;SUBSTITUTE(SUBSTITUTE(SUBSTITUTE(AI207, CHAR(13), ""),CHAR(10),"\n"),"'","\'")&amp;IF(AH207&lt;&gt;"", "', textZhAdditional: '"&amp;SUBSTITUTE(SUBSTITUTE(AH207, CHAR(13), ""),CHAR(10),"\n"), "")&amp;IF(AK207&lt;&gt;"", "', textZhG206Additional: '"&amp;SUBSTITUTE(SUBSTITUTE(AK207, CHAR(13), ""),CHAR(10),"\n"), "")&amp;"', textKo: '"&amp;SUBSTITUTE(SUBSTITUTE(SUBSTITUTE(AM207, CHAR(13), ""),CHAR(10),"\n"),"'","\'")&amp;IF(AM207&lt;&gt;"", "', textKoAdditional: '"&amp;SUBSTITUTE(SUBSTITUTE(AM207, CHAR(13), ""),CHAR(10),"\n"), "")&amp;"', textEn: '"&amp;SUBSTITUTE(SUBSTITUTE(SUBSTITUTE(AM207, CHAR(13), ""),CHAR(10),"\n"),"'","\'")&amp;IF(AN207&lt;&gt;"", "', textEnAdditional: '"&amp;SUBSTITUTE(SUBSTITUTE(AN207, CHAR(13), ""),CHAR(10),"\n"), "")&amp;"'"&amp;IF(AB207="○",", sealable: true","")&amp;IF(AC207="○",", removable: true","")&amp;IF(AA207="○",", lie: true","")&amp;IF(AD207="○",", investable: true","")&amp;"},")</x:f>
        <x:v>'12-raira-A1-s-3': {megami: 'raira', anotherID: 'A1', replace: '12-raira-o-s-3', name: '陣風祭天儀', nameEn: 'Liturgy of the Storm', nameZh: '阵风祭天仪', nameZhG206: '阵风祭天式', nameKo: '진풍제천의', ruby: 'じんぷうさいてんぎ', rubyEn: '', baseType: 'special', type: 'action', cost: '2', text: '風神ゲージと雷神ゲージを2ずつ上げ、相手を畏縮させる。\n【使用済】風神ゲージと雷神ゲージは増加しない。\n【使用済】あなたのメインフェイズの開始時に、標準行動を選択したならば、嵐の力を2回まで使用してもよい。ただし、同じ力は選べない。', textZh: '风神槽和雷神槽的值各增加1，令对手畏缩。\n【已使用】你使用的牌不会带电（无法增长风雷槽）。\n【已使用】你的行动阶段开始时，如果你选择进行标准行动，则你可以进行最多两次风暴之力，但是不能重复选择同一个。', textZhG206: '风神槽和雷神槽各增加1，对手畏缩。\n【已使用】你使用的牌不会带电。\n【已使用】每当你的主要阶段开始时，若你选择执行标准行动，则你可以使用至多2次岚之力，但不能使用同一种岚之力2次。', textZhG206Additional: '풍신 게이지와 뇌신 게이지를 1개씩 올리고 상대를 위축시킨다.\n【사용됨】당신이 사용한 카드는 대전되지 않는다.\n【사용됨】당신의 페인 페이즈 개시 시에 당신이 표준 행동을 선택했다면, 태풍의 힘을 2번까지 사용해도 좋다. 하지만 같은 힘은 선택할 수 없다.', textKo: 'Increase your Wind and Thunder Gauges by 1 each. Flinch your opponent.\n\nDevoted: Your played cards do not become electrified.\n\nDevoted: At the beginning of your main phase, if you chose to perform normal (non-Throughout) actions, you may harness the storm up to two times. You may not choose the same ability twice this way.', textKoAdditional: 'Increase your Wind and Thunder Gauges by 1 each. Flinch your opponent.\n\nDevoted: Your played cards do not become electrified.\n\nDevoted: At the beginning of your main phase, if you chose to perform normal (non-Throughout) actions, you may harness the storm up to two times. You may not choose the same ability twice this way.', textEn: 'Increase your Wind and Thunder Gauges by 1 each. Flinch your opponent.\n\nDevoted: Your played cards do not become electrified.\n\nDevoted: At the beginning of your main phase, if you chose to perform normal (non-Throughout) actions, you may harness the storm up to two times. You may not choose the same ability twice this way.'},</x:v>
      </x:c>
      <x:c r="AU207" t="str">
        <x:f>IF($A207&lt;&gt;"", "    /** 《"&amp;$E207&amp;"》 */ export const "&amp;SUBSTITUTE(UPPER(IF(MID($A207, 3, 1)="-", RIGHT($A207,LEN($A207)-3), $A207)), "-", "_")&amp;": TCardId = '"&amp;$A207&amp;"';", "")</x:f>
        <x:v>    /** 《陣風祭天儀》 */ export const RAIRA_A1_S_3: TCardId = '12-raira-A1-s-3';</x:v>
      </x:c>
      <x:c r="AV207" t="str">
        <x:f>IF($A208&lt;&gt;"", "    | '"&amp;$A208&amp;"'", "")</x:f>
        <x:v>    | '12-raira-storm'</x:v>
      </x:c>
    </x:row>
    <x:row r="208" ht="143" customHeight="1">
      <x:c r="A208" t="str">
        <x:v>12-raira-storm</x:v>
      </x:c>
      <x:c r="B208" t="str">
        <x:v>raira</x:v>
      </x:c>
      <x:c r="C208"/>
      <x:c r="D208"/>
      <x:c r="E208" t="str">
        <x:v>嵐の力</x:v>
      </x:c>
      <x:c r="F208"/>
      <x:c r="G208" t="str">
        <x:v>【风暴之力】</x:v>
      </x:c>
      <x:c r="H208" t="str">
        <x:v>【岚之力】</x:v>
      </x:c>
      <x:c r="I208"/>
      <x:c r="J208" t="str">
        <x:v>【폭풍의 힘】</x:v>
      </x:c>
      <x:c r="K208" t="str">
        <x:v>[Storm]</x:v>
      </x:c>
      <x:c r="L208"/>
      <x:c r="M208" t="str">
        <x:v>嵐</x:v>
      </x:c>
      <x:c r="N208"/>
      <x:c r="O208"/>
      <x:c r="P208"/>
      <x:c r="Q208"/>
      <x:c r="R208"/>
      <x:c r="S208"/>
      <x:c r="T208"/>
      <x:c r="U208"/>
      <x:c r="V208"/>
      <x:c r="W208"/>
      <x:c r="X208"/>
      <x:c r="Y208"/>
      <x:c r="Z208"/>
      <x:c r="AA208"/>
      <x:c r="AB208"/>
      <x:c r="AC208"/>
      <x:c r="AD208"/>
      <x:c r="AE208" s="438" t="str">
        <x:v>風1：間合↔ダスト：1
風2：カードを1枚引き、手札を1枚伏せ札にする。
風3：あなたは集中力を1得て、相手は集中力を1失う。
雷1：このターンにあなたが次に行う《攻撃》は+1/+0となる。
雷2：攻撃『適正距離0-4、1/1』を行う。
雷3：このターンにあなたが次に行うオーラへのダメージが「-」でない《攻撃》は+0/+1となる。</x:v>
      </x:c>
      <x:c r="AF208" s="438"/>
      <x:c r="AG208" s="499" t="str">
        <x:v>【风1】距↔1↔虚
【风2】抓1张牌，然后盖伏1张手牌。
【风3】你获得1点集中力，对手失去1点集中力。
----
【雷1】本回合你的下次《攻击》得+1/+0。
【雷2】进行一次“攻击距离0-4、伤害1/1”的攻击。
【雷3】本回合你的下次对装伤害不为「-」的《攻击》得+0/+1。</x:v>
      </x:c>
      <x:c r="AH208" s="438"/>
      <x:c r="AI208" s="499" t="str">
        <x:v>【风1】距（1）⇔虚
【风2】抽1张牌，然后盖伏1张手牌。
【风3】你获得1点集中力，对手失去1点集中力。
----
【雷1】本回合内你的下一次《攻击》获得+1/+0
【雷2】进行一次“攻击距离0-4 伤害1/1”的攻击。
【雷3】本回合的你的下一次对装伤害不为“-”的《攻击》获得+0/+1</x:v>
      </x:c>
      <x:c r="AJ208" s="438"/>
      <x:c r="AK208" s="499" t="str">
        <x:v>【풍1】간격⇔더스트：1
【풍2】카드를 1장 뽑고 손패를 1장 덮임패로 한다.
【풍3】당신은 집중력을 1 얻고 상대는 집중력을 1잃는다.
----
【뇌1】이 턴에 당신이 다음에 하는 《공격》은 +1/+0된다.
【뇌2】공격 『적정 거리0-4, 1/1』를 한다.
【뇌3】.이 턴에 당신이 다음에 하는 오라 데미지가 「-」이 아닌 《공격》은 +0/+1된다.</x:v>
      </x:c>
      <x:c r="AL208" s="438"/>
      <x:c r="AM208" s="499" t="str">
        <x:v>Wind 1: Distance (1)⇔ Shadow
Wind 2: Draw a card, then discard a card.
Wind 3: Gain 1 Vigor. Your opponent loses 1 Vigor.
Thunder 1: The next attack you make this turn gains +1/+0.
Thunder 2: You attack with "Range: 0-4, Damage: 1/1".
Thunder 3: The next attack you make this turn that doesn't have "-" Damage to Aura gains +0/+1.</x:v>
      </x:c>
      <x:c r="AN208" s="438"/>
      <x:c r="AO208" s="438"/>
      <x:c r="AP208" s="438"/>
      <x:c r="AQ208" s="438"/>
      <x:c r="AR208" s="438"/>
      <x:c r="AS208" s="438"/>
      <x:c r="AT208" t="str">
        <x:f>IF(A208="", "","'"&amp;A208&amp;"': {megami: '"&amp;B208&amp;"'"&amp;IF(C208&lt;&gt;"",", anotherID: '"&amp;C208&amp;"', replace: '"&amp;D208&amp;"'","")&amp;", name: '"&amp;SUBSTITUTE(E208,"'","\'")&amp;"', nameEn: '"&amp;SUBSTITUTE(K208,"'","\'")&amp;"', nameZh: '"&amp;SUBSTITUTE(G208,"'","\'")&amp;"', nameZhG207: '"&amp;SUBSTITUTE(H208,"'","\'")&amp;"', nameKo: '"&amp;SUBSTITUTE(J208,"'","\'")&amp;"', ruby: '"&amp;F208&amp;"', rubyEn: '"&amp;L208&amp;IF(I208&lt;&gt;"", "', rubyZh: '"&amp;I208, "")&amp;"', baseType: '"&amp;IF(M208="通常札","normal",IF(M208="切札","special",IF(M208="追加札","extra",IF(M208="transform","transform",IF(M208="嵐","storm",IF(M208="兵員","troop",IF(M208="構想","plan",IF(M208="メインパーツ","mainParts",IF(M208="カスタムパーツ","customParts",IF(M208="運命","fate",IF(M208="仮想樹","virtualTree","")))))))))))&amp;"'"&amp;IF(N208="○",", extra: true","")&amp;IF(O208&lt;&gt;"",", extraFrom: '"&amp;O208&amp;"'","")&amp;IF(P208&lt;&gt;"",", exchangableTo: '"&amp;P208&amp;"'","")&amp;IF(Q208="○",", poison: true","")&amp;IF(R208&lt;&gt;"", ", type: '"&amp;IF(R208="攻撃","attack",IF(R208="行動","action",IF(R208="不定","variable",IF(R208="対応","reaction",IF(R208="全力","fullpower",IF(R208="付与","enhance",IF(R208="transform","transform","")))))))&amp;"'", "")&amp;IF(S208&lt;&gt;"",", subType: '"&amp;IF(S208="攻撃","attack",IF(S208="行動","action",IF(S208="不定","variable",IF(S208="対応","reaction",IF(S208="全力","fullpower",IF(S208="付与","enhance",IF(S208="transform","transform","")))))))&amp;"'","")&amp;""&amp;IF(T208&lt;&gt;"",", range: '"&amp;T208&amp;"'","")&amp;IF(V208&lt;&gt;"",", damage: '"&amp;V208&amp;"'","")&amp;IF(X208&lt;&gt;"",", capacity: '"&amp;X208&amp;"'","")&amp;IF(Y208&lt;&gt;"",", growth: "&amp;Y208&amp;"","")&amp;IF(Z208&lt;&gt;"",", cost: '"&amp;Z208&amp;"'","")&amp;", text: '"&amp;SUBSTITUTE(SUBSTITUTE(AE208, CHAR(13), ""),CHAR(10),"\n")&amp;IF(AF208&lt;&gt;"", "', textAdditional: '"&amp;SUBSTITUTE(SUBSTITUTE(AF208, CHAR(13), ""),CHAR(10),"\n"), "")&amp;"', textZh: '"&amp;SUBSTITUTE(SUBSTITUTE(SUBSTITUTE(AG208, CHAR(13), ""),CHAR(10),"\n"),"'","\'")&amp;"', textZhG207: '"&amp;SUBSTITUTE(SUBSTITUTE(SUBSTITUTE(AI208, CHAR(13), ""),CHAR(10),"\n"),"'","\'")&amp;IF(AH208&lt;&gt;"", "', textZhAdditional: '"&amp;SUBSTITUTE(SUBSTITUTE(AH208, CHAR(13), ""),CHAR(10),"\n"), "")&amp;IF(AK208&lt;&gt;"", "', textZhG207Additional: '"&amp;SUBSTITUTE(SUBSTITUTE(AK208, CHAR(13), ""),CHAR(10),"\n"), "")&amp;"', textKo: '"&amp;SUBSTITUTE(SUBSTITUTE(SUBSTITUTE(AM208, CHAR(13), ""),CHAR(10),"\n"),"'","\'")&amp;IF(AM208&lt;&gt;"", "', textKoAdditional: '"&amp;SUBSTITUTE(SUBSTITUTE(AM208, CHAR(13), ""),CHAR(10),"\n"), "")&amp;"', textEn: '"&amp;SUBSTITUTE(SUBSTITUTE(SUBSTITUTE(AM208, CHAR(13), ""),CHAR(10),"\n"),"'","\'")&amp;IF(AN208&lt;&gt;"", "', textEnAdditional: '"&amp;SUBSTITUTE(SUBSTITUTE(AN208, CHAR(13), ""),CHAR(10),"\n"), "")&amp;"'"&amp;IF(AB208="○",", sealable: true","")&amp;IF(AC208="○",", removable: true","")&amp;IF(AA208="○",", lie: true","")&amp;IF(AD208="○",", investable: true","")&amp;"},")</x:f>
        <x:v>'12-raira-storm': {megami: 'raira', name: '嵐の力', nameEn: '[Storm]', nameZh: '【风暴之力】', nameZhG207: '【岚之力】', nameKo: '【폭풍의 힘】', ruby: '', rubyEn: '', baseType: 'storm', text: '風1：間合↔ダスト：1\n風2：カードを1枚引き、手札を1枚伏せ札にする。\n風3：あなたは集中力を1得て、相手は集中力を1失う。\n雷1：このターンにあなたが次に行う《攻撃》は+1/+0となる。\n雷2：攻撃『適正距離0-4、1/1』を行う。\n雷3：このターンにあなたが次に行うオーラへのダメージが「-」でない《攻撃》は+0/+1となる。', textZh: '【风1】距↔1↔虚\n【风2】抓1张牌，然后盖伏1张手牌。\n【风3】你获得1点集中力，对手失去1点集中力。\n----\n【雷1】本回合你的下次《攻击》得+1/+0。\n【雷2】进行一次“攻击距离0-4、伤害1/1”的攻击。\n【雷3】本回合你的下次对装伤害不为「-」的《攻击》得+0/+1。', textZhG207: '【风1】距（1）⇔虚\n【风2】抽1张牌，然后盖伏1张手牌。\n【风3】你获得1点集中力，对手失去1点集中力。\n----\n【雷1】本回合内你的下一次《攻击》获得+1/+0\n【雷2】进行一次“攻击距离0-4 伤害1/1”的攻击。\n【雷3】本回合的你的下一次对装伤害不为“-”的《攻击》获得+0/+1', textZhG207Additional: '【풍1】간격⇔더스트：1\n【풍2】카드를 1장 뽑고 손패를 1장 덮임패로 한다.\n【풍3】당신은 집중력을 1 얻고 상대는 집중력을 1잃는다.\n----\n【뇌1】이 턴에 당신이 다음에 하는 《공격》은 +1/+0된다.\n【뇌2】공격 『적정 거리0-4, 1/1』를 한다.\n【뇌3】.이 턴에 당신이 다음에 하는 오라 데미지가 「-」이 아닌 《공격》은 +0/+1된다.', textKo: 'Wind 1: Distance (1)⇔ Shadow\nWind 2: Draw a card, then discard a card.\nWind 3: Gain 1 Vigor. Your opponent loses 1 Vigor.\n\nThunder 1: The next attack you make this turn gains +1/+0.\nThunder 2: You attack with "Range: 0-4, Damage: 1/1".\nThunder 3: The next attack you make this turn that doesn\'t have "-" Damage to Aura gains +0/+1.', textKoAdditional: 'Wind 1: Distance (1)⇔ Shadow\nWind 2: Draw a card, then discard a card.\nWind 3: Gain 1 Vigor. Your opponent loses 1 Vigor.\n\nThunder 1: The next attack you make this turn gains +1/+0.\nThunder 2: You attack with "Range: 0-4, Damage: 1/1".\nThunder 3: The next attack you make this turn that doesn't have "-" Damage to Aura gains +0/+1.', textEn: 'Wind 1: Distance (1)⇔ Shadow\nWind 2: Draw a card, then discard a card.\nWind 3: Gain 1 Vigor. Your opponent loses 1 Vigor.\n\nThunder 1: The next attack you make this turn gains +1/+0.\nThunder 2: You attack with "Range: 0-4, Damage: 1/1".\nThunder 3: The next attack you make this turn that doesn\'t have "-" Damage to Aura gains +0/+1.'},</x:v>
      </x:c>
      <x:c r="AU208" t="str">
        <x:f>IF($A208&lt;&gt;"", "    /** 《"&amp;$E208&amp;"》 */ export const "&amp;SUBSTITUTE(UPPER(IF(MID($A208, 3, 1)="-", RIGHT($A208,LEN($A208)-3), $A208)), "-", "_")&amp;": TCardId = '"&amp;$A208&amp;"';", "")</x:f>
        <x:v>    /** 《嵐の力》 */ export const RAIRA_STORM: TCardId = '12-raira-storm';</x:v>
      </x:c>
      <x:c r="AV208" t="str">
        <x:f>IF($A209&lt;&gt;"", "    | '"&amp;$A209&amp;"'", "")</x:f>
        <x:v>    | '15-korunu-o-n-1'</x:v>
      </x:c>
    </x:row>
    <x:row r="209" ht="30" customHeight="1">
      <x:c r="A209" t="str">
        <x:v>15-korunu-o-n-1</x:v>
      </x:c>
      <x:c r="B209" t="str">
        <x:v>korunu</x:v>
      </x:c>
      <x:c r="C209"/>
      <x:c r="D209"/>
      <x:c r="E209" t="str">
        <x:v>雪刃</x:v>
      </x:c>
      <x:c r="F209" t="str">
        <x:v>せつじん</x:v>
      </x:c>
      <x:c r="G209" t="str">
        <x:v>雪刃</x:v>
      </x:c>
      <x:c r="H209" t="str">
        <x:v>雪刃</x:v>
      </x:c>
      <x:c r="I209"/>
      <x:c r="J209" t="str">
        <x:v>눈 칼날</x:v>
      </x:c>
      <x:c r="K209" t="str">
        <x:v>Ice Shards</x:v>
      </x:c>
      <x:c r="L209"/>
      <x:c r="M209" t="str">
        <x:v>通常札</x:v>
      </x:c>
      <x:c r="N209"/>
      <x:c r="O209"/>
      <x:c r="P209"/>
      <x:c r="Q209"/>
      <x:c r="R209" t="str">
        <x:v>攻撃</x:v>
      </x:c>
      <x:c r="S209"/>
      <x:c r="T209" t="str">
        <x:v>3-6</x:v>
      </x:c>
      <x:c r="U209"/>
      <x:c r="V209" t="str">
        <x:v>1/1</x:v>
      </x:c>
      <x:c r="W209"/>
      <x:c r="X209"/>
      <x:c r="Y209"/>
      <x:c r="Z209"/>
      <x:c r="AA209"/>
      <x:c r="AB209"/>
      <x:c r="AC209"/>
      <x:c r="AD209"/>
      <x:c r="AE209" s="438" t="str">
        <x:v>【攻撃後】相手は1回凍結する。</x:v>
      </x:c>
      <x:c r="AF209" s="438"/>
      <x:c r="AG209" s="499" t="str">
        <x:v>【攻击后】冻结对手1次。</x:v>
      </x:c>
      <x:c r="AH209" s="438"/>
      <x:c r="AI209" s="499" t="str">
        <x:v>【攻击后】冻结对手1次。</x:v>
      </x:c>
      <x:c r="AJ209" s="438"/>
      <x:c r="AK209" s="499" t="str">
        <x:v>【공격후】상대를 동결시킨다.</x:v>
      </x:c>
      <x:c r="AL209" s="438"/>
      <x:c r="AM209" s="499" t="str">
        <x:v>After Attack: Freeze your opponent.</x:v>
      </x:c>
      <x:c r="AN209" s="438"/>
      <x:c r="AO209" s="438"/>
      <x:c r="AP209" s="438"/>
      <x:c r="AQ209" s="438"/>
      <x:c r="AR209" s="438"/>
      <x:c r="AS209" s="438"/>
      <x:c r="AT209" t="str">
        <x:f>IF(A209="", "","'"&amp;A209&amp;"': {megami: '"&amp;B209&amp;"'"&amp;IF(C209&lt;&gt;"",", anotherID: '"&amp;C209&amp;"', replace: '"&amp;D209&amp;"'","")&amp;", name: '"&amp;SUBSTITUTE(E209,"'","\'")&amp;"', nameEn: '"&amp;SUBSTITUTE(K209,"'","\'")&amp;"', nameZh: '"&amp;SUBSTITUTE(G209,"'","\'")&amp;"', nameZhG208: '"&amp;SUBSTITUTE(H209,"'","\'")&amp;"', nameKo: '"&amp;SUBSTITUTE(J209,"'","\'")&amp;"', ruby: '"&amp;F209&amp;"', rubyEn: '"&amp;L209&amp;IF(I209&lt;&gt;"", "', rubyZh: '"&amp;I209, "")&amp;"', baseType: '"&amp;IF(M209="通常札","normal",IF(M209="切札","special",IF(M209="追加札","extra",IF(M209="transform","transform",IF(M209="嵐","storm",IF(M209="兵員","troop",IF(M209="構想","plan",IF(M209="メインパーツ","mainParts",IF(M209="カスタムパーツ","customParts",IF(M209="運命","fate",IF(M209="仮想樹","virtualTree","")))))))))))&amp;"'"&amp;IF(N209="○",", extra: true","")&amp;IF(O209&lt;&gt;"",", extraFrom: '"&amp;O209&amp;"'","")&amp;IF(P209&lt;&gt;"",", exchangableTo: '"&amp;P209&amp;"'","")&amp;IF(Q209="○",", poison: true","")&amp;IF(R209&lt;&gt;"", ", type: '"&amp;IF(R209="攻撃","attack",IF(R209="行動","action",IF(R209="不定","variable",IF(R209="対応","reaction",IF(R209="全力","fullpower",IF(R209="付与","enhance",IF(R209="transform","transform","")))))))&amp;"'", "")&amp;IF(S209&lt;&gt;"",", subType: '"&amp;IF(S209="攻撃","attack",IF(S209="行動","action",IF(S209="不定","variable",IF(S209="対応","reaction",IF(S209="全力","fullpower",IF(S209="付与","enhance",IF(S209="transform","transform","")))))))&amp;"'","")&amp;""&amp;IF(T209&lt;&gt;"",", range: '"&amp;T209&amp;"'","")&amp;IF(V209&lt;&gt;"",", damage: '"&amp;V209&amp;"'","")&amp;IF(X209&lt;&gt;"",", capacity: '"&amp;X209&amp;"'","")&amp;IF(Y209&lt;&gt;"",", growth: "&amp;Y209&amp;"","")&amp;IF(Z209&lt;&gt;"",", cost: '"&amp;Z209&amp;"'","")&amp;", text: '"&amp;SUBSTITUTE(SUBSTITUTE(AE209, CHAR(13), ""),CHAR(10),"\n")&amp;IF(AF209&lt;&gt;"", "', textAdditional: '"&amp;SUBSTITUTE(SUBSTITUTE(AF209, CHAR(13), ""),CHAR(10),"\n"), "")&amp;"', textZh: '"&amp;SUBSTITUTE(SUBSTITUTE(SUBSTITUTE(AG209, CHAR(13), ""),CHAR(10),"\n"),"'","\'")&amp;"', textZhG208: '"&amp;SUBSTITUTE(SUBSTITUTE(SUBSTITUTE(AI209, CHAR(13), ""),CHAR(10),"\n"),"'","\'")&amp;IF(AH209&lt;&gt;"", "', textZhAdditional: '"&amp;SUBSTITUTE(SUBSTITUTE(AH209, CHAR(13), ""),CHAR(10),"\n"), "")&amp;IF(AK209&lt;&gt;"", "', textZhG208Additional: '"&amp;SUBSTITUTE(SUBSTITUTE(AK209, CHAR(13), ""),CHAR(10),"\n"), "")&amp;"', textKo: '"&amp;SUBSTITUTE(SUBSTITUTE(SUBSTITUTE(AM209, CHAR(13), ""),CHAR(10),"\n"),"'","\'")&amp;IF(AM209&lt;&gt;"", "', textKoAdditional: '"&amp;SUBSTITUTE(SUBSTITUTE(AM209, CHAR(13), ""),CHAR(10),"\n"), "")&amp;"', textEn: '"&amp;SUBSTITUTE(SUBSTITUTE(SUBSTITUTE(AM209, CHAR(13), ""),CHAR(10),"\n"),"'","\'")&amp;IF(AN209&lt;&gt;"", "', textEnAdditional: '"&amp;SUBSTITUTE(SUBSTITUTE(AN209, CHAR(13), ""),CHAR(10),"\n"), "")&amp;"'"&amp;IF(AB209="○",", sealable: true","")&amp;IF(AC209="○",", removable: true","")&amp;IF(AA209="○",", lie: true","")&amp;IF(AD209="○",", investable: true","")&amp;"},")</x:f>
        <x:v>'15-korunu-o-n-1': {megami: 'korunu', name: '雪刃', nameEn: 'Ice Shards', nameZh: '雪刃', nameZhG208: '雪刃', nameKo: '눈 칼날', ruby: 'せつじん', rubyEn: '', baseType: 'normal', type: 'attack', range: '3-6', damage: '1/1', text: '【攻撃後】相手は1回凍結する。', textZh: '【攻击后】冻结对手1次。', textZhG208: '【攻击后】冻结对手1次。', textZhG208Additional: '【공격후】상대를 동결시킨다.', textKo: 'After Attack: Freeze your opponent.', textKoAdditional: 'After Attack: Freeze your opponent.', textEn: 'After Attack: Freeze your opponent.'},</x:v>
      </x:c>
      <x:c r="AU209" t="str">
        <x:f>IF($A209&lt;&gt;"", "    /** 《"&amp;$E209&amp;"》 */ export const "&amp;SUBSTITUTE(UPPER(IF(MID($A209, 3, 1)="-", RIGHT($A209,LEN($A209)-3), $A209)), "-", "_")&amp;": TCardId = '"&amp;$A209&amp;"';", "")</x:f>
        <x:v>    /** 《雪刃》 */ export const KORUNU_O_N_1: TCardId = '15-korunu-o-n-1';</x:v>
      </x:c>
      <x:c r="AV209" t="str">
        <x:f>IF($A210&lt;&gt;"", "    | '"&amp;$A210&amp;"'", "")</x:f>
        <x:v>    | '15-korunu-o-n-2'</x:v>
      </x:c>
    </x:row>
    <x:row r="210" ht="68" customHeight="1">
      <x:c r="A210" t="str">
        <x:v>15-korunu-o-n-2</x:v>
      </x:c>
      <x:c r="B210" t="str">
        <x:v>korunu</x:v>
      </x:c>
      <x:c r="C210"/>
      <x:c r="D210"/>
      <x:c r="E210" t="str">
        <x:v>旋回刃</x:v>
      </x:c>
      <x:c r="F210" t="str">
        <x:v>せんかいじん</x:v>
      </x:c>
      <x:c r="G210" t="str">
        <x:v>回旋刃</x:v>
      </x:c>
      <x:c r="H210" t="str">
        <x:v>旋回刃</x:v>
      </x:c>
      <x:c r="I210"/>
      <x:c r="J210" t="str">
        <x:v>선회날</x:v>
      </x:c>
      <x:c r="K210" t="str">
        <x:v>Cyclone Blade</x:v>
      </x:c>
      <x:c r="L210"/>
      <x:c r="M210" t="str">
        <x:v>通常札</x:v>
      </x:c>
      <x:c r="N210"/>
      <x:c r="O210"/>
      <x:c r="P210"/>
      <x:c r="Q210"/>
      <x:c r="R210" t="str">
        <x:v>攻撃</x:v>
      </x:c>
      <x:c r="S210"/>
      <x:c r="T210" t="str">
        <x:v>2-3</x:v>
      </x:c>
      <x:c r="U210"/>
      <x:c r="V210" t="str">
        <x:v>2/2</x:v>
      </x:c>
      <x:c r="W210"/>
      <x:c r="X210"/>
      <x:c r="Y210"/>
      <x:c r="Z210"/>
      <x:c r="AA210"/>
      <x:c r="AB210"/>
      <x:c r="AC210"/>
      <x:c r="AD210"/>
      <x:c r="AE210" s="438" t="str">
        <x:v>【常時】この《攻撃》が対応されたならば、対応したカードの解決後に
間合⇔ダスト：2</x:v>
      </x:c>
      <x:c r="AF210" s="438"/>
      <x:c r="AG210" s="499" t="str">
        <x:v>【常时】若此《攻击》被对应，则在对应牌结算后：虚↔2↔距</x:v>
      </x:c>
      <x:c r="AH210" s="438"/>
      <x:c r="AI210" s="499" t="str">
        <x:v>【常时】若此《攻击》被对应，则在对应牌结算后虚（2）⇔距</x:v>
      </x:c>
      <x:c r="AJ210" s="438"/>
      <x:c r="AK210" s="499" t="str">
        <x:v>【상시】이 카드에 대응을 했다면 대응을 해결한 뒤에, 
간격⇔더스트:2</x:v>
      </x:c>
      <x:c r="AL210" s="438"/>
      <x:c r="AM210" s="499" t="str">
        <x:v>Forced: If a Reaction is made to this attack, after it resolves:
Distance (2)⇔ Shadow</x:v>
      </x:c>
      <x:c r="AN210" s="438"/>
      <x:c r="AO210" s="438"/>
      <x:c r="AP210" s="438"/>
      <x:c r="AQ210" s="438"/>
      <x:c r="AR210" s="438"/>
      <x:c r="AS210" s="438"/>
      <x:c r="AT210" t="str">
        <x:f>IF(A210="", "","'"&amp;A210&amp;"': {megami: '"&amp;B210&amp;"'"&amp;IF(C210&lt;&gt;"",", anotherID: '"&amp;C210&amp;"', replace: '"&amp;D210&amp;"'","")&amp;", name: '"&amp;SUBSTITUTE(E210,"'","\'")&amp;"', nameEn: '"&amp;SUBSTITUTE(K210,"'","\'")&amp;"', nameZh: '"&amp;SUBSTITUTE(G210,"'","\'")&amp;"', nameZhG209: '"&amp;SUBSTITUTE(H210,"'","\'")&amp;"', nameKo: '"&amp;SUBSTITUTE(J210,"'","\'")&amp;"', ruby: '"&amp;F210&amp;"', rubyEn: '"&amp;L210&amp;IF(I210&lt;&gt;"", "', rubyZh: '"&amp;I210, "")&amp;"', baseType: '"&amp;IF(M210="通常札","normal",IF(M210="切札","special",IF(M210="追加札","extra",IF(M210="transform","transform",IF(M210="嵐","storm",IF(M210="兵員","troop",IF(M210="構想","plan",IF(M210="メインパーツ","mainParts",IF(M210="カスタムパーツ","customParts",IF(M210="運命","fate",IF(M210="仮想樹","virtualTree","")))))))))))&amp;"'"&amp;IF(N210="○",", extra: true","")&amp;IF(O210&lt;&gt;"",", extraFrom: '"&amp;O210&amp;"'","")&amp;IF(P210&lt;&gt;"",", exchangableTo: '"&amp;P210&amp;"'","")&amp;IF(Q210="○",", poison: true","")&amp;IF(R210&lt;&gt;"", ", type: '"&amp;IF(R210="攻撃","attack",IF(R210="行動","action",IF(R210="不定","variable",IF(R210="対応","reaction",IF(R210="全力","fullpower",IF(R210="付与","enhance",IF(R210="transform","transform","")))))))&amp;"'", "")&amp;IF(S210&lt;&gt;"",", subType: '"&amp;IF(S210="攻撃","attack",IF(S210="行動","action",IF(S210="不定","variable",IF(S210="対応","reaction",IF(S210="全力","fullpower",IF(S210="付与","enhance",IF(S210="transform","transform","")))))))&amp;"'","")&amp;""&amp;IF(T210&lt;&gt;"",", range: '"&amp;T210&amp;"'","")&amp;IF(V210&lt;&gt;"",", damage: '"&amp;V210&amp;"'","")&amp;IF(X210&lt;&gt;"",", capacity: '"&amp;X210&amp;"'","")&amp;IF(Y210&lt;&gt;"",", growth: "&amp;Y210&amp;"","")&amp;IF(Z210&lt;&gt;"",", cost: '"&amp;Z210&amp;"'","")&amp;", text: '"&amp;SUBSTITUTE(SUBSTITUTE(AE210, CHAR(13), ""),CHAR(10),"\n")&amp;IF(AF210&lt;&gt;"", "', textAdditional: '"&amp;SUBSTITUTE(SUBSTITUTE(AF210, CHAR(13), ""),CHAR(10),"\n"), "")&amp;"', textZh: '"&amp;SUBSTITUTE(SUBSTITUTE(SUBSTITUTE(AG210, CHAR(13), ""),CHAR(10),"\n"),"'","\'")&amp;"', textZhG209: '"&amp;SUBSTITUTE(SUBSTITUTE(SUBSTITUTE(AI210, CHAR(13), ""),CHAR(10),"\n"),"'","\'")&amp;IF(AH210&lt;&gt;"", "', textZhAdditional: '"&amp;SUBSTITUTE(SUBSTITUTE(AH210, CHAR(13), ""),CHAR(10),"\n"), "")&amp;IF(AK210&lt;&gt;"", "', textZhG209Additional: '"&amp;SUBSTITUTE(SUBSTITUTE(AK210, CHAR(13), ""),CHAR(10),"\n"), "")&amp;"', textKo: '"&amp;SUBSTITUTE(SUBSTITUTE(SUBSTITUTE(AM210, CHAR(13), ""),CHAR(10),"\n"),"'","\'")&amp;IF(AM210&lt;&gt;"", "', textKoAdditional: '"&amp;SUBSTITUTE(SUBSTITUTE(AM210, CHAR(13), ""),CHAR(10),"\n"), "")&amp;"', textEn: '"&amp;SUBSTITUTE(SUBSTITUTE(SUBSTITUTE(AM210, CHAR(13), ""),CHAR(10),"\n"),"'","\'")&amp;IF(AN210&lt;&gt;"", "', textEnAdditional: '"&amp;SUBSTITUTE(SUBSTITUTE(AN210, CHAR(13), ""),CHAR(10),"\n"), "")&amp;"'"&amp;IF(AB210="○",", sealable: true","")&amp;IF(AC210="○",", removable: true","")&amp;IF(AA210="○",", lie: true","")&amp;IF(AD210="○",", investable: true","")&amp;"},")</x:f>
        <x:v>'15-korunu-o-n-2': {megami: 'korunu', name: '旋回刃', nameEn: 'Cyclone Blade', nameZh: '回旋刃', nameZhG209: '旋回刃', nameKo: '선회날', ruby: 'せんかいじん', rubyEn: '', baseType: 'normal', type: 'attack', range: '2-3', damage: '2/2', text: '【常時】この《攻撃》が対応されたならば、対応したカードの解決後に\n間合⇔ダスト：2', textZh: '【常时】若此《攻击》被对应，则在对应牌结算后：虚↔2↔距', textZhG209: '【常时】若此《攻击》被对应，则在对应牌结算后虚（2）⇔距', textZhG209Additional: '【상시】이 카드에 대응을 했다면 대응을 해결한 뒤에, \n\n간격⇔더스트:2', textKo: 'Forced: If a Reaction is made to this attack, after it resolves:\n\nDistance (2)⇔ Shadow', textKoAdditional: 'Forced: If a Reaction is made to this attack, after it resolves:\n\nDistance (2)⇔ Shadow', textEn: 'Forced: If a Reaction is made to this attack, after it resolves:\n\nDistance (2)⇔ Shadow'},</x:v>
      </x:c>
      <x:c r="AU210" t="str">
        <x:f>IF($A210&lt;&gt;"", "    /** 《"&amp;$E210&amp;"》 */ export const "&amp;SUBSTITUTE(UPPER(IF(MID($A210, 3, 1)="-", RIGHT($A210,LEN($A210)-3), $A210)), "-", "_")&amp;": TCardId = '"&amp;$A210&amp;"';", "")</x:f>
        <x:v>    /** 《旋回刃》 */ export const KORUNU_O_N_2: TCardId = '15-korunu-o-n-2';</x:v>
      </x:c>
      <x:c r="AV210" t="str">
        <x:f>IF($A211&lt;&gt;"", "    | '"&amp;$A211&amp;"'", "")</x:f>
        <x:v>    | '15-korunu-o-n-3'</x:v>
      </x:c>
    </x:row>
    <x:row r="211" ht="38" customHeight="1">
      <x:c r="A211" t="str">
        <x:v>15-korunu-o-n-3</x:v>
      </x:c>
      <x:c r="B211" t="str">
        <x:v>korunu</x:v>
      </x:c>
      <x:c r="C211"/>
      <x:c r="D211"/>
      <x:c r="E211" t="str">
        <x:v>剣の舞</x:v>
      </x:c>
      <x:c r="F211" t="str">
        <x:v>つるぎのまい</x:v>
      </x:c>
      <x:c r="G211" t="str">
        <x:v>剑舞</x:v>
      </x:c>
      <x:c r="H211" t="str">
        <x:v>剑舞</x:v>
      </x:c>
      <x:c r="I211"/>
      <x:c r="J211" t="str">
        <x:v>검의 춤</x:v>
      </x:c>
      <x:c r="K211" t="str">
        <x:v>Blade Dance</x:v>
      </x:c>
      <x:c r="L211"/>
      <x:c r="M211" t="str">
        <x:v>通常札</x:v>
      </x:c>
      <x:c r="N211"/>
      <x:c r="O211"/>
      <x:c r="P211"/>
      <x:c r="Q211"/>
      <x:c r="R211" t="str">
        <x:v>攻撃</x:v>
      </x:c>
      <x:c r="S211"/>
      <x:c r="T211" t="str">
        <x:v>4-5</x:v>
      </x:c>
      <x:c r="U211"/>
      <x:c r="V211" t="str">
        <x:v>2/1</x:v>
      </x:c>
      <x:c r="W211"/>
      <x:c r="X211"/>
      <x:c r="Y211"/>
      <x:c r="Z211"/>
      <x:c r="AA211"/>
      <x:c r="AB211"/>
      <x:c r="AC211"/>
      <x:c r="AD211"/>
      <x:c r="AE211" s="438" t="str">
        <x:v>【常時】相手のオーラに空きがないならば、この《攻撃》は+1/+1となる。</x:v>
      </x:c>
      <x:c r="AF211" s="438"/>
      <x:c r="AG211" s="438" t="str">
        <x:v>【常时】若敌装中没有空位，则此《攻击》得+1/+1。</x:v>
      </x:c>
      <x:c r="AH211" s="438"/>
      <x:c r="AI211" s="438" t="str">
        <x:v>【常时】若敌装中没有空位，则此《攻击》得+1/+1</x:v>
      </x:c>
      <x:c r="AJ211" s="438"/>
      <x:c r="AK211" s="438" t="str">
        <x:v>【상시】상대의 오라가 꽉 차있다면, 이 《공격》은 +1/+1된다.</x:v>
      </x:c>
      <x:c r="AL211" s="438"/>
      <x:c r="AM211" s="438" t="str">
        <x:v>Forced: If your opponent's Aura is full, this attack gets +1/+1.</x:v>
      </x:c>
      <x:c r="AN211" s="438"/>
      <x:c r="AO211" s="438"/>
      <x:c r="AP211" s="438"/>
      <x:c r="AQ211" s="438"/>
      <x:c r="AR211" s="438"/>
      <x:c r="AS211" s="438"/>
      <x:c r="AT211" t="str">
        <x:f>IF(A211="", "","'"&amp;A211&amp;"': {megami: '"&amp;B211&amp;"'"&amp;IF(C211&lt;&gt;"",", anotherID: '"&amp;C211&amp;"', replace: '"&amp;D211&amp;"'","")&amp;", name: '"&amp;SUBSTITUTE(E211,"'","\'")&amp;"', nameEn: '"&amp;SUBSTITUTE(K211,"'","\'")&amp;"', nameZh: '"&amp;SUBSTITUTE(G211,"'","\'")&amp;"', nameZhG210: '"&amp;SUBSTITUTE(H211,"'","\'")&amp;"', nameKo: '"&amp;SUBSTITUTE(J211,"'","\'")&amp;"', ruby: '"&amp;F211&amp;"', rubyEn: '"&amp;L211&amp;IF(I211&lt;&gt;"", "', rubyZh: '"&amp;I211, "")&amp;"', baseType: '"&amp;IF(M211="通常札","normal",IF(M211="切札","special",IF(M211="追加札","extra",IF(M211="transform","transform",IF(M211="嵐","storm",IF(M211="兵員","troop",IF(M211="構想","plan",IF(M211="メインパーツ","mainParts",IF(M211="カスタムパーツ","customParts",IF(M211="運命","fate",IF(M211="仮想樹","virtualTree","")))))))))))&amp;"'"&amp;IF(N211="○",", extra: true","")&amp;IF(O211&lt;&gt;"",", extraFrom: '"&amp;O211&amp;"'","")&amp;IF(P211&lt;&gt;"",", exchangableTo: '"&amp;P211&amp;"'","")&amp;IF(Q211="○",", poison: true","")&amp;IF(R211&lt;&gt;"", ", type: '"&amp;IF(R211="攻撃","attack",IF(R211="行動","action",IF(R211="不定","variable",IF(R211="対応","reaction",IF(R211="全力","fullpower",IF(R211="付与","enhance",IF(R211="transform","transform","")))))))&amp;"'", "")&amp;IF(S211&lt;&gt;"",", subType: '"&amp;IF(S211="攻撃","attack",IF(S211="行動","action",IF(S211="不定","variable",IF(S211="対応","reaction",IF(S211="全力","fullpower",IF(S211="付与","enhance",IF(S211="transform","transform","")))))))&amp;"'","")&amp;""&amp;IF(T211&lt;&gt;"",", range: '"&amp;T211&amp;"'","")&amp;IF(V211&lt;&gt;"",", damage: '"&amp;V211&amp;"'","")&amp;IF(X211&lt;&gt;"",", capacity: '"&amp;X211&amp;"'","")&amp;IF(Y211&lt;&gt;"",", growth: "&amp;Y211&amp;"","")&amp;IF(Z211&lt;&gt;"",", cost: '"&amp;Z211&amp;"'","")&amp;", text: '"&amp;SUBSTITUTE(SUBSTITUTE(AE211, CHAR(13), ""),CHAR(10),"\n")&amp;IF(AF211&lt;&gt;"", "', textAdditional: '"&amp;SUBSTITUTE(SUBSTITUTE(AF211, CHAR(13), ""),CHAR(10),"\n"), "")&amp;"', textZh: '"&amp;SUBSTITUTE(SUBSTITUTE(SUBSTITUTE(AG211, CHAR(13), ""),CHAR(10),"\n"),"'","\'")&amp;"', textZhG210: '"&amp;SUBSTITUTE(SUBSTITUTE(SUBSTITUTE(AI211, CHAR(13), ""),CHAR(10),"\n"),"'","\'")&amp;IF(AH211&lt;&gt;"", "', textZhAdditional: '"&amp;SUBSTITUTE(SUBSTITUTE(AH211, CHAR(13), ""),CHAR(10),"\n"), "")&amp;IF(AK211&lt;&gt;"", "', textZhG210Additional: '"&amp;SUBSTITUTE(SUBSTITUTE(AK211, CHAR(13), ""),CHAR(10),"\n"), "")&amp;"', textKo: '"&amp;SUBSTITUTE(SUBSTITUTE(SUBSTITUTE(AM211, CHAR(13), ""),CHAR(10),"\n"),"'","\'")&amp;IF(AM211&lt;&gt;"", "', textKoAdditional: '"&amp;SUBSTITUTE(SUBSTITUTE(AM211, CHAR(13), ""),CHAR(10),"\n"), "")&amp;"', textEn: '"&amp;SUBSTITUTE(SUBSTITUTE(SUBSTITUTE(AM211, CHAR(13), ""),CHAR(10),"\n"),"'","\'")&amp;IF(AN211&lt;&gt;"", "', textEnAdditional: '"&amp;SUBSTITUTE(SUBSTITUTE(AN211, CHAR(13), ""),CHAR(10),"\n"), "")&amp;"'"&amp;IF(AB211="○",", sealable: true","")&amp;IF(AC211="○",", removable: true","")&amp;IF(AA211="○",", lie: true","")&amp;IF(AD211="○",", investable: true","")&amp;"},")</x:f>
        <x:v>'15-korunu-o-n-3': {megami: 'korunu', name: '剣の舞', nameEn: 'Blade Dance', nameZh: '剑舞', nameZhG210: '剑舞', nameKo: '검의 춤', ruby: 'つるぎのまい', rubyEn: '', baseType: 'normal', type: 'attack', range: '4-5', damage: '2/1', text: '【常時】相手のオーラに空きがないならば、この《攻撃》は+1/+1となる。', textZh: '【常时】若敌装中没有空位，则此《攻击》得+1/+1。', textZhG210: '【常时】若敌装中没有空位，则此《攻击》得+1/+1', textZhG210Additional: '【상시】상대의 오라가 꽉 차있다면, 이 《공격》은 +1/+1된다.', textKo: 'Forced: If your opponent\'s Aura is full, this attack gets +1/+1.', textKoAdditional: 'Forced: If your opponent's Aura is full, this attack gets +1/+1.', textEn: 'Forced: If your opponent\'s Aura is full, this attack gets +1/+1.'},</x:v>
      </x:c>
      <x:c r="AU211" t="str">
        <x:f>IF($A211&lt;&gt;"", "    /** 《"&amp;$E211&amp;"》 */ export const "&amp;SUBSTITUTE(UPPER(IF(MID($A211, 3, 1)="-", RIGHT($A211,LEN($A211)-3), $A211)), "-", "_")&amp;": TCardId = '"&amp;$A211&amp;"';", "")</x:f>
        <x:v>    /** 《剣の舞》 */ export const KORUNU_O_N_3: TCardId = '15-korunu-o-n-3';</x:v>
      </x:c>
      <x:c r="AV211" t="str">
        <x:f>IF($A212&lt;&gt;"", "    | '"&amp;$A212&amp;"'", "")</x:f>
        <x:v>    | '15-korunu-o-n-4'</x:v>
      </x:c>
    </x:row>
    <x:row r="212" ht="83" customHeight="1">
      <x:c r="A212" t="str">
        <x:v>15-korunu-o-n-4</x:v>
      </x:c>
      <x:c r="B212" t="str">
        <x:v>korunu</x:v>
      </x:c>
      <x:c r="C212"/>
      <x:c r="D212"/>
      <x:c r="E212" t="str">
        <x:v>雪渡り</x:v>
      </x:c>
      <x:c r="F212" t="str">
        <x:v>ゆきわたり</x:v>
      </x:c>
      <x:c r="G212" t="str">
        <x:v>渡雪</x:v>
      </x:c>
      <x:c r="H212" t="str">
        <x:v>渡雪</x:v>
      </x:c>
      <x:c r="I212"/>
      <x:c r="J212" t="str">
        <x:v>눈 타기</x:v>
      </x:c>
      <x:c r="K212" t="str">
        <x:v>Snow Crossing</x:v>
      </x:c>
      <x:c r="L212"/>
      <x:c r="M212" t="str">
        <x:v>通常札</x:v>
      </x:c>
      <x:c r="N212"/>
      <x:c r="O212"/>
      <x:c r="P212"/>
      <x:c r="Q212"/>
      <x:c r="R212" t="str">
        <x:v>行動</x:v>
      </x:c>
      <x:c r="S212"/>
      <x:c r="T212"/>
      <x:c r="U212"/>
      <x:c r="V212"/>
      <x:c r="W212"/>
      <x:c r="X212"/>
      <x:c r="Y212"/>
      <x:c r="Z212"/>
      <x:c r="AA212"/>
      <x:c r="AB212"/>
      <x:c r="AC212"/>
      <x:c r="AD212"/>
      <x:c r="AE212" s="438" t="str">
        <x:v>間合⇔ダスト：1
相手のオーラの空きがないならば、
ダスト→間合：1
を行ってもよい。</x:v>
      </x:c>
      <x:c r="AF212" s="438"/>
      <x:c r="AG212" s="499" t="str">
        <x:v>距↔1↔虚
若敌装中没有空位，则你可以再进行：虚→1→距</x:v>
      </x:c>
      <x:c r="AH212" s="438"/>
      <x:c r="AI212" s="499" t="str">
        <x:v>距（1）⇔虚
若敌装中没有空位，则你可以选择虚（1）→距</x:v>
      </x:c>
      <x:c r="AJ212" s="438"/>
      <x:c r="AK212" s="499" t="str">
        <x:v>간격⇔더스트:1
상대의 오라가 꽉 차있다면,
더스트→간격:1
을 해도 좋다.</x:v>
      </x:c>
      <x:c r="AL212" s="438"/>
      <x:c r="AM212" s="499" t="str">
        <x:v>Distance (1)⇔ Shadow
If your opponent's Aura is full, you may then:
Shadow (1)→ Distance</x:v>
      </x:c>
      <x:c r="AN212" s="438"/>
      <x:c r="AO212" s="438"/>
      <x:c r="AP212" s="438"/>
      <x:c r="AQ212" s="438"/>
      <x:c r="AR212" s="438"/>
      <x:c r="AS212" s="438"/>
      <x:c r="AT212" t="str">
        <x:f>IF(A212="", "","'"&amp;A212&amp;"': {megami: '"&amp;B212&amp;"'"&amp;IF(C212&lt;&gt;"",", anotherID: '"&amp;C212&amp;"', replace: '"&amp;D212&amp;"'","")&amp;", name: '"&amp;SUBSTITUTE(E212,"'","\'")&amp;"', nameEn: '"&amp;SUBSTITUTE(K212,"'","\'")&amp;"', nameZh: '"&amp;SUBSTITUTE(G212,"'","\'")&amp;"', nameZhG211: '"&amp;SUBSTITUTE(H212,"'","\'")&amp;"', nameKo: '"&amp;SUBSTITUTE(J212,"'","\'")&amp;"', ruby: '"&amp;F212&amp;"', rubyEn: '"&amp;L212&amp;IF(I212&lt;&gt;"", "', rubyZh: '"&amp;I212, "")&amp;"', baseType: '"&amp;IF(M212="通常札","normal",IF(M212="切札","special",IF(M212="追加札","extra",IF(M212="transform","transform",IF(M212="嵐","storm",IF(M212="兵員","troop",IF(M212="構想","plan",IF(M212="メインパーツ","mainParts",IF(M212="カスタムパーツ","customParts",IF(M212="運命","fate",IF(M212="仮想樹","virtualTree","")))))))))))&amp;"'"&amp;IF(N212="○",", extra: true","")&amp;IF(O212&lt;&gt;"",", extraFrom: '"&amp;O212&amp;"'","")&amp;IF(P212&lt;&gt;"",", exchangableTo: '"&amp;P212&amp;"'","")&amp;IF(Q212="○",", poison: true","")&amp;IF(R212&lt;&gt;"", ", type: '"&amp;IF(R212="攻撃","attack",IF(R212="行動","action",IF(R212="不定","variable",IF(R212="対応","reaction",IF(R212="全力","fullpower",IF(R212="付与","enhance",IF(R212="transform","transform","")))))))&amp;"'", "")&amp;IF(S212&lt;&gt;"",", subType: '"&amp;IF(S212="攻撃","attack",IF(S212="行動","action",IF(S212="不定","variable",IF(S212="対応","reaction",IF(S212="全力","fullpower",IF(S212="付与","enhance",IF(S212="transform","transform","")))))))&amp;"'","")&amp;""&amp;IF(T212&lt;&gt;"",", range: '"&amp;T212&amp;"'","")&amp;IF(V212&lt;&gt;"",", damage: '"&amp;V212&amp;"'","")&amp;IF(X212&lt;&gt;"",", capacity: '"&amp;X212&amp;"'","")&amp;IF(Y212&lt;&gt;"",", growth: "&amp;Y212&amp;"","")&amp;IF(Z212&lt;&gt;"",", cost: '"&amp;Z212&amp;"'","")&amp;", text: '"&amp;SUBSTITUTE(SUBSTITUTE(AE212, CHAR(13), ""),CHAR(10),"\n")&amp;IF(AF212&lt;&gt;"", "', textAdditional: '"&amp;SUBSTITUTE(SUBSTITUTE(AF212, CHAR(13), ""),CHAR(10),"\n"), "")&amp;"', textZh: '"&amp;SUBSTITUTE(SUBSTITUTE(SUBSTITUTE(AG212, CHAR(13), ""),CHAR(10),"\n"),"'","\'")&amp;"', textZhG211: '"&amp;SUBSTITUTE(SUBSTITUTE(SUBSTITUTE(AI212, CHAR(13), ""),CHAR(10),"\n"),"'","\'")&amp;IF(AH212&lt;&gt;"", "', textZhAdditional: '"&amp;SUBSTITUTE(SUBSTITUTE(AH212, CHAR(13), ""),CHAR(10),"\n"), "")&amp;IF(AK212&lt;&gt;"", "', textZhG211Additional: '"&amp;SUBSTITUTE(SUBSTITUTE(AK212, CHAR(13), ""),CHAR(10),"\n"), "")&amp;"', textKo: '"&amp;SUBSTITUTE(SUBSTITUTE(SUBSTITUTE(AM212, CHAR(13), ""),CHAR(10),"\n"),"'","\'")&amp;IF(AM212&lt;&gt;"", "', textKoAdditional: '"&amp;SUBSTITUTE(SUBSTITUTE(AM212, CHAR(13), ""),CHAR(10),"\n"), "")&amp;"', textEn: '"&amp;SUBSTITUTE(SUBSTITUTE(SUBSTITUTE(AM212, CHAR(13), ""),CHAR(10),"\n"),"'","\'")&amp;IF(AN212&lt;&gt;"", "', textEnAdditional: '"&amp;SUBSTITUTE(SUBSTITUTE(AN212, CHAR(13), ""),CHAR(10),"\n"), "")&amp;"'"&amp;IF(AB212="○",", sealable: true","")&amp;IF(AC212="○",", removable: true","")&amp;IF(AA212="○",", lie: true","")&amp;IF(AD212="○",", investable: true","")&amp;"},")</x:f>
        <x:v>'15-korunu-o-n-4': {megami: 'korunu', name: '雪渡り', nameEn: 'Snow Crossing', nameZh: '渡雪', nameZhG211: '渡雪', nameKo: '눈 타기', ruby: 'ゆきわたり', rubyEn: '', baseType: 'normal', type: 'action', text: '間合⇔ダスト：1\n相手のオーラの空きがないならば、\nダスト→間合：1\nを行ってもよい。', textZh: '距↔1↔虚\n若敌装中没有空位，则你可以再进行：虚→1→距', textZhG211: '距（1）⇔虚\n若敌装中没有空位，则你可以选择虚（1）→距', textZhG211Additional: '간격⇔더스트:1\n\n상대의 오라가 꽉 차있다면,\n더스트→간격:1\n을 해도 좋다.', textKo: 'Distance (1)⇔ Shadow\n\nIf your opponent\'s Aura is full, you may then:\n\nShadow (1)→ Distance', textKoAdditional: 'Distance (1)⇔ Shadow\n\nIf your opponent's Aura is full, you may then:\n\nShadow (1)→ Distance', textEn: 'Distance (1)⇔ Shadow\n\nIf your opponent\'s Aura is full, you may then:\n\nShadow (1)→ Distance'},</x:v>
      </x:c>
      <x:c r="AU212" t="str">
        <x:f>IF($A212&lt;&gt;"", "    /** 《"&amp;$E212&amp;"》 */ export const "&amp;SUBSTITUTE(UPPER(IF(MID($A212, 3, 1)="-", RIGHT($A212,LEN($A212)-3), $A212)), "-", "_")&amp;": TCardId = '"&amp;$A212&amp;"';", "")</x:f>
        <x:v>    /** 《雪渡り》 */ export const KORUNU_O_N_4: TCardId = '15-korunu-o-n-4';</x:v>
      </x:c>
      <x:c r="AV212" t="str">
        <x:f>IF($A213&lt;&gt;"", "    | '"&amp;$A213&amp;"'", "")</x:f>
        <x:v>    | '15-korunu-o-n-5'</x:v>
      </x:c>
    </x:row>
    <x:row r="213" ht="98" customHeight="1">
      <x:c r="A213" t="str">
        <x:v>15-korunu-o-n-5</x:v>
      </x:c>
      <x:c r="B213" t="str">
        <x:v>korunu</x:v>
      </x:c>
      <x:c r="C213"/>
      <x:c r="D213"/>
      <x:c r="E213" t="str">
        <x:v>絶対零度</x:v>
      </x:c>
      <x:c r="F213" t="str">
        <x:v>ぜったいれいど</x:v>
      </x:c>
      <x:c r="G213" t="str">
        <x:v>绝对零度</x:v>
      </x:c>
      <x:c r="H213" t="str">
        <x:v>绝对零度</x:v>
      </x:c>
      <x:c r="I213"/>
      <x:c r="J213" t="str">
        <x:v>절대영도</x:v>
      </x:c>
      <x:c r="K213" t="str">
        <x:v>Absolute Zero</x:v>
      </x:c>
      <x:c r="L213"/>
      <x:c r="M213" t="str">
        <x:v>通常札</x:v>
      </x:c>
      <x:c r="N213"/>
      <x:c r="O213"/>
      <x:c r="P213"/>
      <x:c r="Q213"/>
      <x:c r="R213" t="str">
        <x:v>行動</x:v>
      </x:c>
      <x:c r="S213" t="str">
        <x:v>対応</x:v>
      </x:c>
      <x:c r="T213"/>
      <x:c r="U213"/>
      <x:c r="V213"/>
      <x:c r="W213"/>
      <x:c r="X213"/>
      <x:c r="Y213"/>
      <x:c r="Z213"/>
      <x:c r="AA213"/>
      <x:c r="AB213"/>
      <x:c r="AC213"/>
      <x:c r="AD213"/>
      <x:c r="AE213" s="438" t="str">
        <x:v>全力化:攻撃『適正距離2-5、1/2』を行い、相手はオーラの空きがなくなるまで凍結する。
基本動作《纏い》を1回行う。相手が3つ以上凍結しているならばさらにもう1回行う。</x:v>
      </x:c>
      <x:c r="AF213" s="438"/>
      <x:c r="AG213" s="499" t="str">
        <x:v>全力化：进行一次“攻击距离0-5、伤害1/2”的攻击，冻结对手直至敌装中没有空位为止。 
进行1次基本动作《装附》，对手有至少3个冻结的话再进行一次。</x:v>
      </x:c>
      <x:c r="AH213" s="438"/>
      <x:c r="AI213" s="499" t="str">
        <x:v>全力化：进行一次“攻击距离2-5 伤害1/2”的攻击。冻结对手，直至敌装中没有空位为止。
执行1次基本动作《装附》。若敌装中有至少3个冻结指示物，则再执行1次基本动作《装附》。</x:v>
      </x:c>
      <x:c r="AJ213" s="438"/>
      <x:c r="AK213" s="499" t="str">
        <x:v>전력화: 공격 『적정거리2-5、1/2』를 수행하고, 상대의 오라의 빈 칸이 없어질 때까지 동결시킨다.
기본행동 《휘감기》를 1회 수행한다. 상대가 3개 이상 동결되었다면 추가로 한번 더 수행한다.</x:v>
      </x:c>
      <x:c r="AL213" s="438"/>
      <x:c r="AM213" s="499" t="str">
        <x:v>All-Out - You attack with "Range: 2-5, Damage: 1/2". Then, Freeze your opponent until their Aura is full.
Perform a Recover basic action. If your opponent has 3 or more Ice counters, repeat this effect an additional time.</x:v>
      </x:c>
      <x:c r="AN213" s="438"/>
      <x:c r="AO213" s="438"/>
      <x:c r="AP213" s="438"/>
      <x:c r="AQ213" s="499" t="str">
        <x:v>    | '15-korunu-o-n-5'</x:v>
      </x:c>
      <x:c r="AR213" s="438"/>
      <x:c r="AS213" s="438"/>
      <x:c r="AT213" t="str">
        <x:f>IF(A213="", "","'"&amp;A213&amp;"': {megami: '"&amp;B213&amp;"'"&amp;IF(C213&lt;&gt;"",", anotherID: '"&amp;C213&amp;"', replace: '"&amp;D213&amp;"'","")&amp;", name: '"&amp;SUBSTITUTE(E213,"'","\'")&amp;"', nameEn: '"&amp;SUBSTITUTE(K213,"'","\'")&amp;"', nameZh: '"&amp;SUBSTITUTE(G213,"'","\'")&amp;"', nameZhG212: '"&amp;SUBSTITUTE(H213,"'","\'")&amp;"', nameKo: '"&amp;SUBSTITUTE(J213,"'","\'")&amp;"', ruby: '"&amp;F213&amp;"', rubyEn: '"&amp;L213&amp;IF(I213&lt;&gt;"", "', rubyZh: '"&amp;I213, "")&amp;"', baseType: '"&amp;IF(M213="通常札","normal",IF(M213="切札","special",IF(M213="追加札","extra",IF(M213="transform","transform",IF(M213="嵐","storm",IF(M213="兵員","troop",IF(M213="構想","plan",IF(M213="メインパーツ","mainParts",IF(M213="カスタムパーツ","customParts",IF(M213="運命","fate",IF(M213="仮想樹","virtualTree","")))))))))))&amp;"'"&amp;IF(N213="○",", extra: true","")&amp;IF(O213&lt;&gt;"",", extraFrom: '"&amp;O213&amp;"'","")&amp;IF(P213&lt;&gt;"",", exchangableTo: '"&amp;P213&amp;"'","")&amp;IF(Q213="○",", poison: true","")&amp;IF(R213&lt;&gt;"", ", type: '"&amp;IF(R213="攻撃","attack",IF(R213="行動","action",IF(R213="不定","variable",IF(R213="対応","reaction",IF(R213="全力","fullpower",IF(R213="付与","enhance",IF(R213="transform","transform","")))))))&amp;"'", "")&amp;IF(S213&lt;&gt;"",", subType: '"&amp;IF(S213="攻撃","attack",IF(S213="行動","action",IF(S213="不定","variable",IF(S213="対応","reaction",IF(S213="全力","fullpower",IF(S213="付与","enhance",IF(S213="transform","transform","")))))))&amp;"'","")&amp;""&amp;IF(T213&lt;&gt;"",", range: '"&amp;T213&amp;"'","")&amp;IF(V213&lt;&gt;"",", damage: '"&amp;V213&amp;"'","")&amp;IF(X213&lt;&gt;"",", capacity: '"&amp;X213&amp;"'","")&amp;IF(Y213&lt;&gt;"",", growth: "&amp;Y213&amp;"","")&amp;IF(Z213&lt;&gt;"",", cost: '"&amp;Z213&amp;"'","")&amp;", text: '"&amp;SUBSTITUTE(SUBSTITUTE(AE213, CHAR(13), ""),CHAR(10),"\n")&amp;IF(AF213&lt;&gt;"", "', textAdditional: '"&amp;SUBSTITUTE(SUBSTITUTE(AF213, CHAR(13), ""),CHAR(10),"\n"), "")&amp;"', textZh: '"&amp;SUBSTITUTE(SUBSTITUTE(SUBSTITUTE(AG213, CHAR(13), ""),CHAR(10),"\n"),"'","\'")&amp;"', textZhG212: '"&amp;SUBSTITUTE(SUBSTITUTE(SUBSTITUTE(AI213, CHAR(13), ""),CHAR(10),"\n"),"'","\'")&amp;IF(AH213&lt;&gt;"", "', textZhAdditional: '"&amp;SUBSTITUTE(SUBSTITUTE(AH213, CHAR(13), ""),CHAR(10),"\n"), "")&amp;IF(AK213&lt;&gt;"", "', textZhG212Additional: '"&amp;SUBSTITUTE(SUBSTITUTE(AK213, CHAR(13), ""),CHAR(10),"\n"), "")&amp;"', textKo: '"&amp;SUBSTITUTE(SUBSTITUTE(SUBSTITUTE(AM213, CHAR(13), ""),CHAR(10),"\n"),"'","\'")&amp;IF(AM213&lt;&gt;"", "', textKoAdditional: '"&amp;SUBSTITUTE(SUBSTITUTE(AM213, CHAR(13), ""),CHAR(10),"\n"), "")&amp;"', textEn: '"&amp;SUBSTITUTE(SUBSTITUTE(SUBSTITUTE(AM213, CHAR(13), ""),CHAR(10),"\n"),"'","\'")&amp;IF(AN213&lt;&gt;"", "', textEnAdditional: '"&amp;SUBSTITUTE(SUBSTITUTE(AN213, CHAR(13), ""),CHAR(10),"\n"), "")&amp;"'"&amp;IF(AB213="○",", sealable: true","")&amp;IF(AC213="○",", removable: true","")&amp;IF(AA213="○",", lie: true","")&amp;IF(AD213="○",", investable: true","")&amp;"},")</x:f>
        <x:v>'15-korunu-o-n-5': {megami: 'korunu', name: '絶対零度', nameEn: 'Absolute Zero', nameZh: '绝对零度', nameZhG212: '绝对零度', nameKo: '절대영도', ruby: 'ぜったいれいど', rubyEn: '', baseType: 'normal', type: 'action', subType: 'reaction', text: '全力化:攻撃『適正距離2-5、1/2』を行い、相手はオーラの空きがなくなるまで凍結する。\n基本動作《纏い》を1回行う。相手が3つ以上凍結しているならばさらにもう1回行う。', textZh: '全力化：进行一次“攻击距离0-5、伤害1/2”的攻击，冻结对手直至敌装中没有空位为止。 \n\n进行1次基本动作《装附》，对手有至少3个冻结的话再进行一次。', textZhG212: '全力化：进行一次“攻击距离2-5 伤害1/2”的攻击。冻结对手，直至敌装中没有空位为止。\n\n执行1次基本动作《装附》。若敌装中有至少3个冻结指示物，则再执行1次基本动作《装附》。', textZhG212Additional: '전력화: 공격 『적정거리2-5、1/2』를 수행하고, 상대의 오라의 빈 칸이 없어질 때까지 동결시킨다.\n\n기본행동 《휘감기》를 1회 수행한다. 상대가 3개 이상 동결되었다면 추가로 한번 더 수행한다.', textKo: 'All-Out - You attack with "Range: 2-5, Damage: 1/2". Then, Freeze your opponent until their Aura is full.\n\nPerform a Recover basic action. If your opponent has 3 or more Ice counters, repeat this effect an additional time.', textKoAdditional: 'All-Out - You attack with "Range: 2-5, Damage: 1/2". Then, Freeze your opponent until their Aura is full.\n\nPerform a Recover basic action. If your opponent has 3 or more Ice counters, repeat this effect an additional time.', textEn: 'All-Out - You attack with "Range: 2-5, Damage: 1/2". Then, Freeze your opponent until their Aura is full.\n\nPerform a Recover basic action. If your opponent has 3 or more Ice counters, repeat this effect an additional time.'},</x:v>
      </x:c>
      <x:c r="AU213" t="str">
        <x:f>IF($A213&lt;&gt;"", "    /** 《"&amp;$E213&amp;"》 */ export const "&amp;SUBSTITUTE(UPPER(IF(MID($A213, 3, 1)="-", RIGHT($A213,LEN($A213)-3), $A213)), "-", "_")&amp;": TCardId = '"&amp;$A213&amp;"';", "")</x:f>
        <x:v>    /** 《絶対零度》 */ export const KORUNU_O_N_5: TCardId = '15-korunu-o-n-5';</x:v>
      </x:c>
      <x:c r="AV213" t="str">
        <x:f>IF($A214&lt;&gt;"", "    | '"&amp;$A214&amp;"'", "")</x:f>
        <x:v>    | '15-korunu-o-n-6'</x:v>
      </x:c>
    </x:row>
    <x:row r="214" ht="53" customHeight="1">
      <x:c r="A214" t="str">
        <x:v>15-korunu-o-n-6</x:v>
      </x:c>
      <x:c r="B214" t="str">
        <x:v>korunu</x:v>
      </x:c>
      <x:c r="C214"/>
      <x:c r="D214"/>
      <x:c r="E214" t="str">
        <x:v>かじかみ</x:v>
      </x:c>
      <x:c r="F214"/>
      <x:c r="G214" t="str">
        <x:v>冻僵</x:v>
      </x:c>
      <x:c r="H214" t="str">
        <x:v>冻僵</x:v>
      </x:c>
      <x:c r="I214"/>
      <x:c r="J214" t="str">
        <x:v>동상</x:v>
      </x:c>
      <x:c r="K214" t="str">
        <x:v>Frostbite</x:v>
      </x:c>
      <x:c r="L214"/>
      <x:c r="M214" t="str">
        <x:v>通常札</x:v>
      </x:c>
      <x:c r="N214"/>
      <x:c r="O214"/>
      <x:c r="P214"/>
      <x:c r="Q214"/>
      <x:c r="R214" t="str">
        <x:v>付与</x:v>
      </x:c>
      <x:c r="S214"/>
      <x:c r="T214"/>
      <x:c r="U214"/>
      <x:c r="V214"/>
      <x:c r="W214"/>
      <x:c r="X214" t="n">
        <x:v>2</x:v>
      </x:c>
      <x:c r="Y214"/>
      <x:c r="Z214"/>
      <x:c r="AA214"/>
      <x:c r="AB214"/>
      <x:c r="AC214"/>
      <x:c r="AD214"/>
      <x:c r="AE214" s="438" t="str">
        <x:v>【展開時】相手は1回凍結する。
【展開中】相手は基本動作《宿し》を行えない。</x:v>
      </x:c>
      <x:c r="AF214" s="438"/>
      <x:c r="AG214" s="499" t="str">
        <x:v>【展开时】冻结对手1次。
【展开中】对手不能执行基本动作《聚气》。</x:v>
      </x:c>
      <x:c r="AH214" s="438"/>
      <x:c r="AI214" s="499" t="str">
        <x:v>【展开时】冻结对手1次。
【展开中】对手不能执行基本动作《聚气》。</x:v>
      </x:c>
      <x:c r="AJ214" s="438"/>
      <x:c r="AK214" s="499" t="str">
        <x:v>【전개시】상대를 동결시킨다.
【전개중】상대는 기본 동작 《품기》를 할 수 없다.</x:v>
      </x:c>
      <x:c r="AL214" s="438"/>
      <x:c r="AM214" s="499" t="str">
        <x:v>Initialize: Freeze your opponent.
Ongoing: Your opponent cannot perform the Focus basic action.</x:v>
      </x:c>
      <x:c r="AN214" s="438"/>
      <x:c r="AO214" s="438"/>
      <x:c r="AP214" s="438"/>
      <x:c r="AQ214" s="438"/>
      <x:c r="AR214" s="438"/>
      <x:c r="AS214" s="438"/>
      <x:c r="AT214" t="str">
        <x:f>IF(A214="", "","'"&amp;A214&amp;"': {megami: '"&amp;B214&amp;"'"&amp;IF(C214&lt;&gt;"",", anotherID: '"&amp;C214&amp;"', replace: '"&amp;D214&amp;"'","")&amp;", name: '"&amp;SUBSTITUTE(E214,"'","\'")&amp;"', nameEn: '"&amp;SUBSTITUTE(K214,"'","\'")&amp;"', nameZh: '"&amp;SUBSTITUTE(G214,"'","\'")&amp;"', nameZhG213: '"&amp;SUBSTITUTE(H214,"'","\'")&amp;"', nameKo: '"&amp;SUBSTITUTE(J214,"'","\'")&amp;"', ruby: '"&amp;F214&amp;"', rubyEn: '"&amp;L214&amp;IF(I214&lt;&gt;"", "', rubyZh: '"&amp;I214, "")&amp;"', baseType: '"&amp;IF(M214="通常札","normal",IF(M214="切札","special",IF(M214="追加札","extra",IF(M214="transform","transform",IF(M214="嵐","storm",IF(M214="兵員","troop",IF(M214="構想","plan",IF(M214="メインパーツ","mainParts",IF(M214="カスタムパーツ","customParts",IF(M214="運命","fate",IF(M214="仮想樹","virtualTree","")))))))))))&amp;"'"&amp;IF(N214="○",", extra: true","")&amp;IF(O214&lt;&gt;"",", extraFrom: '"&amp;O214&amp;"'","")&amp;IF(P214&lt;&gt;"",", exchangableTo: '"&amp;P214&amp;"'","")&amp;IF(Q214="○",", poison: true","")&amp;IF(R214&lt;&gt;"", ", type: '"&amp;IF(R214="攻撃","attack",IF(R214="行動","action",IF(R214="不定","variable",IF(R214="対応","reaction",IF(R214="全力","fullpower",IF(R214="付与","enhance",IF(R214="transform","transform","")))))))&amp;"'", "")&amp;IF(S214&lt;&gt;"",", subType: '"&amp;IF(S214="攻撃","attack",IF(S214="行動","action",IF(S214="不定","variable",IF(S214="対応","reaction",IF(S214="全力","fullpower",IF(S214="付与","enhance",IF(S214="transform","transform","")))))))&amp;"'","")&amp;""&amp;IF(T214&lt;&gt;"",", range: '"&amp;T214&amp;"'","")&amp;IF(V214&lt;&gt;"",", damage: '"&amp;V214&amp;"'","")&amp;IF(X214&lt;&gt;"",", capacity: '"&amp;X214&amp;"'","")&amp;IF(Y214&lt;&gt;"",", growth: "&amp;Y214&amp;"","")&amp;IF(Z214&lt;&gt;"",", cost: '"&amp;Z214&amp;"'","")&amp;", text: '"&amp;SUBSTITUTE(SUBSTITUTE(AE214, CHAR(13), ""),CHAR(10),"\n")&amp;IF(AF214&lt;&gt;"", "', textAdditional: '"&amp;SUBSTITUTE(SUBSTITUTE(AF214, CHAR(13), ""),CHAR(10),"\n"), "")&amp;"', textZh: '"&amp;SUBSTITUTE(SUBSTITUTE(SUBSTITUTE(AG214, CHAR(13), ""),CHAR(10),"\n"),"'","\'")&amp;"', textZhG213: '"&amp;SUBSTITUTE(SUBSTITUTE(SUBSTITUTE(AI214, CHAR(13), ""),CHAR(10),"\n"),"'","\'")&amp;IF(AH214&lt;&gt;"", "', textZhAdditional: '"&amp;SUBSTITUTE(SUBSTITUTE(AH214, CHAR(13), ""),CHAR(10),"\n"), "")&amp;IF(AK214&lt;&gt;"", "', textZhG213Additional: '"&amp;SUBSTITUTE(SUBSTITUTE(AK214, CHAR(13), ""),CHAR(10),"\n"), "")&amp;"', textKo: '"&amp;SUBSTITUTE(SUBSTITUTE(SUBSTITUTE(AM214, CHAR(13), ""),CHAR(10),"\n"),"'","\'")&amp;IF(AM214&lt;&gt;"", "', textKoAdditional: '"&amp;SUBSTITUTE(SUBSTITUTE(AM214, CHAR(13), ""),CHAR(10),"\n"), "")&amp;"', textEn: '"&amp;SUBSTITUTE(SUBSTITUTE(SUBSTITUTE(AM214, CHAR(13), ""),CHAR(10),"\n"),"'","\'")&amp;IF(AN214&lt;&gt;"", "', textEnAdditional: '"&amp;SUBSTITUTE(SUBSTITUTE(AN214, CHAR(13), ""),CHAR(10),"\n"), "")&amp;"'"&amp;IF(AB214="○",", sealable: true","")&amp;IF(AC214="○",", removable: true","")&amp;IF(AA214="○",", lie: true","")&amp;IF(AD214="○",", investable: true","")&amp;"},")</x:f>
        <x:v>'15-korunu-o-n-6': {megami: 'korunu', name: 'かじかみ', nameEn: 'Frostbite', nameZh: '冻僵', nameZhG213: '冻僵', nameKo: '동상', ruby: '', rubyEn: '', baseType: 'normal', type: 'enhance', capacity: '2', text: '【展開時】相手は1回凍結する。\n【展開中】相手は基本動作《宿し》を行えない。', textZh: '【展开时】冻结对手1次。\n【展开中】对手不能执行基本动作《聚气》。', textZhG213: '【展开时】冻结对手1次。\n【展开中】对手不能执行基本动作《聚气》。', textZhG213Additional: '【전개시】상대를 동결시킨다.\n【전개중】상대는 기본 동작 《품기》를 할 수 없다.', textKo: 'Initialize: Freeze your opponent.\nOngoing: Your opponent cannot perform the Focus basic action.', textKoAdditional: 'Initialize: Freeze your opponent.\nOngoing: Your opponent cannot perform the Focus basic action.', textEn: 'Initialize: Freeze your opponent.\nOngoing: Your opponent cannot perform the Focus basic action.'},</x:v>
      </x:c>
      <x:c r="AU214" t="str">
        <x:f>IF($A214&lt;&gt;"", "    /** 《"&amp;$E214&amp;"》 */ export const "&amp;SUBSTITUTE(UPPER(IF(MID($A214, 3, 1)="-", RIGHT($A214,LEN($A214)-3), $A214)), "-", "_")&amp;": TCardId = '"&amp;$A214&amp;"';", "")</x:f>
        <x:v>    /** 《かじかみ》 */ export const KORUNU_O_N_6: TCardId = '15-korunu-o-n-6';</x:v>
      </x:c>
      <x:c r="AV214" t="str">
        <x:f>IF($A215&lt;&gt;"", "    | '"&amp;$A215&amp;"'", "")</x:f>
        <x:v>    | '15-korunu-o-n-7'</x:v>
      </x:c>
    </x:row>
    <x:row r="215" ht="98" customHeight="1">
      <x:c r="A215" t="str">
        <x:v>15-korunu-o-n-7</x:v>
      </x:c>
      <x:c r="B215" t="str">
        <x:v>korunu</x:v>
      </x:c>
      <x:c r="C215"/>
      <x:c r="D215"/>
      <x:c r="E215" t="str">
        <x:v>霜の茨</x:v>
      </x:c>
      <x:c r="F215" t="str">
        <x:v>しものいばら</x:v>
      </x:c>
      <x:c r="G215" t="str">
        <x:v>霜茨</x:v>
      </x:c>
      <x:c r="H215" t="str">
        <x:v>霜之棘</x:v>
      </x:c>
      <x:c r="I215"/>
      <x:c r="J215" t="str">
        <x:v>서리 가시덤불</x:v>
      </x:c>
      <x:c r="K215" t="str">
        <x:v>Rimethorn</x:v>
      </x:c>
      <x:c r="L215"/>
      <x:c r="M215" t="str">
        <x:v>通常札</x:v>
      </x:c>
      <x:c r="N215"/>
      <x:c r="O215"/>
      <x:c r="P215"/>
      <x:c r="Q215"/>
      <x:c r="R215" t="str">
        <x:v>付与</x:v>
      </x:c>
      <x:c r="S215"/>
      <x:c r="T215"/>
      <x:c r="U215"/>
      <x:c r="V215"/>
      <x:c r="W215"/>
      <x:c r="X215" t="n">
        <x:v>2</x:v>
      </x:c>
      <x:c r="Y215"/>
      <x:c r="Z215"/>
      <x:c r="AA215"/>
      <x:c r="AB215"/>
      <x:c r="AC215"/>
      <x:c r="AD215"/>
      <x:c r="AE215" s="438" t="str">
        <x:v>【展開中】あなたのターンにあなたが初めて行う切札でない《攻撃》は+1/+1となる。
【展開中】相手が凍結しているならば、あなたの開始フェイズの処理でこの付与札の上の桜花結晶を移動させなくてもよい。</x:v>
      </x:c>
      <x:c r="AF215" s="438"/>
      <x:c r="AG215" s="438" t="str">
        <x:v>【展开中】你的回合内你第一次进行的非王牌的《攻击》得+1/+1。
【展开中】若对手被冻结，则你的准备阶段的结算可以不移动这张付与牌上的樱花结晶。</x:v>
      </x:c>
      <x:c r="AH215" s="438"/>
      <x:c r="AI215" s="438" t="str">
        <x:v>【展开中】你的回合内你进行的第一次非王牌的《攻击》获得+1/+1。
【展开中】若对手被冻结，则你的准备阶段从所有付与牌上移除樱花结晶时可以不移除此牌上的樱花结晶。</x:v>
      </x:c>
      <x:c r="AJ215" s="438"/>
      <x:c r="AK215" s="438" t="str">
        <x:v>【전개중】자신의 턴에 자신이 처음으로 하는 비장패가 아닌 《공격》은 +1/+1 된다.
【전개중】상대가 동결되어있다면 자신의 턴 개시 페이즈에 이 카드에 올려진 벚꽃 결정을 이동시키지 않아도 좋다.</x:v>
      </x:c>
      <x:c r="AL215" s="438"/>
      <x:c r="AM215" s="438" t="str">
        <x:v>Ongoing: The first non-Special attack you make on each of your turns gets +1/+1.
Ongoing: If your opponent has any Ice counters, you may choose not to move Sakura tokens from this card as part of the beginning of turn process on your turn.</x:v>
      </x:c>
      <x:c r="AN215" s="438"/>
      <x:c r="AO215" s="438"/>
      <x:c r="AP215" s="438"/>
      <x:c r="AQ215" s="438"/>
      <x:c r="AR215" s="438"/>
      <x:c r="AS215" s="438"/>
      <x:c r="AT215" t="str">
        <x:f>IF(A215="", "","'"&amp;A215&amp;"': {megami: '"&amp;B215&amp;"'"&amp;IF(C215&lt;&gt;"",", anotherID: '"&amp;C215&amp;"', replace: '"&amp;D215&amp;"'","")&amp;", name: '"&amp;SUBSTITUTE(E215,"'","\'")&amp;"', nameEn: '"&amp;SUBSTITUTE(K215,"'","\'")&amp;"', nameZh: '"&amp;SUBSTITUTE(G215,"'","\'")&amp;"', nameZhG214: '"&amp;SUBSTITUTE(H215,"'","\'")&amp;"', nameKo: '"&amp;SUBSTITUTE(J215,"'","\'")&amp;"', ruby: '"&amp;F215&amp;"', rubyEn: '"&amp;L215&amp;IF(I215&lt;&gt;"", "', rubyZh: '"&amp;I215, "")&amp;"', baseType: '"&amp;IF(M215="通常札","normal",IF(M215="切札","special",IF(M215="追加札","extra",IF(M215="transform","transform",IF(M215="嵐","storm",IF(M215="兵員","troop",IF(M215="構想","plan",IF(M215="メインパーツ","mainParts",IF(M215="カスタムパーツ","customParts",IF(M215="運命","fate",IF(M215="仮想樹","virtualTree","")))))))))))&amp;"'"&amp;IF(N215="○",", extra: true","")&amp;IF(O215&lt;&gt;"",", extraFrom: '"&amp;O215&amp;"'","")&amp;IF(P215&lt;&gt;"",", exchangableTo: '"&amp;P215&amp;"'","")&amp;IF(Q215="○",", poison: true","")&amp;IF(R215&lt;&gt;"", ", type: '"&amp;IF(R215="攻撃","attack",IF(R215="行動","action",IF(R215="不定","variable",IF(R215="対応","reaction",IF(R215="全力","fullpower",IF(R215="付与","enhance",IF(R215="transform","transform","")))))))&amp;"'", "")&amp;IF(S215&lt;&gt;"",", subType: '"&amp;IF(S215="攻撃","attack",IF(S215="行動","action",IF(S215="不定","variable",IF(S215="対応","reaction",IF(S215="全力","fullpower",IF(S215="付与","enhance",IF(S215="transform","transform","")))))))&amp;"'","")&amp;""&amp;IF(T215&lt;&gt;"",", range: '"&amp;T215&amp;"'","")&amp;IF(V215&lt;&gt;"",", damage: '"&amp;V215&amp;"'","")&amp;IF(X215&lt;&gt;"",", capacity: '"&amp;X215&amp;"'","")&amp;IF(Y215&lt;&gt;"",", growth: "&amp;Y215&amp;"","")&amp;IF(Z215&lt;&gt;"",", cost: '"&amp;Z215&amp;"'","")&amp;", text: '"&amp;SUBSTITUTE(SUBSTITUTE(AE215, CHAR(13), ""),CHAR(10),"\n")&amp;IF(AF215&lt;&gt;"", "', textAdditional: '"&amp;SUBSTITUTE(SUBSTITUTE(AF215, CHAR(13), ""),CHAR(10),"\n"), "")&amp;"', textZh: '"&amp;SUBSTITUTE(SUBSTITUTE(SUBSTITUTE(AG215, CHAR(13), ""),CHAR(10),"\n"),"'","\'")&amp;"', textZhG214: '"&amp;SUBSTITUTE(SUBSTITUTE(SUBSTITUTE(AI215, CHAR(13), ""),CHAR(10),"\n"),"'","\'")&amp;IF(AH215&lt;&gt;"", "', textZhAdditional: '"&amp;SUBSTITUTE(SUBSTITUTE(AH215, CHAR(13), ""),CHAR(10),"\n"), "")&amp;IF(AK215&lt;&gt;"", "', textZhG214Additional: '"&amp;SUBSTITUTE(SUBSTITUTE(AK215, CHAR(13), ""),CHAR(10),"\n"), "")&amp;"', textKo: '"&amp;SUBSTITUTE(SUBSTITUTE(SUBSTITUTE(AM215, CHAR(13), ""),CHAR(10),"\n"),"'","\'")&amp;IF(AM215&lt;&gt;"", "', textKoAdditional: '"&amp;SUBSTITUTE(SUBSTITUTE(AM215, CHAR(13), ""),CHAR(10),"\n"), "")&amp;"', textEn: '"&amp;SUBSTITUTE(SUBSTITUTE(SUBSTITUTE(AM215, CHAR(13), ""),CHAR(10),"\n"),"'","\'")&amp;IF(AN215&lt;&gt;"", "', textEnAdditional: '"&amp;SUBSTITUTE(SUBSTITUTE(AN215, CHAR(13), ""),CHAR(10),"\n"), "")&amp;"'"&amp;IF(AB215="○",", sealable: true","")&amp;IF(AC215="○",", removable: true","")&amp;IF(AA215="○",", lie: true","")&amp;IF(AD215="○",", investable: true","")&amp;"},")</x:f>
        <x:v>'15-korunu-o-n-7': {megami: 'korunu', name: '霜の茨', nameEn: 'Rimethorn', nameZh: '霜茨', nameZhG214: '霜之棘', nameKo: '서리 가시덤불', ruby: 'しものいばら', rubyEn: '', baseType: 'normal', type: 'enhance', capacity: '2', text: '【展開中】あなたのターンにあなたが初めて行う切札でない《攻撃》は+1/+1となる。\n【展開中】相手が凍結しているならば、あなたの開始フェイズの処理でこの付与札の上の桜花結晶を移動させなくてもよい。', textZh: '【展开中】你的回合内你第一次进行的非王牌的《攻击》得+1/+1。\n【展开中】若对手被冻结，则你的准备阶段的结算可以不移动这张付与牌上的樱花结晶。', textZhG214: '【展开中】你的回合内你进行的第一次非王牌的《攻击》获得+1/+1。\n【展开中】若对手被冻结，则你的准备阶段从所有付与牌上移除樱花结晶时可以不移除此牌上的樱花结晶。', textZhG214Additional: '【전개중】자신의 턴에 자신이 처음으로 하는 비장패가 아닌 《공격》은 +1/+1 된다.\n【전개중】상대가 동결되어있다면 자신의 턴 개시 페이즈에 이 카드에 올려진 벚꽃 결정을 이동시키지 않아도 좋다.', textKo: 'Ongoing: The first non-Special attack you make on each of your turns gets +1/+1.\n\nOngoing: If your opponent has any Ice counters, you may choose not to move Sakura tokens from this card as part of the beginning of turn process on your turn.', textKoAdditional: 'Ongoing: The first non-Special attack you make on each of your turns gets +1/+1.\n\nOngoing: If your opponent has any Ice counters, you may choose not to move Sakura tokens from this card as part of the beginning of turn process on your turn.', textEn: 'Ongoing: The first non-Special attack you make on each of your turns gets +1/+1.\n\nOngoing: If your opponent has any Ice counters, you may choose not to move Sakura tokens from this card as part of the beginning of turn process on your turn.'},</x:v>
      </x:c>
      <x:c r="AU215" t="str">
        <x:f>IF($A215&lt;&gt;"", "    /** 《"&amp;$E215&amp;"》 */ export const "&amp;SUBSTITUTE(UPPER(IF(MID($A215, 3, 1)="-", RIGHT($A215,LEN($A215)-3), $A215)), "-", "_")&amp;": TCardId = '"&amp;$A215&amp;"';", "")</x:f>
        <x:v>    /** 《霜の茨》 */ export const KORUNU_O_N_7: TCardId = '15-korunu-o-n-7';</x:v>
      </x:c>
      <x:c r="AV215" t="str">
        <x:f>IF($A216&lt;&gt;"", "    | '"&amp;$A216&amp;"'", "")</x:f>
        <x:v>    | '15-korunu-o-s-1'</x:v>
      </x:c>
    </x:row>
    <x:row r="216" ht="83" customHeight="1">
      <x:c r="A216" t="str">
        <x:v>15-korunu-o-s-1</x:v>
      </x:c>
      <x:c r="B216" t="str">
        <x:v>korunu</x:v>
      </x:c>
      <x:c r="C216"/>
      <x:c r="D216"/>
      <x:c r="E216" t="str">
        <x:v>コンルルヤンペ</x:v>
      </x:c>
      <x:c r="F216"/>
      <x:c r="G216" t="str">
        <x:v>凛冽冰雨</x:v>
      </x:c>
      <x:c r="H216" t="str">
        <x:v>凛冽冰雨</x:v>
      </x:c>
      <x:c r="I216"/>
      <x:c r="J216" t="str">
        <x:v>콘루 루얀페</x:v>
      </x:c>
      <x:c r="K216" t="str">
        <x:v>Konru Ruyanpe</x:v>
      </x:c>
      <x:c r="L216"/>
      <x:c r="M216" t="str">
        <x:v>切札</x:v>
      </x:c>
      <x:c r="N216"/>
      <x:c r="O216"/>
      <x:c r="P216"/>
      <x:c r="Q216"/>
      <x:c r="R216" t="str">
        <x:v>攻撃</x:v>
      </x:c>
      <x:c r="S216"/>
      <x:c r="T216" t="str">
        <x:v>3-5</x:v>
      </x:c>
      <x:c r="U216"/>
      <x:c r="V216" t="str">
        <x:v>2/3</x:v>
      </x:c>
      <x:c r="W216"/>
      <x:c r="X216"/>
      <x:c r="Y216"/>
      <x:c r="Z216" t="n">
        <x:v>4</x:v>
      </x:c>
      <x:c r="AA216"/>
      <x:c r="AB216"/>
      <x:c r="AC216"/>
      <x:c r="AD216"/>
      <x:c r="AE216" s="438" t="str">
        <x:v>【攻撃後】相手がオーラへのダメージを選んだならば、相手はオーラの空きがなくなるまで凍結する。</x:v>
      </x:c>
      <x:c r="AF216" s="438"/>
      <x:c r="AG216" s="438" t="str">
        <x:v>(+1) 【展開時】攻撃『適正距離3、2/2、不可避』を行う。
----
隙
【展開中】相手のオーラへと桜花結晶が移動するならば、それは代わりにダストへと移動する。そうした場合、このカードの上から桜花結晶を1つダストに送る。</x:v>
      </x:c>
      <x:c r="AH216" s="438"/>
      <x:c r="AI216" s="438" t="str">
        <x:v>【攻击后】若对手选择由装承受此次伤害，则冻结对手，直至敌装中没有空位为止。</x:v>
      </x:c>
      <x:c r="AJ216" s="438"/>
      <x:c r="AK216" s="438" t="str">
        <x:v>【공격후】상대가 오라 데미지를 선택했다면 상대의 오라가 꽉 찰때까지 동결시킨다.</x:v>
      </x:c>
      <x:c r="AL216" s="438"/>
      <x:c r="AM216" s="438" t="str">
        <x:v>After Attack: If your opponent chose to take damage to Aura, Freeze them until their Aura is full.</x:v>
      </x:c>
      <x:c r="AN216" s="438"/>
      <x:c r="AO216" s="438"/>
      <x:c r="AP216" s="438"/>
      <x:c r="AQ216" s="438"/>
      <x:c r="AR216" s="438"/>
      <x:c r="AS216" s="438"/>
      <x:c r="AT216" t="str">
        <x:f>IF(A216="", "","'"&amp;A216&amp;"': {megami: '"&amp;B216&amp;"'"&amp;IF(C216&lt;&gt;"",", anotherID: '"&amp;C216&amp;"', replace: '"&amp;D216&amp;"'","")&amp;", name: '"&amp;SUBSTITUTE(E216,"'","\'")&amp;"', nameEn: '"&amp;SUBSTITUTE(K216,"'","\'")&amp;"', nameZh: '"&amp;SUBSTITUTE(G216,"'","\'")&amp;"', nameZhG215: '"&amp;SUBSTITUTE(H216,"'","\'")&amp;"', nameKo: '"&amp;SUBSTITUTE(J216,"'","\'")&amp;"', ruby: '"&amp;F216&amp;"', rubyEn: '"&amp;L216&amp;IF(I216&lt;&gt;"", "', rubyZh: '"&amp;I216, "")&amp;"', baseType: '"&amp;IF(M216="通常札","normal",IF(M216="切札","special",IF(M216="追加札","extra",IF(M216="transform","transform",IF(M216="嵐","storm",IF(M216="兵員","troop",IF(M216="構想","plan",IF(M216="メインパーツ","mainParts",IF(M216="カスタムパーツ","customParts",IF(M216="運命","fate",IF(M216="仮想樹","virtualTree","")))))))))))&amp;"'"&amp;IF(N216="○",", extra: true","")&amp;IF(O216&lt;&gt;"",", extraFrom: '"&amp;O216&amp;"'","")&amp;IF(P216&lt;&gt;"",", exchangableTo: '"&amp;P216&amp;"'","")&amp;IF(Q216="○",", poison: true","")&amp;IF(R216&lt;&gt;"", ", type: '"&amp;IF(R216="攻撃","attack",IF(R216="行動","action",IF(R216="不定","variable",IF(R216="対応","reaction",IF(R216="全力","fullpower",IF(R216="付与","enhance",IF(R216="transform","transform","")))))))&amp;"'", "")&amp;IF(S216&lt;&gt;"",", subType: '"&amp;IF(S216="攻撃","attack",IF(S216="行動","action",IF(S216="不定","variable",IF(S216="対応","reaction",IF(S216="全力","fullpower",IF(S216="付与","enhance",IF(S216="transform","transform","")))))))&amp;"'","")&amp;""&amp;IF(T216&lt;&gt;"",", range: '"&amp;T216&amp;"'","")&amp;IF(V216&lt;&gt;"",", damage: '"&amp;V216&amp;"'","")&amp;IF(X216&lt;&gt;"",", capacity: '"&amp;X216&amp;"'","")&amp;IF(Y216&lt;&gt;"",", growth: "&amp;Y216&amp;"","")&amp;IF(Z216&lt;&gt;"",", cost: '"&amp;Z216&amp;"'","")&amp;", text: '"&amp;SUBSTITUTE(SUBSTITUTE(AE216, CHAR(13), ""),CHAR(10),"\n")&amp;IF(AF216&lt;&gt;"", "', textAdditional: '"&amp;SUBSTITUTE(SUBSTITUTE(AF216, CHAR(13), ""),CHAR(10),"\n"), "")&amp;"', textZh: '"&amp;SUBSTITUTE(SUBSTITUTE(SUBSTITUTE(AG216, CHAR(13), ""),CHAR(10),"\n"),"'","\'")&amp;"', textZhG215: '"&amp;SUBSTITUTE(SUBSTITUTE(SUBSTITUTE(AI216, CHAR(13), ""),CHAR(10),"\n"),"'","\'")&amp;IF(AH216&lt;&gt;"", "', textZhAdditional: '"&amp;SUBSTITUTE(SUBSTITUTE(AH216, CHAR(13), ""),CHAR(10),"\n"), "")&amp;IF(AK216&lt;&gt;"", "', textZhG215Additional: '"&amp;SUBSTITUTE(SUBSTITUTE(AK216, CHAR(13), ""),CHAR(10),"\n"), "")&amp;"', textKo: '"&amp;SUBSTITUTE(SUBSTITUTE(SUBSTITUTE(AM216, CHAR(13), ""),CHAR(10),"\n"),"'","\'")&amp;IF(AM216&lt;&gt;"", "', textKoAdditional: '"&amp;SUBSTITUTE(SUBSTITUTE(AM216, CHAR(13), ""),CHAR(10),"\n"), "")&amp;"', textEn: '"&amp;SUBSTITUTE(SUBSTITUTE(SUBSTITUTE(AM216, CHAR(13), ""),CHAR(10),"\n"),"'","\'")&amp;IF(AN216&lt;&gt;"", "', textEnAdditional: '"&amp;SUBSTITUTE(SUBSTITUTE(AN216, CHAR(13), ""),CHAR(10),"\n"), "")&amp;"'"&amp;IF(AB216="○",", sealable: true","")&amp;IF(AC216="○",", removable: true","")&amp;IF(AA216="○",", lie: true","")&amp;IF(AD216="○",", investable: true","")&amp;"},")</x:f>
        <x:v>'15-korunu-o-s-1': {megami: 'korunu', name: 'コンルルヤンペ', nameEn: 'Konru Ruyanpe', nameZh: '凛冽冰雨', nameZhG215: '凛冽冰雨', nameKo: '콘루 루얀페', ruby: '', rubyEn: '', baseType: 'special', type: 'attack', range: '3-5', damage: '2/3', cost: '4', text: '【攻撃後】相手がオーラへのダメージを選んだならば、相手はオーラの空きがなくなるまで凍結する。', textZh: '(+1) 【展開時】攻撃『適正距離3、2/2、不可避』を行う。\n----\n隙\n【展開中】相手のオーラへと桜花結晶が移動するならば、それは代わりにダストへと移動する。そうした場合、このカードの上から桜花結晶を1つダストに送る。', textZhG215: '【攻击后】若对手选择由装承受此次伤害，则冻结对手，直至敌装中没有空位为止。', textZhG215Additional: '【공격후】상대가 오라 데미지를 선택했다면 상대의 오라가 꽉 찰때까지 동결시킨다.', textKo: 'After Attack: If your opponent chose to take damage to Aura, Freeze them until their Aura is full.', textKoAdditional: 'After Attack: If your opponent chose to take damage to Aura, Freeze them until their Aura is full.', textEn: 'After Attack: If your opponent chose to take damage to Aura, Freeze them until their Aura is full.'},</x:v>
      </x:c>
      <x:c r="AU216" t="str">
        <x:f>IF($A216&lt;&gt;"", "    /** 《"&amp;$E216&amp;"》 */ export const "&amp;SUBSTITUTE(UPPER(IF(MID($A216, 3, 1)="-", RIGHT($A216,LEN($A216)-3), $A216)), "-", "_")&amp;": TCardId = '"&amp;$A216&amp;"';", "")</x:f>
        <x:v>    /** 《コンルルヤンペ》 */ export const KORUNU_O_S_1: TCardId = '15-korunu-o-s-1';</x:v>
      </x:c>
      <x:c r="AV216" t="str">
        <x:f>IF($A217&lt;&gt;"", "    | '"&amp;$A217&amp;"'", "")</x:f>
        <x:v>    | '15-korunu-o-s-2'</x:v>
      </x:c>
    </x:row>
    <x:row r="217" ht="68" customHeight="1">
      <x:c r="A217" t="str">
        <x:v>15-korunu-o-s-2</x:v>
      </x:c>
      <x:c r="B217" t="str">
        <x:v>korunu</x:v>
      </x:c>
      <x:c r="C217"/>
      <x:c r="D217"/>
      <x:c r="E217" t="str">
        <x:v>レタルレラ</x:v>
      </x:c>
      <x:c r="F217"/>
      <x:c r="G217" t="str">
        <x:v>刺骨霜风</x:v>
      </x:c>
      <x:c r="H217" t="str">
        <x:v>刺骨霜风</x:v>
      </x:c>
      <x:c r="I217"/>
      <x:c r="J217" t="str">
        <x:v>레타르 레라</x:v>
      </x:c>
      <x:c r="K217" t="str">
        <x:v>Retar Rera</x:v>
      </x:c>
      <x:c r="L217"/>
      <x:c r="M217" t="str">
        <x:v>切札</x:v>
      </x:c>
      <x:c r="N217"/>
      <x:c r="O217"/>
      <x:c r="P217"/>
      <x:c r="Q217"/>
      <x:c r="R217" t="str">
        <x:v>行動</x:v>
      </x:c>
      <x:c r="S217" t="str">
        <x:v>対応</x:v>
      </x:c>
      <x:c r="T217"/>
      <x:c r="U217"/>
      <x:c r="V217"/>
      <x:c r="W217"/>
      <x:c r="X217"/>
      <x:c r="Y217"/>
      <x:c r="Z217" t="n">
        <x:v>2</x:v>
      </x:c>
      <x:c r="AA217"/>
      <x:c r="AB217"/>
      <x:c r="AC217"/>
      <x:c r="AD217"/>
      <x:c r="AE217" s="438" t="str">
        <x:v>相手のオーラに空きがないならば、対応した《攻撃》を打ち消す。そうでないならば
間合→相オーラ：1</x:v>
      </x:c>
      <x:c r="AF217" s="438"/>
      <x:c r="AG217" s="499" t="str">
        <x:v>若敌装中没有空位，则打消被对应的《攻击》。否则：距→1→敌装</x:v>
      </x:c>
      <x:c r="AH217" s="438"/>
      <x:c r="AI217" s="499" t="str">
        <x:v>若敌装中没有空位，则打消被对应的《攻击》。否则距（1）→敌装</x:v>
      </x:c>
      <x:c r="AJ217" s="438"/>
      <x:c r="AK217" s="499" t="str">
        <x:v>상대의 오라가 꽉 차있다면 대응한 공격을 무효한다. 그렇지 않다면,
간격→상대 오라:1</x:v>
      </x:c>
      <x:c r="AL217" s="438"/>
      <x:c r="AM217" s="499" t="str">
        <x:v>Cancel the attack you played this card as a Reaction to if your opponent's Aura is full. Otherwise,
Distance (1)→ Opponent's Aura</x:v>
      </x:c>
      <x:c r="AN217" s="438"/>
      <x:c r="AO217" s="438"/>
      <x:c r="AP217" s="438"/>
      <x:c r="AQ217" s="438"/>
      <x:c r="AR217" s="438"/>
      <x:c r="AS217" s="438"/>
      <x:c r="AT217" t="str">
        <x:f>IF(A217="", "","'"&amp;A217&amp;"': {megami: '"&amp;B217&amp;"'"&amp;IF(C217&lt;&gt;"",", anotherID: '"&amp;C217&amp;"', replace: '"&amp;D217&amp;"'","")&amp;", name: '"&amp;SUBSTITUTE(E217,"'","\'")&amp;"', nameEn: '"&amp;SUBSTITUTE(K217,"'","\'")&amp;"', nameZh: '"&amp;SUBSTITUTE(G217,"'","\'")&amp;"', nameZhG216: '"&amp;SUBSTITUTE(H217,"'","\'")&amp;"', nameKo: '"&amp;SUBSTITUTE(J217,"'","\'")&amp;"', ruby: '"&amp;F217&amp;"', rubyEn: '"&amp;L217&amp;IF(I217&lt;&gt;"", "', rubyZh: '"&amp;I217, "")&amp;"', baseType: '"&amp;IF(M217="通常札","normal",IF(M217="切札","special",IF(M217="追加札","extra",IF(M217="transform","transform",IF(M217="嵐","storm",IF(M217="兵員","troop",IF(M217="構想","plan",IF(M217="メインパーツ","mainParts",IF(M217="カスタムパーツ","customParts",IF(M217="運命","fate",IF(M217="仮想樹","virtualTree","")))))))))))&amp;"'"&amp;IF(N217="○",", extra: true","")&amp;IF(O217&lt;&gt;"",", extraFrom: '"&amp;O217&amp;"'","")&amp;IF(P217&lt;&gt;"",", exchangableTo: '"&amp;P217&amp;"'","")&amp;IF(Q217="○",", poison: true","")&amp;IF(R217&lt;&gt;"", ", type: '"&amp;IF(R217="攻撃","attack",IF(R217="行動","action",IF(R217="不定","variable",IF(R217="対応","reaction",IF(R217="全力","fullpower",IF(R217="付与","enhance",IF(R217="transform","transform","")))))))&amp;"'", "")&amp;IF(S217&lt;&gt;"",", subType: '"&amp;IF(S217="攻撃","attack",IF(S217="行動","action",IF(S217="不定","variable",IF(S217="対応","reaction",IF(S217="全力","fullpower",IF(S217="付与","enhance",IF(S217="transform","transform","")))))))&amp;"'","")&amp;""&amp;IF(T217&lt;&gt;"",", range: '"&amp;T217&amp;"'","")&amp;IF(V217&lt;&gt;"",", damage: '"&amp;V217&amp;"'","")&amp;IF(X217&lt;&gt;"",", capacity: '"&amp;X217&amp;"'","")&amp;IF(Y217&lt;&gt;"",", growth: "&amp;Y217&amp;"","")&amp;IF(Z217&lt;&gt;"",", cost: '"&amp;Z217&amp;"'","")&amp;", text: '"&amp;SUBSTITUTE(SUBSTITUTE(AE217, CHAR(13), ""),CHAR(10),"\n")&amp;IF(AF217&lt;&gt;"", "', textAdditional: '"&amp;SUBSTITUTE(SUBSTITUTE(AF217, CHAR(13), ""),CHAR(10),"\n"), "")&amp;"', textZh: '"&amp;SUBSTITUTE(SUBSTITUTE(SUBSTITUTE(AG217, CHAR(13), ""),CHAR(10),"\n"),"'","\'")&amp;"', textZhG216: '"&amp;SUBSTITUTE(SUBSTITUTE(SUBSTITUTE(AI217, CHAR(13), ""),CHAR(10),"\n"),"'","\'")&amp;IF(AH217&lt;&gt;"", "', textZhAdditional: '"&amp;SUBSTITUTE(SUBSTITUTE(AH217, CHAR(13), ""),CHAR(10),"\n"), "")&amp;IF(AK217&lt;&gt;"", "', textZhG216Additional: '"&amp;SUBSTITUTE(SUBSTITUTE(AK217, CHAR(13), ""),CHAR(10),"\n"), "")&amp;"', textKo: '"&amp;SUBSTITUTE(SUBSTITUTE(SUBSTITUTE(AM217, CHAR(13), ""),CHAR(10),"\n"),"'","\'")&amp;IF(AM217&lt;&gt;"", "', textKoAdditional: '"&amp;SUBSTITUTE(SUBSTITUTE(AM217, CHAR(13), ""),CHAR(10),"\n"), "")&amp;"', textEn: '"&amp;SUBSTITUTE(SUBSTITUTE(SUBSTITUTE(AM217, CHAR(13), ""),CHAR(10),"\n"),"'","\'")&amp;IF(AN217&lt;&gt;"", "', textEnAdditional: '"&amp;SUBSTITUTE(SUBSTITUTE(AN217, CHAR(13), ""),CHAR(10),"\n"), "")&amp;"'"&amp;IF(AB217="○",", sealable: true","")&amp;IF(AC217="○",", removable: true","")&amp;IF(AA217="○",", lie: true","")&amp;IF(AD217="○",", investable: true","")&amp;"},")</x:f>
        <x:v>'15-korunu-o-s-2': {megami: 'korunu', name: 'レタルレラ', nameEn: 'Retar Rera', nameZh: '刺骨霜风', nameZhG216: '刺骨霜风', nameKo: '레타르 레라', ruby: '', rubyEn: '', baseType: 'special', type: 'action', subType: 'reaction', cost: '2', text: '相手のオーラに空きがないならば、対応した《攻撃》を打ち消す。そうでないならば\n間合→相オーラ：1', textZh: '若敌装中没有空位，则打消被对应的《攻击》。否则：距→1→敌装', textZhG216: '若敌装中没有空位，则打消被对应的《攻击》。否则距（1）→敌装', textZhG216Additional: '상대의 오라가 꽉 차있다면 대응한 공격을 무효한다. 그렇지 않다면,\n간격→상대 오라:1', textKo: 'Cancel the attack you played this card as a Reaction to if your opponent\'s Aura is full. Otherwise,\n\nDistance (1)→ Opponent\'s Aura', textKoAdditional: 'Cancel the attack you played this card as a Reaction to if your opponent's Aura is full. Otherwise,\n\nDistance (1)→ Opponent's Aura', textEn: 'Cancel the attack you played this card as a Reaction to if your opponent\'s Aura is full. Otherwise,\n\nDistance (1)→ Opponent\'s Aura'},</x:v>
      </x:c>
      <x:c r="AU217" t="str">
        <x:f>IF($A217&lt;&gt;"", "    /** 《"&amp;$E217&amp;"》 */ export const "&amp;SUBSTITUTE(UPPER(IF(MID($A217, 3, 1)="-", RIGHT($A217,LEN($A217)-3), $A217)), "-", "_")&amp;": TCardId = '"&amp;$A217&amp;"';", "")</x:f>
        <x:v>    /** 《レタルレラ》 */ export const KORUNU_O_S_2: TCardId = '15-korunu-o-s-2';</x:v>
      </x:c>
      <x:c r="AV217" t="str">
        <x:f>IF($A218&lt;&gt;"", "    | '"&amp;$A218&amp;"'", "")</x:f>
        <x:v>    | '15-korunu-o-s-3'</x:v>
      </x:c>
    </x:row>
    <x:row r="218" ht="83" customHeight="1">
      <x:c r="A218" t="str">
        <x:v>15-korunu-o-s-3</x:v>
      </x:c>
      <x:c r="B218" t="str">
        <x:v>korunu</x:v>
      </x:c>
      <x:c r="C218"/>
      <x:c r="D218"/>
      <x:c r="E218" t="str">
        <x:v>ウパシトゥム</x:v>
      </x:c>
      <x:c r="F218"/>
      <x:c r="G218" t="str">
        <x:v>纷飞寒雪</x:v>
      </x:c>
      <x:c r="H218" t="str">
        <x:v>纷飞寒雪</x:v>
      </x:c>
      <x:c r="I218"/>
      <x:c r="J218" t="str">
        <x:v>우파스 툼</x:v>
      </x:c>
      <x:c r="K218" t="str">
        <x:v>Upastum</x:v>
      </x:c>
      <x:c r="L218"/>
      <x:c r="M218" t="str">
        <x:v>切札</x:v>
      </x:c>
      <x:c r="N218"/>
      <x:c r="O218"/>
      <x:c r="P218"/>
      <x:c r="Q218"/>
      <x:c r="R218" t="str">
        <x:v>攻撃</x:v>
      </x:c>
      <x:c r="S218"/>
      <x:c r="T218" t="str">
        <x:v>3-6</x:v>
      </x:c>
      <x:c r="U218"/>
      <x:c r="V218" t="str">
        <x:v>0/-</x:v>
      </x:c>
      <x:c r="W218"/>
      <x:c r="X218"/>
      <x:c r="Y218"/>
      <x:c r="Z218" t="n">
        <x:v>0</x:v>
      </x:c>
      <x:c r="AA218"/>
      <x:c r="AB218"/>
      <x:c r="AC218"/>
      <x:c r="AD218"/>
      <x:c r="AE218" s="438" t="str">
        <x:v>【攻撃後】相手は1回凍結する。
即再起:相手のオーラが空いた状態から空きがなくなる。</x:v>
      </x:c>
      <x:c r="AF218" s="438"/>
      <x:c r="AG218" s="499" t="str">
        <x:v>【攻击后】冻结对手1次。
（即使因此效果使敌装中没有空位，此牌也会因仍在使用中而不会变为未使用状态。）
----
即再起：敌装从有空位的状态变为没有空位的状态。</x:v>
      </x:c>
      <x:c r="AH218" s="438"/>
      <x:c r="AI218" s="499" t="str">
        <x:v>【攻击后】冻结对手1次。
（即使因此效果使敌装中没有空位，此牌也会因仍在使用中而不会变为未使用状态。）
即再起：敌装从有空位的状态变为没有空位的状态。</x:v>
      </x:c>
      <x:c r="AJ218" s="438"/>
      <x:c r="AK218" s="499" t="str">
        <x:v>【공격후】상대를 동결시킨다. (이 카드는 아직 사용중이기 때문에 오라가 꽉 차도 즉재기되지 않는다)
----
즉재기:상대의 오라가 꽉 찬다.</x:v>
      </x:c>
      <x:c r="AL218" s="438"/>
      <x:c r="AM218" s="499" t="str">
        <x:v>After Attack: Freeze your opponent. (This can't cause this card to Resurge as it has not finished resolving.)
Immediate Resurgence: Your opponent's Aura becomes full.</x:v>
      </x:c>
      <x:c r="AN218" s="438"/>
      <x:c r="AO218" s="438"/>
      <x:c r="AP218" s="438"/>
      <x:c r="AQ218" s="438"/>
      <x:c r="AR218" s="438"/>
      <x:c r="AS218" s="438"/>
      <x:c r="AT218" t="str">
        <x:f>IF(A218="", "","'"&amp;A218&amp;"': {megami: '"&amp;B218&amp;"'"&amp;IF(C218&lt;&gt;"",", anotherID: '"&amp;C218&amp;"', replace: '"&amp;D218&amp;"'","")&amp;", name: '"&amp;SUBSTITUTE(E218,"'","\'")&amp;"', nameEn: '"&amp;SUBSTITUTE(K218,"'","\'")&amp;"', nameZh: '"&amp;SUBSTITUTE(G218,"'","\'")&amp;"', nameZhG217: '"&amp;SUBSTITUTE(H218,"'","\'")&amp;"', nameKo: '"&amp;SUBSTITUTE(J218,"'","\'")&amp;"', ruby: '"&amp;F218&amp;"', rubyEn: '"&amp;L218&amp;IF(I218&lt;&gt;"", "', rubyZh: '"&amp;I218, "")&amp;"', baseType: '"&amp;IF(M218="通常札","normal",IF(M218="切札","special",IF(M218="追加札","extra",IF(M218="transform","transform",IF(M218="嵐","storm",IF(M218="兵員","troop",IF(M218="構想","plan",IF(M218="メインパーツ","mainParts",IF(M218="カスタムパーツ","customParts",IF(M218="運命","fate",IF(M218="仮想樹","virtualTree","")))))))))))&amp;"'"&amp;IF(N218="○",", extra: true","")&amp;IF(O218&lt;&gt;"",", extraFrom: '"&amp;O218&amp;"'","")&amp;IF(P218&lt;&gt;"",", exchangableTo: '"&amp;P218&amp;"'","")&amp;IF(Q218="○",", poison: true","")&amp;IF(R218&lt;&gt;"", ", type: '"&amp;IF(R218="攻撃","attack",IF(R218="行動","action",IF(R218="不定","variable",IF(R218="対応","reaction",IF(R218="全力","fullpower",IF(R218="付与","enhance",IF(R218="transform","transform","")))))))&amp;"'", "")&amp;IF(S218&lt;&gt;"",", subType: '"&amp;IF(S218="攻撃","attack",IF(S218="行動","action",IF(S218="不定","variable",IF(S218="対応","reaction",IF(S218="全力","fullpower",IF(S218="付与","enhance",IF(S218="transform","transform","")))))))&amp;"'","")&amp;""&amp;IF(T218&lt;&gt;"",", range: '"&amp;T218&amp;"'","")&amp;IF(V218&lt;&gt;"",", damage: '"&amp;V218&amp;"'","")&amp;IF(X218&lt;&gt;"",", capacity: '"&amp;X218&amp;"'","")&amp;IF(Y218&lt;&gt;"",", growth: "&amp;Y218&amp;"","")&amp;IF(Z218&lt;&gt;"",", cost: '"&amp;Z218&amp;"'","")&amp;", text: '"&amp;SUBSTITUTE(SUBSTITUTE(AE218, CHAR(13), ""),CHAR(10),"\n")&amp;IF(AF218&lt;&gt;"", "', textAdditional: '"&amp;SUBSTITUTE(SUBSTITUTE(AF218, CHAR(13), ""),CHAR(10),"\n"), "")&amp;"', textZh: '"&amp;SUBSTITUTE(SUBSTITUTE(SUBSTITUTE(AG218, CHAR(13), ""),CHAR(10),"\n"),"'","\'")&amp;"', textZhG217: '"&amp;SUBSTITUTE(SUBSTITUTE(SUBSTITUTE(AI218, CHAR(13), ""),CHAR(10),"\n"),"'","\'")&amp;IF(AH218&lt;&gt;"", "', textZhAdditional: '"&amp;SUBSTITUTE(SUBSTITUTE(AH218, CHAR(13), ""),CHAR(10),"\n"), "")&amp;IF(AK218&lt;&gt;"", "', textZhG217Additional: '"&amp;SUBSTITUTE(SUBSTITUTE(AK218, CHAR(13), ""),CHAR(10),"\n"), "")&amp;"', textKo: '"&amp;SUBSTITUTE(SUBSTITUTE(SUBSTITUTE(AM218, CHAR(13), ""),CHAR(10),"\n"),"'","\'")&amp;IF(AM218&lt;&gt;"", "', textKoAdditional: '"&amp;SUBSTITUTE(SUBSTITUTE(AM218, CHAR(13), ""),CHAR(10),"\n"), "")&amp;"', textEn: '"&amp;SUBSTITUTE(SUBSTITUTE(SUBSTITUTE(AM218, CHAR(13), ""),CHAR(10),"\n"),"'","\'")&amp;IF(AN218&lt;&gt;"", "', textEnAdditional: '"&amp;SUBSTITUTE(SUBSTITUTE(AN218, CHAR(13), ""),CHAR(10),"\n"), "")&amp;"'"&amp;IF(AB218="○",", sealable: true","")&amp;IF(AC218="○",", removable: true","")&amp;IF(AA218="○",", lie: true","")&amp;IF(AD218="○",", investable: true","")&amp;"},")</x:f>
        <x:v>'15-korunu-o-s-3': {megami: 'korunu', name: 'ウパシトゥム', nameEn: 'Upastum', nameZh: '纷飞寒雪', nameZhG217: '纷飞寒雪', nameKo: '우파스 툼', ruby: '', rubyEn: '', baseType: 'special', type: 'attack', range: '3-6', damage: '0/-', text: '【攻撃後】相手は1回凍結する。\n即再起:相手のオーラが空いた状態から空きがなくなる。', textZh: '【攻击后】冻结对手1次。\n（即使因此效果使敌装中没有空位，此牌也会因仍在使用中而不会变为未使用状态。）\n----\n即再起：敌装从有空位的状态变为没有空位的状态。', textZhG217: '【攻击后】冻结对手1次。\n（即使因此效果使敌装中没有空位，此牌也会因仍在使用中而不会变为未使用状态。）\n即再起：敌装从有空位的状态变为没有空位的状态。', textZhG217Additional: '【공격후】상대를 동결시킨다. (이 카드는 아직 사용중이기 때문에 오라가 꽉 차도 즉재기되지 않는다)\n----\n즉재기:상대의 오라가 꽉 찬다.', textKo: 'After Attack: Freeze your opponent. (This can\'t cause this card to Resurge as it has not finished resolving.)\n\nImmediate Resurgence: Your opponent\'s Aura becomes full.', textKoAdditional: 'After Attack: Freeze your opponent. (This can't cause this card to Resurge as it has not finished resolving.)\n\nImmediate Resurgence: Your opponent's Aura becomes full.', textEn: 'After Attack: Freeze your opponent. (This can\'t cause this card to Resurge as it has not finished resolving.)\n\nImmediate Resurgence: Your opponent\'s Aura becomes full.'},</x:v>
      </x:c>
      <x:c r="AU218" t="str">
        <x:f>IF($A218&lt;&gt;"", "    /** 《"&amp;$E218&amp;"》 */ export const "&amp;SUBSTITUTE(UPPER(IF(MID($A218, 3, 1)="-", RIGHT($A218,LEN($A218)-3), $A218)), "-", "_")&amp;": TCardId = '"&amp;$A218&amp;"';", "")</x:f>
        <x:v>    /** 《ウパシトゥム》 */ export const KORUNU_O_S_3: TCardId = '15-korunu-o-s-3';</x:v>
      </x:c>
      <x:c r="AV218" t="str">
        <x:f>IF($A219&lt;&gt;"", "    | '"&amp;$A219&amp;"'", "")</x:f>
        <x:v>    | '15-korunu-o-s-4'</x:v>
      </x:c>
    </x:row>
    <x:row r="219" ht="128" customHeight="1">
      <x:c r="A219" t="str">
        <x:v>15-korunu-o-s-4</x:v>
      </x:c>
      <x:c r="B219" t="str">
        <x:v>korunu</x:v>
      </x:c>
      <x:c r="C219"/>
      <x:c r="D219"/>
      <x:c r="E219" t="str">
        <x:v>ポルチャルトー</x:v>
      </x:c>
      <x:c r="F219"/>
      <x:c r="G219" t="str">
        <x:v>往生彼岸</x:v>
      </x:c>
      <x:c r="H219" t="str">
        <x:v>彼世深渊</x:v>
      </x:c>
      <x:c r="I219"/>
      <x:c r="J219" t="str">
        <x:v>포루챠르 토</x:v>
      </x:c>
      <x:c r="K219" t="str">
        <x:v>Poru-char To</x:v>
      </x:c>
      <x:c r="L219"/>
      <x:c r="M219" t="str">
        <x:v>切札</x:v>
      </x:c>
      <x:c r="N219"/>
      <x:c r="O219"/>
      <x:c r="P219"/>
      <x:c r="Q219"/>
      <x:c r="R219" t="str">
        <x:v>付与</x:v>
      </x:c>
      <x:c r="S219"/>
      <x:c r="T219"/>
      <x:c r="U219"/>
      <x:c r="V219"/>
      <x:c r="W219"/>
      <x:c r="X219" t="n">
        <x:v>1</x:v>
      </x:c>
      <x:c r="Y219"/>
      <x:c r="Z219" t="n">
        <x:v>2</x:v>
      </x:c>
      <x:c r="AA219"/>
      <x:c r="AB219"/>
      <x:c r="AC219"/>
      <x:c r="AD219"/>
      <x:c r="AE219" s="438" t="str">
        <x:v>【常時】このカードを消費4で《対応》を持つかのように相手の《攻撃》に割り込んで使用してもよい。
【展開時】間合⇔ダスト：1
相手は1回凍結する。
【破棄時】このカードを納4として使用してもよい。（消費は支払う）</x:v>
      </x:c>
      <x:c r="AF219" s="438"/>
      <x:c r="AG219" s="499" t="str">
        <x:v>【常时】你可以为此牌消耗4气，则此牌可以如《对应》牌一样对应对手的《攻击》使用。
【展开时】距↔1↔虚；冻结对手1次。
【破弃时】你可以将此牌的视为纳4的牌再次使用。（需要支付费用）</x:v>
      </x:c>
      <x:c r="AH219" s="438"/>
      <x:c r="AI219" s="499" t="str">
        <x:v>【常时】此牌可以如《对应》牌一样对应《攻击》使用。若以此法使用，则此牌的费用视为4。
【展开时】距（1） ⇔ 虚
冻结对手1次。
【破弃时】你可以再次使用此牌。若以此法使用，则此牌的纳视为4。（仍需支付费用）</x:v>
      </x:c>
      <x:c r="AJ219" s="438"/>
      <x:c r="AK219" s="499" t="str">
        <x:v>【상시】이 카드를 코스트4로 쓰면 《대응》을 가진 것처럼 상대의 《공격》에 끼어들어서 사용해도 좋다.
【전개시】간격⇔더스트：1　　상대는 1번 동결한다.
【파기시】이 카드를 납4로써 사용해도 좋다.（코스트는 지불할 것）</x:v>
      </x:c>
      <x:c r="AL219" s="438"/>
      <x:c r="AM219" s="499" t="str">
        <x:v>Forced: You may play this card as if it were a Reaction by paying 4 Flare instead of its normal cost.
Initialize: Distance (1)⇔ Shadow
Freeze your opponent.
Disenchant: You may play this card as if its Charge were 4 (paying its cost).</x:v>
      </x:c>
      <x:c r="AN219" s="438"/>
      <x:c r="AO219" s="438"/>
      <x:c r="AP219" s="438"/>
      <x:c r="AQ219" s="438"/>
      <x:c r="AR219" s="438"/>
      <x:c r="AS219" s="438"/>
      <x:c r="AT219" t="str">
        <x:f>IF(A219="", "","'"&amp;A219&amp;"': {megami: '"&amp;B219&amp;"'"&amp;IF(C219&lt;&gt;"",", anotherID: '"&amp;C219&amp;"', replace: '"&amp;D219&amp;"'","")&amp;", name: '"&amp;SUBSTITUTE(E219,"'","\'")&amp;"', nameEn: '"&amp;SUBSTITUTE(K219,"'","\'")&amp;"', nameZh: '"&amp;SUBSTITUTE(G219,"'","\'")&amp;"', nameZhG218: '"&amp;SUBSTITUTE(H219,"'","\'")&amp;"', nameKo: '"&amp;SUBSTITUTE(J219,"'","\'")&amp;"', ruby: '"&amp;F219&amp;"', rubyEn: '"&amp;L219&amp;IF(I219&lt;&gt;"", "', rubyZh: '"&amp;I219, "")&amp;"', baseType: '"&amp;IF(M219="通常札","normal",IF(M219="切札","special",IF(M219="追加札","extra",IF(M219="transform","transform",IF(M219="嵐","storm",IF(M219="兵員","troop",IF(M219="構想","plan",IF(M219="メインパーツ","mainParts",IF(M219="カスタムパーツ","customParts",IF(M219="運命","fate",IF(M219="仮想樹","virtualTree","")))))))))))&amp;"'"&amp;IF(N219="○",", extra: true","")&amp;IF(O219&lt;&gt;"",", extraFrom: '"&amp;O219&amp;"'","")&amp;IF(P219&lt;&gt;"",", exchangableTo: '"&amp;P219&amp;"'","")&amp;IF(Q219="○",", poison: true","")&amp;IF(R219&lt;&gt;"", ", type: '"&amp;IF(R219="攻撃","attack",IF(R219="行動","action",IF(R219="不定","variable",IF(R219="対応","reaction",IF(R219="全力","fullpower",IF(R219="付与","enhance",IF(R219="transform","transform","")))))))&amp;"'", "")&amp;IF(S219&lt;&gt;"",", subType: '"&amp;IF(S219="攻撃","attack",IF(S219="行動","action",IF(S219="不定","variable",IF(S219="対応","reaction",IF(S219="全力","fullpower",IF(S219="付与","enhance",IF(S219="transform","transform","")))))))&amp;"'","")&amp;""&amp;IF(T219&lt;&gt;"",", range: '"&amp;T219&amp;"'","")&amp;IF(V219&lt;&gt;"",", damage: '"&amp;V219&amp;"'","")&amp;IF(X219&lt;&gt;"",", capacity: '"&amp;X219&amp;"'","")&amp;IF(Y219&lt;&gt;"",", growth: "&amp;Y219&amp;"","")&amp;IF(Z219&lt;&gt;"",", cost: '"&amp;Z219&amp;"'","")&amp;", text: '"&amp;SUBSTITUTE(SUBSTITUTE(AE219, CHAR(13), ""),CHAR(10),"\n")&amp;IF(AF219&lt;&gt;"", "', textAdditional: '"&amp;SUBSTITUTE(SUBSTITUTE(AF219, CHAR(13), ""),CHAR(10),"\n"), "")&amp;"', textZh: '"&amp;SUBSTITUTE(SUBSTITUTE(SUBSTITUTE(AG219, CHAR(13), ""),CHAR(10),"\n"),"'","\'")&amp;"', textZhG218: '"&amp;SUBSTITUTE(SUBSTITUTE(SUBSTITUTE(AI219, CHAR(13), ""),CHAR(10),"\n"),"'","\'")&amp;IF(AH219&lt;&gt;"", "', textZhAdditional: '"&amp;SUBSTITUTE(SUBSTITUTE(AH219, CHAR(13), ""),CHAR(10),"\n"), "")&amp;IF(AK219&lt;&gt;"", "', textZhG218Additional: '"&amp;SUBSTITUTE(SUBSTITUTE(AK219, CHAR(13), ""),CHAR(10),"\n"), "")&amp;"', textKo: '"&amp;SUBSTITUTE(SUBSTITUTE(SUBSTITUTE(AM219, CHAR(13), ""),CHAR(10),"\n"),"'","\'")&amp;IF(AM219&lt;&gt;"", "', textKoAdditional: '"&amp;SUBSTITUTE(SUBSTITUTE(AM219, CHAR(13), ""),CHAR(10),"\n"), "")&amp;"', textEn: '"&amp;SUBSTITUTE(SUBSTITUTE(SUBSTITUTE(AM219, CHAR(13), ""),CHAR(10),"\n"),"'","\'")&amp;IF(AN219&lt;&gt;"", "', textEnAdditional: '"&amp;SUBSTITUTE(SUBSTITUTE(AN219, CHAR(13), ""),CHAR(10),"\n"), "")&amp;"'"&amp;IF(AB219="○",", sealable: true","")&amp;IF(AC219="○",", removable: true","")&amp;IF(AA219="○",", lie: true","")&amp;IF(AD219="○",", investable: true","")&amp;"},")</x:f>
        <x:v>'15-korunu-o-s-4': {megami: 'korunu', name: 'ポルチャルトー', nameEn: 'Poru-char To', nameZh: '往生彼岸', nameZhG218: '彼世深渊', nameKo: '포루챠르 토', ruby: '', rubyEn: '', baseType: 'special', type: 'enhance', capacity: '1', cost: '2', text: '【常時】このカードを消費4で《対応》を持つかのように相手の《攻撃》に割り込んで使用してもよい。\n【展開時】間合⇔ダスト：1\n相手は1回凍結する。\n【破棄時】このカードを納4として使用してもよい。（消費は支払う）', textZh: '【常时】你可以为此牌消耗4气，则此牌可以如《对应》牌一样对应对手的《攻击》使用。\n【展开时】距↔1↔虚；冻结对手1次。\n【破弃时】你可以将此牌的视为纳4的牌再次使用。（需要支付费用）', textZhG218: '【常时】此牌可以如《对应》牌一样对应《攻击》使用。若以此法使用，则此牌的费用视为4。\n【展开时】距（1） ⇔ 虚\n冻结对手1次。\n【破弃时】你可以再次使用此牌。若以此法使用，则此牌的纳视为4。（仍需支付费用）', textZhG218Additional: '【상시】이 카드를 코스트4로 쓰면 《대응》을 가진 것처럼 상대의 《공격》에 끼어들어서 사용해도 좋다.\n【전개시】간격⇔더스트：1　　상대는 1번 동결한다.\n【파기시】이 카드를 납4로써 사용해도 좋다.（코스트는 지불할 것）', textKo: 'Forced: You may play this card as if it were a Reaction by paying 4 Flare instead of its normal cost.\n\nInitialize: Distance (1)⇔ Shadow\nFreeze your opponent.\n\nDisenchant: You may play this card as if its Charge were 4 (paying its cost).', textKoAdditional: 'Forced: You may play this card as if it were a Reaction by paying 4 Flare instead of its normal cost.\n\nInitialize: Distance (1)⇔ Shadow\nFreeze your opponent.\n\nDisenchant: You may play this card as if its Charge were 4 (paying its cost).', textEn: 'Forced: You may play this card as if it were a Reaction by paying 4 Flare instead of its normal cost.\n\nInitialize: Distance (1)⇔ Shadow\nFreeze your opponent.\n\nDisenchant: You may play this card as if its Charge were 4 (paying its cost).'},</x:v>
      </x:c>
      <x:c r="AU219" t="str">
        <x:f>IF($A219&lt;&gt;"", "    /** 《"&amp;$E219&amp;"》 */ export const "&amp;SUBSTITUTE(UPPER(IF(MID($A219, 3, 1)="-", RIGHT($A219,LEN($A219)-3), $A219)), "-", "_")&amp;": TCardId = '"&amp;$A219&amp;"';", "")</x:f>
        <x:v>    /** 《ポルチャルトー》 */ export const KORUNU_O_S_4: TCardId = '15-korunu-o-s-4';</x:v>
      </x:c>
      <x:c r="AV219" t="str">
        <x:f>IF($A220&lt;&gt;"", "    | '"&amp;$A220&amp;"'", "")</x:f>
        <x:v>    | '15-korunu-A1-n-6'</x:v>
      </x:c>
    </x:row>
    <x:row r="220" ht="53" customHeight="1">
      <x:c r="A220" t="str">
        <x:v>15-korunu-A1-n-6</x:v>
      </x:c>
      <x:c r="B220" t="str">
        <x:v>korunu</x:v>
      </x:c>
      <x:c r="C220" t="str">
        <x:v>A1</x:v>
      </x:c>
      <x:c r="D220" t="str">
        <x:v>15-korunu-o-n-6</x:v>
      </x:c>
      <x:c r="E220" t="str">
        <x:v>氷柱衾</x:v>
      </x:c>
      <x:c r="F220"/>
      <x:c r="G220"/>
      <x:c r="H220"/>
      <x:c r="I220"/>
      <x:c r="J220"/>
      <x:c r="K220"/>
      <x:c r="L220"/>
      <x:c r="M220" t="str">
        <x:v>通常札</x:v>
      </x:c>
      <x:c r="N220"/>
      <x:c r="O220"/>
      <x:c r="P220"/>
      <x:c r="Q220"/>
      <x:c r="R220" t="str">
        <x:v>付与</x:v>
      </x:c>
      <x:c r="S220" t="str">
        <x:v>全力</x:v>
      </x:c>
      <x:c r="T220"/>
      <x:c r="U220"/>
      <x:c r="V220"/>
      <x:c r="W220"/>
      <x:c r="X220" t="n">
        <x:v>0</x:v>
      </x:c>
      <x:c r="Y220"/>
      <x:c r="Z220"/>
      <x:c r="AA220"/>
      <x:c r="AB220"/>
      <x:c r="AC220"/>
      <x:c r="AD220"/>
      <x:c r="AE220" s="438" t="str">
        <x:v>【展開時】このカードの上に桜花結晶を5個ダストから置き、あなたはオーラの空きがなくなるまで凍結する。この効果により2回以上凍結したならば、攻撃『適正距離2-5、2/2、対応不可(通常札)』を行う。
【展開中】あなたへのダメージを解決するに際し、オーラにある凍結トークンを桜花結晶としても扱う。</x:v>
      </x:c>
      <x:c r="AF220" s="438"/>
      <x:c r="AG220" s="438"/>
      <x:c r="AH220" s="438"/>
      <x:c r="AI220" s="438"/>
      <x:c r="AJ220" s="438"/>
      <x:c r="AK220" s="438"/>
      <x:c r="AL220" s="438"/>
      <x:c r="AM220" s="438"/>
      <x:c r="AN220" s="438"/>
      <x:c r="AO220" s="438"/>
      <x:c r="AP220" s="438"/>
      <x:c r="AQ220" s="438"/>
      <x:c r="AR220" s="438"/>
      <x:c r="AS220" s="438"/>
      <x:c r="AT220" t="str">
        <x:f>IF(A220="", "","'"&amp;A220&amp;"': {megami: '"&amp;B220&amp;"'"&amp;IF(C220&lt;&gt;"",", anotherID: '"&amp;C220&amp;"', replace: '"&amp;D220&amp;"'","")&amp;", name: '"&amp;SUBSTITUTE(E220,"'","\'")&amp;"', nameEn: '"&amp;SUBSTITUTE(K220,"'","\'")&amp;"', nameZh: '"&amp;SUBSTITUTE(G220,"'","\'")&amp;"', nameZhG219: '"&amp;SUBSTITUTE(H220,"'","\'")&amp;"', nameKo: '"&amp;SUBSTITUTE(J220,"'","\'")&amp;"', ruby: '"&amp;F220&amp;"', rubyEn: '"&amp;L220&amp;IF(I220&lt;&gt;"", "', rubyZh: '"&amp;I220, "")&amp;"', baseType: '"&amp;IF(M220="通常札","normal",IF(M220="切札","special",IF(M220="追加札","extra",IF(M220="transform","transform",IF(M220="嵐","storm",IF(M220="兵員","troop",IF(M220="構想","plan",IF(M220="メインパーツ","mainParts",IF(M220="カスタムパーツ","customParts",IF(M220="運命","fate",IF(M220="仮想樹","virtualTree","")))))))))))&amp;"'"&amp;IF(N220="○",", extra: true","")&amp;IF(O220&lt;&gt;"",", extraFrom: '"&amp;O220&amp;"'","")&amp;IF(P220&lt;&gt;"",", exchangableTo: '"&amp;P220&amp;"'","")&amp;IF(Q220="○",", poison: true","")&amp;IF(R220&lt;&gt;"", ", type: '"&amp;IF(R220="攻撃","attack",IF(R220="行動","action",IF(R220="不定","variable",IF(R220="対応","reaction",IF(R220="全力","fullpower",IF(R220="付与","enhance",IF(R220="transform","transform","")))))))&amp;"'", "")&amp;IF(S220&lt;&gt;"",", subType: '"&amp;IF(S220="攻撃","attack",IF(S220="行動","action",IF(S220="不定","variable",IF(S220="対応","reaction",IF(S220="全力","fullpower",IF(S220="付与","enhance",IF(S220="transform","transform","")))))))&amp;"'","")&amp;""&amp;IF(T220&lt;&gt;"",", range: '"&amp;T220&amp;"'","")&amp;IF(V220&lt;&gt;"",", damage: '"&amp;V220&amp;"'","")&amp;IF(X220&lt;&gt;"",", capacity: '"&amp;X220&amp;"'","")&amp;IF(Y220&lt;&gt;"",", growth: "&amp;Y220&amp;"","")&amp;IF(Z220&lt;&gt;"",", cost: '"&amp;Z220&amp;"'","")&amp;", text: '"&amp;SUBSTITUTE(SUBSTITUTE(AE220, CHAR(13), ""),CHAR(10),"\n")&amp;IF(AF220&lt;&gt;"", "', textAdditional: '"&amp;SUBSTITUTE(SUBSTITUTE(AF220, CHAR(13), ""),CHAR(10),"\n"), "")&amp;"', textZh: '"&amp;SUBSTITUTE(SUBSTITUTE(SUBSTITUTE(AG220, CHAR(13), ""),CHAR(10),"\n"),"'","\'")&amp;"', textZhG219: '"&amp;SUBSTITUTE(SUBSTITUTE(SUBSTITUTE(AI220, CHAR(13), ""),CHAR(10),"\n"),"'","\'")&amp;IF(AH220&lt;&gt;"", "', textZhAdditional: '"&amp;SUBSTITUTE(SUBSTITUTE(AH220, CHAR(13), ""),CHAR(10),"\n"), "")&amp;IF(AK220&lt;&gt;"", "', textZhG219Additional: '"&amp;SUBSTITUTE(SUBSTITUTE(AK220, CHAR(13), ""),CHAR(10),"\n"), "")&amp;"', textKo: '"&amp;SUBSTITUTE(SUBSTITUTE(SUBSTITUTE(AM220, CHAR(13), ""),CHAR(10),"\n"),"'","\'")&amp;IF(AM220&lt;&gt;"", "', textKoAdditional: '"&amp;SUBSTITUTE(SUBSTITUTE(AM220, CHAR(13), ""),CHAR(10),"\n"), "")&amp;"', textEn: '"&amp;SUBSTITUTE(SUBSTITUTE(SUBSTITUTE(AM220, CHAR(13), ""),CHAR(10),"\n"),"'","\'")&amp;IF(AN220&lt;&gt;"", "', textEnAdditional: '"&amp;SUBSTITUTE(SUBSTITUTE(AN220, CHAR(13), ""),CHAR(10),"\n"), "")&amp;"'"&amp;IF(AB220="○",", sealable: true","")&amp;IF(AC220="○",", removable: true","")&amp;IF(AA220="○",", lie: true","")&amp;IF(AD220="○",", investable: true","")&amp;"},")</x:f>
        <x:v>'15-korunu-A1-n-6': {megami: 'korunu', anotherID: 'A1', replace: '15-korunu-o-n-6', name: '氷柱衾', nameEn: '', nameZh: '', nameZhG219: '', nameKo: '', ruby: '', rubyEn: '', baseType: 'normal', type: 'enhance', subType: 'fullpower', text: '【展開時】このカードの上に桜花結晶を5個ダストから置き、あなたはオーラの空きがなくなるまで凍結する。この効果により2回以上凍結したならば、攻撃『適正距離2-5、2/2、対応不可(通常札)』を行う。\n【展開中】あなたへのダメージを解決するに際し、オーラにある凍結トークンを桜花結晶としても扱う。', textZh: '', textZhG219: '', textKo: '', textEn: ''},</x:v>
      </x:c>
      <x:c r="AU220" t="str">
        <x:f>IF($A220&lt;&gt;"", "    /** 《"&amp;$E220&amp;"》 */ export const "&amp;SUBSTITUTE(UPPER(IF(MID($A220, 3, 1)="-", RIGHT($A220,LEN($A220)-3), $A220)), "-", "_")&amp;": TCardId = '"&amp;$A220&amp;"';", "")</x:f>
        <x:v>    /** 《氷柱衾》 */ export const KORUNU_A1_N_6: TCardId = '15-korunu-A1-n-6';</x:v>
      </x:c>
      <x:c r="AV220" t="str">
        <x:f>IF($A221&lt;&gt;"", "    | '"&amp;$A221&amp;"'", "")</x:f>
        <x:v>    | '15-korunu-A1-s-1'</x:v>
      </x:c>
    </x:row>
    <x:row r="221" ht="53" customHeight="1">
      <x:c r="A221" t="str">
        <x:v>15-korunu-A1-s-1</x:v>
      </x:c>
      <x:c r="B221" t="str">
        <x:v>korunu</x:v>
      </x:c>
      <x:c r="C221" t="str">
        <x:v>A1</x:v>
      </x:c>
      <x:c r="D221" t="str">
        <x:v>15-korunu-o-s-1</x:v>
      </x:c>
      <x:c r="E221" t="str">
        <x:v>ルカネマキリ</x:v>
      </x:c>
      <x:c r="F221"/>
      <x:c r="G221"/>
      <x:c r="H221"/>
      <x:c r="I221"/>
      <x:c r="J221"/>
      <x:c r="K221"/>
      <x:c r="L221"/>
      <x:c r="M221" t="str">
        <x:v>切札</x:v>
      </x:c>
      <x:c r="N221"/>
      <x:c r="O221"/>
      <x:c r="P221"/>
      <x:c r="Q221"/>
      <x:c r="R221" t="str">
        <x:v>攻撃</x:v>
      </x:c>
      <x:c r="S221"/>
      <x:c r="T221" t="str">
        <x:v>3-4</x:v>
      </x:c>
      <x:c r="U221"/>
      <x:c r="V221" t="str">
        <x:v>2/2</x:v>
      </x:c>
      <x:c r="W221"/>
      <x:c r="X221"/>
      <x:c r="Y221"/>
      <x:c r="Z221" t="n">
        <x:v>2</x:v>
      </x:c>
      <x:c r="AA221"/>
      <x:c r="AB221"/>
      <x:c r="AC221"/>
      <x:c r="AD221"/>
      <x:c r="AE221" s="438" t="str">
        <x:v>【攻撃後】あなたは1回凍結する。これにより凍結トークンが置かれたならば、相手は1回凍結する。
再起：相手のオーラにある凍結トークンがあなたのオーラにある凍結トークンより少ない。
</x:v>
      </x:c>
      <x:c r="AF221" s="438"/>
      <x:c r="AG221" s="438"/>
      <x:c r="AH221" s="438"/>
      <x:c r="AI221" s="438"/>
      <x:c r="AJ221" s="438"/>
      <x:c r="AK221" s="438"/>
      <x:c r="AL221" s="438"/>
      <x:c r="AM221" s="438"/>
      <x:c r="AN221" s="438"/>
      <x:c r="AO221" s="438"/>
      <x:c r="AP221" s="438"/>
      <x:c r="AQ221" s="438"/>
      <x:c r="AR221" s="438"/>
      <x:c r="AS221" s="438"/>
      <x:c r="AT221" t="str">
        <x:f>IF(A221="", "","'"&amp;A221&amp;"': {megami: '"&amp;B221&amp;"'"&amp;IF(C221&lt;&gt;"",", anotherID: '"&amp;C221&amp;"', replace: '"&amp;D221&amp;"'","")&amp;", name: '"&amp;SUBSTITUTE(E221,"'","\'")&amp;"', nameEn: '"&amp;SUBSTITUTE(K221,"'","\'")&amp;"', nameZh: '"&amp;SUBSTITUTE(G221,"'","\'")&amp;"', nameZhG220: '"&amp;SUBSTITUTE(H221,"'","\'")&amp;"', nameKo: '"&amp;SUBSTITUTE(J221,"'","\'")&amp;"', ruby: '"&amp;F221&amp;"', rubyEn: '"&amp;L221&amp;IF(I221&lt;&gt;"", "', rubyZh: '"&amp;I221, "")&amp;"', baseType: '"&amp;IF(M221="通常札","normal",IF(M221="切札","special",IF(M221="追加札","extra",IF(M221="transform","transform",IF(M221="嵐","storm",IF(M221="兵員","troop",IF(M221="構想","plan",IF(M221="メインパーツ","mainParts",IF(M221="カスタムパーツ","customParts",IF(M221="運命","fate",IF(M221="仮想樹","virtualTree","")))))))))))&amp;"'"&amp;IF(N221="○",", extra: true","")&amp;IF(O221&lt;&gt;"",", extraFrom: '"&amp;O221&amp;"'","")&amp;IF(P221&lt;&gt;"",", exchangableTo: '"&amp;P221&amp;"'","")&amp;IF(Q221="○",", poison: true","")&amp;IF(R221&lt;&gt;"", ", type: '"&amp;IF(R221="攻撃","attack",IF(R221="行動","action",IF(R221="不定","variable",IF(R221="対応","reaction",IF(R221="全力","fullpower",IF(R221="付与","enhance",IF(R221="transform","transform","")))))))&amp;"'", "")&amp;IF(S221&lt;&gt;"",", subType: '"&amp;IF(S221="攻撃","attack",IF(S221="行動","action",IF(S221="不定","variable",IF(S221="対応","reaction",IF(S221="全力","fullpower",IF(S221="付与","enhance",IF(S221="transform","transform","")))))))&amp;"'","")&amp;""&amp;IF(T221&lt;&gt;"",", range: '"&amp;T221&amp;"'","")&amp;IF(V221&lt;&gt;"",", damage: '"&amp;V221&amp;"'","")&amp;IF(X221&lt;&gt;"",", capacity: '"&amp;X221&amp;"'","")&amp;IF(Y221&lt;&gt;"",", growth: "&amp;Y221&amp;"","")&amp;IF(Z221&lt;&gt;"",", cost: '"&amp;Z221&amp;"'","")&amp;", text: '"&amp;SUBSTITUTE(SUBSTITUTE(AE221, CHAR(13), ""),CHAR(10),"\n")&amp;IF(AF221&lt;&gt;"", "', textAdditional: '"&amp;SUBSTITUTE(SUBSTITUTE(AF221, CHAR(13), ""),CHAR(10),"\n"), "")&amp;"', textZh: '"&amp;SUBSTITUTE(SUBSTITUTE(SUBSTITUTE(AG221, CHAR(13), ""),CHAR(10),"\n"),"'","\'")&amp;"', textZhG220: '"&amp;SUBSTITUTE(SUBSTITUTE(SUBSTITUTE(AI221, CHAR(13), ""),CHAR(10),"\n"),"'","\'")&amp;IF(AH221&lt;&gt;"", "', textZhAdditional: '"&amp;SUBSTITUTE(SUBSTITUTE(AH221, CHAR(13), ""),CHAR(10),"\n"), "")&amp;IF(AK221&lt;&gt;"", "', textZhG220Additional: '"&amp;SUBSTITUTE(SUBSTITUTE(AK221, CHAR(13), ""),CHAR(10),"\n"), "")&amp;"', textKo: '"&amp;SUBSTITUTE(SUBSTITUTE(SUBSTITUTE(AM221, CHAR(13), ""),CHAR(10),"\n"),"'","\'")&amp;IF(AM221&lt;&gt;"", "', textKoAdditional: '"&amp;SUBSTITUTE(SUBSTITUTE(AM221, CHAR(13), ""),CHAR(10),"\n"), "")&amp;"', textEn: '"&amp;SUBSTITUTE(SUBSTITUTE(SUBSTITUTE(AM221, CHAR(13), ""),CHAR(10),"\n"),"'","\'")&amp;IF(AN221&lt;&gt;"", "', textEnAdditional: '"&amp;SUBSTITUTE(SUBSTITUTE(AN221, CHAR(13), ""),CHAR(10),"\n"), "")&amp;"'"&amp;IF(AB221="○",", sealable: true","")&amp;IF(AC221="○",", removable: true","")&amp;IF(AA221="○",", lie: true","")&amp;IF(AD221="○",", investable: true","")&amp;"},")</x:f>
        <x:v>'15-korunu-A1-s-1': {megami: 'korunu', anotherID: 'A1', replace: '15-korunu-o-s-1', name: 'ルカネマキリ', nameEn: '', nameZh: '', nameZhG220: '', nameKo: '', ruby: '', rubyEn: '', baseType: 'special', type: 'attack', range: '3-4', damage: '2/2', cost: '2', text: '【攻撃後】あなたは1回凍結する。これにより凍結トークンが置かれたならば、相手は1回凍結する。\n再起：相手のオーラにある凍結トークンがあなたのオーラにある凍結トークンより少ない。\n', textZh: '', textZhG220: '', textKo: '', textEn: ''},</x:v>
      </x:c>
      <x:c r="AU221" t="str">
        <x:f>IF($A221&lt;&gt;"", "    /** 《"&amp;$E221&amp;"》 */ export const "&amp;SUBSTITUTE(UPPER(IF(MID($A221, 3, 1)="-", RIGHT($A221,LEN($A221)-3), $A221)), "-", "_")&amp;": TCardId = '"&amp;$A221&amp;"';", "")</x:f>
        <x:v>    /** 《ルカネマキリ》 */ export const KORUNU_A1_S_1: TCardId = '15-korunu-A1-s-1';</x:v>
      </x:c>
      <x:c r="AV221" t="str">
        <x:f>IF($A222&lt;&gt;"", "    | '"&amp;$A222&amp;"'", "")</x:f>
        <x:v>    | '15-korunu-A1-s-3'</x:v>
      </x:c>
    </x:row>
    <x:row r="222" ht="68" customHeight="1">
      <x:c r="A222" t="str">
        <x:v>15-korunu-A1-s-3</x:v>
      </x:c>
      <x:c r="B222" t="str">
        <x:v>korunu</x:v>
      </x:c>
      <x:c r="C222" t="str">
        <x:v>A1</x:v>
      </x:c>
      <x:c r="D222" t="str">
        <x:v>15-korunu-o-s-3</x:v>
      </x:c>
      <x:c r="E222" t="str">
        <x:v>マクイナウ</x:v>
      </x:c>
      <x:c r="F222"/>
      <x:c r="G222"/>
      <x:c r="H222"/>
      <x:c r="I222"/>
      <x:c r="J222"/>
      <x:c r="K222"/>
      <x:c r="L222"/>
      <x:c r="M222" t="str">
        <x:v>切札</x:v>
      </x:c>
      <x:c r="N222"/>
      <x:c r="O222"/>
      <x:c r="P222"/>
      <x:c r="Q222"/>
      <x:c r="R222" t="str">
        <x:v>付与</x:v>
      </x:c>
      <x:c r="S222"/>
      <x:c r="T222"/>
      <x:c r="U222"/>
      <x:c r="V222"/>
      <x:c r="W222"/>
      <x:c r="X222" t="n">
        <x:v>3</x:v>
      </x:c>
      <x:c r="Y222"/>
      <x:c r="Z222" t="n">
        <x:v>3</x:v>
      </x:c>
      <x:c r="AA222"/>
      <x:c r="AB222"/>
      <x:c r="AC222"/>
      <x:c r="AD222"/>
      <x:c r="AE222" s="438" t="str">
        <x:v>【常時】このカードの消費はお互いのオーラにある凍結トークンの数の合計だけ少なくなり、相手のライフの数だけ多くなる。
【常時】このカードの消費の支払いにより移動する桜花結晶はダストではなくこのカードの上に動かす。
【破棄時】相手は敗北する。</x:v>
      </x:c>
      <x:c r="AF222" s="438"/>
      <x:c r="AG222" s="438"/>
      <x:c r="AH222" s="438"/>
      <x:c r="AI222" s="438"/>
      <x:c r="AJ222" s="438"/>
      <x:c r="AK222" s="438"/>
      <x:c r="AL222" s="438"/>
      <x:c r="AM222" s="438"/>
      <x:c r="AN222" s="438"/>
      <x:c r="AO222" s="438"/>
      <x:c r="AP222" s="438"/>
      <x:c r="AQ222" s="438"/>
      <x:c r="AR222" s="438"/>
      <x:c r="AS222" s="438"/>
      <x:c r="AT222" t="str">
        <x:f>IF(A222="", "","'"&amp;A222&amp;"': {megami: '"&amp;B222&amp;"'"&amp;IF(C222&lt;&gt;"",", anotherID: '"&amp;C222&amp;"', replace: '"&amp;D222&amp;"'","")&amp;", name: '"&amp;SUBSTITUTE(E222,"'","\'")&amp;"', nameEn: '"&amp;SUBSTITUTE(K222,"'","\'")&amp;"', nameZh: '"&amp;SUBSTITUTE(G222,"'","\'")&amp;"', nameZhG221: '"&amp;SUBSTITUTE(H222,"'","\'")&amp;"', nameKo: '"&amp;SUBSTITUTE(J222,"'","\'")&amp;"', ruby: '"&amp;F222&amp;"', rubyEn: '"&amp;L222&amp;IF(I222&lt;&gt;"", "', rubyZh: '"&amp;I222, "")&amp;"', baseType: '"&amp;IF(M222="通常札","normal",IF(M222="切札","special",IF(M222="追加札","extra",IF(M222="transform","transform",IF(M222="嵐","storm",IF(M222="兵員","troop",IF(M222="構想","plan",IF(M222="メインパーツ","mainParts",IF(M222="カスタムパーツ","customParts",IF(M222="運命","fate",IF(M222="仮想樹","virtualTree","")))))))))))&amp;"'"&amp;IF(N222="○",", extra: true","")&amp;IF(O222&lt;&gt;"",", extraFrom: '"&amp;O222&amp;"'","")&amp;IF(P222&lt;&gt;"",", exchangableTo: '"&amp;P222&amp;"'","")&amp;IF(Q222="○",", poison: true","")&amp;IF(R222&lt;&gt;"", ", type: '"&amp;IF(R222="攻撃","attack",IF(R222="行動","action",IF(R222="不定","variable",IF(R222="対応","reaction",IF(R222="全力","fullpower",IF(R222="付与","enhance",IF(R222="transform","transform","")))))))&amp;"'", "")&amp;IF(S222&lt;&gt;"",", subType: '"&amp;IF(S222="攻撃","attack",IF(S222="行動","action",IF(S222="不定","variable",IF(S222="対応","reaction",IF(S222="全力","fullpower",IF(S222="付与","enhance",IF(S222="transform","transform","")))))))&amp;"'","")&amp;""&amp;IF(T222&lt;&gt;"",", range: '"&amp;T222&amp;"'","")&amp;IF(V222&lt;&gt;"",", damage: '"&amp;V222&amp;"'","")&amp;IF(X222&lt;&gt;"",", capacity: '"&amp;X222&amp;"'","")&amp;IF(Y222&lt;&gt;"",", growth: "&amp;Y222&amp;"","")&amp;IF(Z222&lt;&gt;"",", cost: '"&amp;Z222&amp;"'","")&amp;", text: '"&amp;SUBSTITUTE(SUBSTITUTE(AE222, CHAR(13), ""),CHAR(10),"\n")&amp;IF(AF222&lt;&gt;"", "', textAdditional: '"&amp;SUBSTITUTE(SUBSTITUTE(AF222, CHAR(13), ""),CHAR(10),"\n"), "")&amp;"', textZh: '"&amp;SUBSTITUTE(SUBSTITUTE(SUBSTITUTE(AG222, CHAR(13), ""),CHAR(10),"\n"),"'","\'")&amp;"', textZhG221: '"&amp;SUBSTITUTE(SUBSTITUTE(SUBSTITUTE(AI222, CHAR(13), ""),CHAR(10),"\n"),"'","\'")&amp;IF(AH222&lt;&gt;"", "', textZhAdditional: '"&amp;SUBSTITUTE(SUBSTITUTE(AH222, CHAR(13), ""),CHAR(10),"\n"), "")&amp;IF(AK222&lt;&gt;"", "', textZhG221Additional: '"&amp;SUBSTITUTE(SUBSTITUTE(AK222, CHAR(13), ""),CHAR(10),"\n"), "")&amp;"', textKo: '"&amp;SUBSTITUTE(SUBSTITUTE(SUBSTITUTE(AM222, CHAR(13), ""),CHAR(10),"\n"),"'","\'")&amp;IF(AM222&lt;&gt;"", "', textKoAdditional: '"&amp;SUBSTITUTE(SUBSTITUTE(AM222, CHAR(13), ""),CHAR(10),"\n"), "")&amp;"', textEn: '"&amp;SUBSTITUTE(SUBSTITUTE(SUBSTITUTE(AM222, CHAR(13), ""),CHAR(10),"\n"),"'","\'")&amp;IF(AN222&lt;&gt;"", "', textEnAdditional: '"&amp;SUBSTITUTE(SUBSTITUTE(AN222, CHAR(13), ""),CHAR(10),"\n"), "")&amp;"'"&amp;IF(AB222="○",", sealable: true","")&amp;IF(AC222="○",", removable: true","")&amp;IF(AA222="○",", lie: true","")&amp;IF(AD222="○",", investable: true","")&amp;"},")</x:f>
        <x:v>'15-korunu-A1-s-3': {megami: 'korunu', anotherID: 'A1', replace: '15-korunu-o-s-3', name: 'マクイナウ', nameEn: '', nameZh: '', nameZhG221: '', nameKo: '', ruby: '', rubyEn: '', baseType: 'special', type: 'enhance', capacity: '3', cost: '3', text: '【常時】このカードの消費はお互いのオーラにある凍結トークンの数の合計だけ少なくなり、相手のライフの数だけ多くなる。\n【常時】このカードの消費の支払いにより移動する桜花結晶はダストではなくこのカードの上に動かす。\n【破棄時】相手は敗北する。', textZh: '', textZhG221: '', textKo: '', textEn: ''},</x:v>
      </x:c>
      <x:c r="AU222" t="str">
        <x:f>IF($A222&lt;&gt;"", "    /** 《"&amp;$E222&amp;"》 */ export const "&amp;SUBSTITUTE(UPPER(IF(MID($A222, 3, 1)="-", RIGHT($A222,LEN($A222)-3), $A222)), "-", "_")&amp;": TCardId = '"&amp;$A222&amp;"';", "")</x:f>
        <x:v>    /** 《マクイナウ》 */ export const KORUNU_A1_S_3: TCardId = '15-korunu-A1-s-3';</x:v>
      </x:c>
      <x:c r="AV222" t="str">
        <x:f>IF($A223&lt;&gt;"", "    | '"&amp;$A223&amp;"'", "")</x:f>
        <x:v>    | '19-megumi-o-n-1'</x:v>
      </x:c>
    </x:row>
    <x:row r="223" ht="83" customHeight="1">
      <x:c r="A223" t="str">
        <x:v>19-megumi-o-n-1</x:v>
      </x:c>
      <x:c r="B223" t="str">
        <x:v>megumi</x:v>
      </x:c>
      <x:c r="C223"/>
      <x:c r="D223"/>
      <x:c r="E223" t="str">
        <x:v>空閃</x:v>
      </x:c>
      <x:c r="F223" t="str">
        <x:v>くうせん</x:v>
      </x:c>
      <x:c r="G223" t="str">
        <x:v>空闪</x:v>
      </x:c>
      <x:c r="H223" t="str">
        <x:v>空闪</x:v>
      </x:c>
      <x:c r="I223"/>
      <x:c r="J223" t="str">
        <x:v>공섬</x:v>
      </x:c>
      <x:c r="K223" t="str">
        <x:v>Skygleam</x:v>
      </x:c>
      <x:c r="L223"/>
      <x:c r="M223" t="str">
        <x:v>通常札</x:v>
      </x:c>
      <x:c r="N223"/>
      <x:c r="O223"/>
      <x:c r="P223"/>
      <x:c r="Q223"/>
      <x:c r="R223" t="str">
        <x:v>攻撃</x:v>
      </x:c>
      <x:c r="S223"/>
      <x:c r="T223" t="str">
        <x:v>4-8</x:v>
      </x:c>
      <x:c r="U223"/>
      <x:c r="V223" t="str">
        <x:v>2/1</x:v>
      </x:c>
      <x:c r="W223"/>
      <x:c r="X223"/>
      <x:c r="Y223"/>
      <x:c r="Z223"/>
      <x:c r="AA223"/>
      <x:c r="AB223"/>
      <x:c r="AC223"/>
      <x:c r="AD223"/>
      <x:c r="AE223" s="438" t="str">
        <x:v>【常時】あなたの土壌の種結晶がすべて萌芽しているならば、この《攻撃》は+1/+1となる。</x:v>
      </x:c>
      <x:c r="AF223" s="438" t="str">
        <x:v>(+1) 【展開時】攻撃『適正距離3、2/2、不可避』を行う。
----
隙
【展開中】相手のオーラへと桜花結晶が移動するならば、それは代わりにダストへと移動する。そうした場合、このカードの上から桜花結晶を1つダストに送る。</x:v>
      </x:c>
      <x:c r="AG223" s="499" t="str">
        <x:v>【常时】若你土壤中的种子结晶全都已经萌芽，则此《攻击》得+1/+1。</x:v>
      </x:c>
      <x:c r="AH223" s="438"/>
      <x:c r="AI223" s="499" t="str">
        <x:v>【常时】若你的土壤中的种子结晶已经全部萌芽，则此《攻击》获得+1/+1。</x:v>
      </x:c>
      <x:c r="AJ223" s="438"/>
      <x:c r="AK223" s="499" t="str">
        <x:v>【상시】당신의 토양의 씨앗 결정이 전부 발아되었다면, 이 《공격》은 +1/+1 된다.</x:v>
      </x:c>
      <x:c r="AL223" s="438"/>
      <x:c r="AM223" s="499" t="str">
        <x:v>Forced: If all your Seed tokens in your Field are sprouted, this attack gets +1/+1.</x:v>
      </x:c>
      <x:c r="AN223" s="438"/>
      <x:c r="AO223" s="438"/>
      <x:c r="AP223" s="438"/>
      <x:c r="AQ223" s="438"/>
      <x:c r="AR223" s="438"/>
      <x:c r="AS223" s="438"/>
      <x:c r="AT223" t="str">
        <x:f>IF(A223="", "","'"&amp;A223&amp;"': {megami: '"&amp;B223&amp;"'"&amp;IF(C223&lt;&gt;"",", anotherID: '"&amp;C223&amp;"', replace: '"&amp;D223&amp;"'","")&amp;", name: '"&amp;SUBSTITUTE(E223,"'","\'")&amp;"', nameEn: '"&amp;SUBSTITUTE(K223,"'","\'")&amp;"', nameZh: '"&amp;SUBSTITUTE(G223,"'","\'")&amp;"', nameZhG222: '"&amp;SUBSTITUTE(H223,"'","\'")&amp;"', nameKo: '"&amp;SUBSTITUTE(J223,"'","\'")&amp;"', ruby: '"&amp;F223&amp;"', rubyEn: '"&amp;L223&amp;IF(I223&lt;&gt;"", "', rubyZh: '"&amp;I223, "")&amp;"', baseType: '"&amp;IF(M223="通常札","normal",IF(M223="切札","special",IF(M223="追加札","extra",IF(M223="transform","transform",IF(M223="嵐","storm",IF(M223="兵員","troop",IF(M223="構想","plan",IF(M223="メインパーツ","mainParts",IF(M223="カスタムパーツ","customParts",IF(M223="運命","fate",IF(M223="仮想樹","virtualTree","")))))))))))&amp;"'"&amp;IF(N223="○",", extra: true","")&amp;IF(O223&lt;&gt;"",", extraFrom: '"&amp;O223&amp;"'","")&amp;IF(P223&lt;&gt;"",", exchangableTo: '"&amp;P223&amp;"'","")&amp;IF(Q223="○",", poison: true","")&amp;IF(R223&lt;&gt;"", ", type: '"&amp;IF(R223="攻撃","attack",IF(R223="行動","action",IF(R223="不定","variable",IF(R223="対応","reaction",IF(R223="全力","fullpower",IF(R223="付与","enhance",IF(R223="transform","transform","")))))))&amp;"'", "")&amp;IF(S223&lt;&gt;"",", subType: '"&amp;IF(S223="攻撃","attack",IF(S223="行動","action",IF(S223="不定","variable",IF(S223="対応","reaction",IF(S223="全力","fullpower",IF(S223="付与","enhance",IF(S223="transform","transform","")))))))&amp;"'","")&amp;""&amp;IF(T223&lt;&gt;"",", range: '"&amp;T223&amp;"'","")&amp;IF(V223&lt;&gt;"",", damage: '"&amp;V223&amp;"'","")&amp;IF(X223&lt;&gt;"",", capacity: '"&amp;X223&amp;"'","")&amp;IF(Y223&lt;&gt;"",", growth: "&amp;Y223&amp;"","")&amp;IF(Z223&lt;&gt;"",", cost: '"&amp;Z223&amp;"'","")&amp;", text: '"&amp;SUBSTITUTE(SUBSTITUTE(AE223, CHAR(13), ""),CHAR(10),"\n")&amp;IF(AF223&lt;&gt;"", "', textAdditional: '"&amp;SUBSTITUTE(SUBSTITUTE(AF223, CHAR(13), ""),CHAR(10),"\n"), "")&amp;"', textZh: '"&amp;SUBSTITUTE(SUBSTITUTE(SUBSTITUTE(AG223, CHAR(13), ""),CHAR(10),"\n"),"'","\'")&amp;"', textZhG222: '"&amp;SUBSTITUTE(SUBSTITUTE(SUBSTITUTE(AI223, CHAR(13), ""),CHAR(10),"\n"),"'","\'")&amp;IF(AH223&lt;&gt;"", "', textZhAdditional: '"&amp;SUBSTITUTE(SUBSTITUTE(AH223, CHAR(13), ""),CHAR(10),"\n"), "")&amp;IF(AK223&lt;&gt;"", "', textZhG222Additional: '"&amp;SUBSTITUTE(SUBSTITUTE(AK223, CHAR(13), ""),CHAR(10),"\n"), "")&amp;"', textKo: '"&amp;SUBSTITUTE(SUBSTITUTE(SUBSTITUTE(AM223, CHAR(13), ""),CHAR(10),"\n"),"'","\'")&amp;IF(AM223&lt;&gt;"", "', textKoAdditional: '"&amp;SUBSTITUTE(SUBSTITUTE(AM223, CHAR(13), ""),CHAR(10),"\n"), "")&amp;"', textEn: '"&amp;SUBSTITUTE(SUBSTITUTE(SUBSTITUTE(AM223, CHAR(13), ""),CHAR(10),"\n"),"'","\'")&amp;IF(AN223&lt;&gt;"", "', textEnAdditional: '"&amp;SUBSTITUTE(SUBSTITUTE(AN223, CHAR(13), ""),CHAR(10),"\n"), "")&amp;"'"&amp;IF(AB223="○",", sealable: true","")&amp;IF(AC223="○",", removable: true","")&amp;IF(AA223="○",", lie: true","")&amp;IF(AD223="○",", investable: true","")&amp;"},")</x:f>
        <x:v>'19-megumi-o-n-1': {megami: 'megumi', name: '空閃', nameEn: 'Skygleam', nameZh: '空闪', nameZhG222: '空闪', nameKo: '공섬', ruby: 'くうせん', rubyEn: '', baseType: 'normal', type: 'attack', range: '4-8', damage: '2/1', text: '【常時】あなたの土壌の種結晶がすべて萌芽しているならば、この《攻撃》は+1/+1となる。', textAdditional: '(+1) 【展開時】攻撃『適正距離3、2/2、不可避』を行う。\n----\n隙\n【展開中】相手のオーラへと桜花結晶が移動するならば、それは代わりにダストへと移動する。そうした場合、このカードの上から桜花結晶を1つダストに送る。', textZh: '【常时】若你土壤中的种子结晶全都已经萌芽，则此《攻击》得+1/+1。', textZhG222: '【常时】若你的土壤中的种子结晶已经全部萌芽，则此《攻击》获得+1/+1。', textZhG222Additional: '【상시】당신의 토양의 씨앗 결정이 전부 발아되었다면, 이 《공격》은 +1/+1 된다.', textKo: 'Forced: If all your Seed tokens in your Field are sprouted, this attack gets +1/+1.', textKoAdditional: 'Forced: If all your Seed tokens in your Field are sprouted, this attack gets +1/+1.', textEn: 'Forced: If all your Seed tokens in your Field are sprouted, this attack gets +1/+1.'},</x:v>
      </x:c>
      <x:c r="AU223" t="str">
        <x:f>IF($A223&lt;&gt;"", "    /** 《"&amp;$E223&amp;"》 */ export const "&amp;SUBSTITUTE(UPPER(IF(MID($A223, 3, 1)="-", RIGHT($A223,LEN($A223)-3), $A223)), "-", "_")&amp;": TCardId = '"&amp;$A223&amp;"';", "")</x:f>
        <x:v>    /** 《空閃》 */ export const MEGUMI_O_N_1: TCardId = '19-megumi-o-n-1';</x:v>
      </x:c>
      <x:c r="AV223" t="str">
        <x:f>IF($A224&lt;&gt;"", "    | '"&amp;$A224&amp;"'", "")</x:f>
        <x:v>    | '19-megumi-o-n-2'</x:v>
      </x:c>
    </x:row>
    <x:row r="224" ht="38" customHeight="1">
      <x:c r="A224" t="str">
        <x:v>19-megumi-o-n-2</x:v>
      </x:c>
      <x:c r="B224" t="str">
        <x:v>megumi</x:v>
      </x:c>
      <x:c r="C224"/>
      <x:c r="D224"/>
      <x:c r="E224" t="str">
        <x:v>打擲</x:v>
      </x:c>
      <x:c r="F224" t="str">
        <x:v>ちょうちゃく</x:v>
      </x:c>
      <x:c r="G224" t="str">
        <x:v>痛打</x:v>
      </x:c>
      <x:c r="H224" t="str">
        <x:v>打掷</x:v>
      </x:c>
      <x:c r="I224"/>
      <x:c r="J224" t="str">
        <x:v>타척</x:v>
      </x:c>
      <x:c r="K224" t="str">
        <x:v>Thresh</x:v>
      </x:c>
      <x:c r="L224"/>
      <x:c r="M224" t="str">
        <x:v>通常札</x:v>
      </x:c>
      <x:c r="N224"/>
      <x:c r="O224"/>
      <x:c r="P224"/>
      <x:c r="Q224"/>
      <x:c r="R224" t="str">
        <x:v>攻撃</x:v>
      </x:c>
      <x:c r="S224"/>
      <x:c r="T224" t="str">
        <x:v>4-5</x:v>
      </x:c>
      <x:c r="U224"/>
      <x:c r="V224" t="str">
        <x:v>2/1</x:v>
      </x:c>
      <x:c r="W224"/>
      <x:c r="X224"/>
      <x:c r="Y224"/>
      <x:c r="Z224"/>
      <x:c r="AA224"/>
      <x:c r="AB224"/>
      <x:c r="AC224"/>
      <x:c r="AD224"/>
      <x:c r="AE224" s="438" t="str">
        <x:v>【常時】あなたの付与札に種結晶があるならば、この《攻撃》は+1/+1となる。</x:v>
      </x:c>
      <x:c r="AF224" s="438"/>
      <x:c r="AG224" s="438" t="str">
        <x:v>【常时】若你的付与区中有种子结晶，则此《攻击》得+1/+1。</x:v>
      </x:c>
      <x:c r="AH224" s="438"/>
      <x:c r="AI224" s="438" t="str">
        <x:v>【常时】若你的付与牌上有种子结晶，则此《攻击》获得+1/+1。</x:v>
      </x:c>
      <x:c r="AJ224" s="438"/>
      <x:c r="AK224" s="438" t="str">
        <x:v>【상시】당신의 부여패에 씨앗 결정이 있다면, 이 《공격》은 +1/+1 된다.</x:v>
      </x:c>
      <x:c r="AL224" s="438"/>
      <x:c r="AM224" s="438" t="str">
        <x:v>Forced: If you have an Enhancement in play with a Seed token, this attack gets +1/+1.</x:v>
      </x:c>
      <x:c r="AN224" s="438"/>
      <x:c r="AO224" s="438"/>
      <x:c r="AP224" s="438"/>
      <x:c r="AQ224" s="438"/>
      <x:c r="AR224" s="438"/>
      <x:c r="AS224" s="438"/>
      <x:c r="AT224" t="str">
        <x:f>IF(A224="", "","'"&amp;A224&amp;"': {megami: '"&amp;B224&amp;"'"&amp;IF(C224&lt;&gt;"",", anotherID: '"&amp;C224&amp;"', replace: '"&amp;D224&amp;"'","")&amp;", name: '"&amp;SUBSTITUTE(E224,"'","\'")&amp;"', nameEn: '"&amp;SUBSTITUTE(K224,"'","\'")&amp;"', nameZh: '"&amp;SUBSTITUTE(G224,"'","\'")&amp;"', nameZhG223: '"&amp;SUBSTITUTE(H224,"'","\'")&amp;"', nameKo: '"&amp;SUBSTITUTE(J224,"'","\'")&amp;"', ruby: '"&amp;F224&amp;"', rubyEn: '"&amp;L224&amp;IF(I224&lt;&gt;"", "', rubyZh: '"&amp;I224, "")&amp;"', baseType: '"&amp;IF(M224="通常札","normal",IF(M224="切札","special",IF(M224="追加札","extra",IF(M224="transform","transform",IF(M224="嵐","storm",IF(M224="兵員","troop",IF(M224="構想","plan",IF(M224="メインパーツ","mainParts",IF(M224="カスタムパーツ","customParts",IF(M224="運命","fate",IF(M224="仮想樹","virtualTree","")))))))))))&amp;"'"&amp;IF(N224="○",", extra: true","")&amp;IF(O224&lt;&gt;"",", extraFrom: '"&amp;O224&amp;"'","")&amp;IF(P224&lt;&gt;"",", exchangableTo: '"&amp;P224&amp;"'","")&amp;IF(Q224="○",", poison: true","")&amp;IF(R224&lt;&gt;"", ", type: '"&amp;IF(R224="攻撃","attack",IF(R224="行動","action",IF(R224="不定","variable",IF(R224="対応","reaction",IF(R224="全力","fullpower",IF(R224="付与","enhance",IF(R224="transform","transform","")))))))&amp;"'", "")&amp;IF(S224&lt;&gt;"",", subType: '"&amp;IF(S224="攻撃","attack",IF(S224="行動","action",IF(S224="不定","variable",IF(S224="対応","reaction",IF(S224="全力","fullpower",IF(S224="付与","enhance",IF(S224="transform","transform","")))))))&amp;"'","")&amp;""&amp;IF(T224&lt;&gt;"",", range: '"&amp;T224&amp;"'","")&amp;IF(V224&lt;&gt;"",", damage: '"&amp;V224&amp;"'","")&amp;IF(X224&lt;&gt;"",", capacity: '"&amp;X224&amp;"'","")&amp;IF(Y224&lt;&gt;"",", growth: "&amp;Y224&amp;"","")&amp;IF(Z224&lt;&gt;"",", cost: '"&amp;Z224&amp;"'","")&amp;", text: '"&amp;SUBSTITUTE(SUBSTITUTE(AE224, CHAR(13), ""),CHAR(10),"\n")&amp;IF(AF224&lt;&gt;"", "', textAdditional: '"&amp;SUBSTITUTE(SUBSTITUTE(AF224, CHAR(13), ""),CHAR(10),"\n"), "")&amp;"', textZh: '"&amp;SUBSTITUTE(SUBSTITUTE(SUBSTITUTE(AG224, CHAR(13), ""),CHAR(10),"\n"),"'","\'")&amp;"', textZhG223: '"&amp;SUBSTITUTE(SUBSTITUTE(SUBSTITUTE(AI224, CHAR(13), ""),CHAR(10),"\n"),"'","\'")&amp;IF(AH224&lt;&gt;"", "', textZhAdditional: '"&amp;SUBSTITUTE(SUBSTITUTE(AH224, CHAR(13), ""),CHAR(10),"\n"), "")&amp;IF(AK224&lt;&gt;"", "', textZhG223Additional: '"&amp;SUBSTITUTE(SUBSTITUTE(AK224, CHAR(13), ""),CHAR(10),"\n"), "")&amp;"', textKo: '"&amp;SUBSTITUTE(SUBSTITUTE(SUBSTITUTE(AM224, CHAR(13), ""),CHAR(10),"\n"),"'","\'")&amp;IF(AM224&lt;&gt;"", "', textKoAdditional: '"&amp;SUBSTITUTE(SUBSTITUTE(AM224, CHAR(13), ""),CHAR(10),"\n"), "")&amp;"', textEn: '"&amp;SUBSTITUTE(SUBSTITUTE(SUBSTITUTE(AM224, CHAR(13), ""),CHAR(10),"\n"),"'","\'")&amp;IF(AN224&lt;&gt;"", "', textEnAdditional: '"&amp;SUBSTITUTE(SUBSTITUTE(AN224, CHAR(13), ""),CHAR(10),"\n"), "")&amp;"'"&amp;IF(AB224="○",", sealable: true","")&amp;IF(AC224="○",", removable: true","")&amp;IF(AA224="○",", lie: true","")&amp;IF(AD224="○",", investable: true","")&amp;"},")</x:f>
        <x:v>'19-megumi-o-n-2': {megami: 'megumi', name: '打擲', nameEn: 'Thresh', nameZh: '痛打', nameZhG223: '打掷', nameKo: '타척', ruby: 'ちょうちゃく', rubyEn: '', baseType: 'normal', type: 'attack', range: '4-5', damage: '2/1', text: '【常時】あなたの付与札に種結晶があるならば、この《攻撃》は+1/+1となる。', textZh: '【常时】若你的付与区中有种子结晶，则此《攻击》得+1/+1。', textZhG223: '【常时】若你的付与牌上有种子结晶，则此《攻击》获得+1/+1。', textZhG223Additional: '【상시】당신의 부여패에 씨앗 결정이 있다면, 이 《공격》은 +1/+1 된다.', textKo: 'Forced: If you have an Enhancement in play with a Seed token, this attack gets +1/+1.', textKoAdditional: 'Forced: If you have an Enhancement in play with a Seed token, this attack gets +1/+1.', textEn: 'Forced: If you have an Enhancement in play with a Seed token, this attack gets +1/+1.'},</x:v>
      </x:c>
      <x:c r="AU224" t="str">
        <x:f>IF($A224&lt;&gt;"", "    /** 《"&amp;$E224&amp;"》 */ export const "&amp;SUBSTITUTE(UPPER(IF(MID($A224, 3, 1)="-", RIGHT($A224,LEN($A224)-3), $A224)), "-", "_")&amp;": TCardId = '"&amp;$A224&amp;"';", "")</x:f>
        <x:v>    /** 《打擲》 */ export const MEGUMI_O_N_2: TCardId = '19-megumi-o-n-2';</x:v>
      </x:c>
      <x:c r="AV224" t="str">
        <x:f>IF($A225&lt;&gt;"", "    | '"&amp;$A225&amp;"'", "")</x:f>
        <x:v>    | '19-megumi-o-n-3'</x:v>
      </x:c>
    </x:row>
    <x:row r="225" ht="38" customHeight="1">
      <x:c r="A225" t="str">
        <x:v>19-megumi-o-n-3</x:v>
      </x:c>
      <x:c r="B225" t="str">
        <x:v>megumi</x:v>
      </x:c>
      <x:c r="C225"/>
      <x:c r="D225"/>
      <x:c r="E225" t="str">
        <x:v>殻打ち</x:v>
      </x:c>
      <x:c r="F225" t="str">
        <x:v>からうち</x:v>
      </x:c>
      <x:c r="G225" t="str">
        <x:v>打壳</x:v>
      </x:c>
      <x:c r="H225" t="str">
        <x:v>脱粒</x:v>
      </x:c>
      <x:c r="I225"/>
      <x:c r="J225" t="str">
        <x:v>껍질치기</x:v>
      </x:c>
      <x:c r="K225" t="str">
        <x:v>Flail</x:v>
      </x:c>
      <x:c r="L225"/>
      <x:c r="M225" t="str">
        <x:v>通常札</x:v>
      </x:c>
      <x:c r="N225"/>
      <x:c r="O225"/>
      <x:c r="P225"/>
      <x:c r="Q225"/>
      <x:c r="R225" t="str">
        <x:v>攻撃</x:v>
      </x:c>
      <x:c r="S225"/>
      <x:c r="T225" t="str">
        <x:v>3-5</x:v>
      </x:c>
      <x:c r="U225"/>
      <x:c r="V225" t="str">
        <x:v>2/1</x:v>
      </x:c>
      <x:c r="W225"/>
      <x:c r="X225"/>
      <x:c r="Y225"/>
      <x:c r="Z225"/>
      <x:c r="AA225"/>
      <x:c r="AB225"/>
      <x:c r="AC225"/>
      <x:c r="AD225"/>
      <x:c r="AE225" s="438" t="str">
        <x:v>【攻撃後】このターンにあなたが次に使用する他のメガミの《付与》カードは生育2を得る。</x:v>
      </x:c>
      <x:c r="AF225" s="438"/>
      <x:c r="AG225" s="499" t="str">
        <x:v>【攻击后】本回合你的下一张其他女神的《付于》牌得生长2。</x:v>
      </x:c>
      <x:c r="AH225" s="438"/>
      <x:c r="AI225" s="499" t="str">
        <x:v>【攻击后】本回合内你使用的下一张其他女神的《付与》牌获得生长2。</x:v>
      </x:c>
      <x:c r="AJ225" s="438"/>
      <x:c r="AK225" s="499" t="str">
        <x:v>【공격후】이 턴에 당신이 다음에 사용하는 다른 여신의 《부여》 카드는 생육2를 얻는다.</x:v>
      </x:c>
      <x:c r="AL225" s="438"/>
      <x:c r="AM225" s="499" t="str">
        <x:v>After Attack: The next Enhancement card you play from a non-Megumi Megami this turn gains Growth 2.</x:v>
      </x:c>
      <x:c r="AN225" s="438"/>
      <x:c r="AO225" s="438"/>
      <x:c r="AP225" s="438"/>
      <x:c r="AQ225" s="438"/>
      <x:c r="AR225" s="438"/>
      <x:c r="AS225" s="438"/>
      <x:c r="AT225" t="str">
        <x:f>IF(A225="", "","'"&amp;A225&amp;"': {megami: '"&amp;B225&amp;"'"&amp;IF(C225&lt;&gt;"",", anotherID: '"&amp;C225&amp;"', replace: '"&amp;D225&amp;"'","")&amp;", name: '"&amp;SUBSTITUTE(E225,"'","\'")&amp;"', nameEn: '"&amp;SUBSTITUTE(K225,"'","\'")&amp;"', nameZh: '"&amp;SUBSTITUTE(G225,"'","\'")&amp;"', nameZhG224: '"&amp;SUBSTITUTE(H225,"'","\'")&amp;"', nameKo: '"&amp;SUBSTITUTE(J225,"'","\'")&amp;"', ruby: '"&amp;F225&amp;"', rubyEn: '"&amp;L225&amp;IF(I225&lt;&gt;"", "', rubyZh: '"&amp;I225, "")&amp;"', baseType: '"&amp;IF(M225="通常札","normal",IF(M225="切札","special",IF(M225="追加札","extra",IF(M225="transform","transform",IF(M225="嵐","storm",IF(M225="兵員","troop",IF(M225="構想","plan",IF(M225="メインパーツ","mainParts",IF(M225="カスタムパーツ","customParts",IF(M225="運命","fate",IF(M225="仮想樹","virtualTree","")))))))))))&amp;"'"&amp;IF(N225="○",", extra: true","")&amp;IF(O225&lt;&gt;"",", extraFrom: '"&amp;O225&amp;"'","")&amp;IF(P225&lt;&gt;"",", exchangableTo: '"&amp;P225&amp;"'","")&amp;IF(Q225="○",", poison: true","")&amp;IF(R225&lt;&gt;"", ", type: '"&amp;IF(R225="攻撃","attack",IF(R225="行動","action",IF(R225="不定","variable",IF(R225="対応","reaction",IF(R225="全力","fullpower",IF(R225="付与","enhance",IF(R225="transform","transform","")))))))&amp;"'", "")&amp;IF(S225&lt;&gt;"",", subType: '"&amp;IF(S225="攻撃","attack",IF(S225="行動","action",IF(S225="不定","variable",IF(S225="対応","reaction",IF(S225="全力","fullpower",IF(S225="付与","enhance",IF(S225="transform","transform","")))))))&amp;"'","")&amp;""&amp;IF(T225&lt;&gt;"",", range: '"&amp;T225&amp;"'","")&amp;IF(V225&lt;&gt;"",", damage: '"&amp;V225&amp;"'","")&amp;IF(X225&lt;&gt;"",", capacity: '"&amp;X225&amp;"'","")&amp;IF(Y225&lt;&gt;"",", growth: "&amp;Y225&amp;"","")&amp;IF(Z225&lt;&gt;"",", cost: '"&amp;Z225&amp;"'","")&amp;", text: '"&amp;SUBSTITUTE(SUBSTITUTE(AE225, CHAR(13), ""),CHAR(10),"\n")&amp;IF(AF225&lt;&gt;"", "', textAdditional: '"&amp;SUBSTITUTE(SUBSTITUTE(AF225, CHAR(13), ""),CHAR(10),"\n"), "")&amp;"', textZh: '"&amp;SUBSTITUTE(SUBSTITUTE(SUBSTITUTE(AG225, CHAR(13), ""),CHAR(10),"\n"),"'","\'")&amp;"', textZhG224: '"&amp;SUBSTITUTE(SUBSTITUTE(SUBSTITUTE(AI225, CHAR(13), ""),CHAR(10),"\n"),"'","\'")&amp;IF(AH225&lt;&gt;"", "', textZhAdditional: '"&amp;SUBSTITUTE(SUBSTITUTE(AH225, CHAR(13), ""),CHAR(10),"\n"), "")&amp;IF(AK225&lt;&gt;"", "', textZhG224Additional: '"&amp;SUBSTITUTE(SUBSTITUTE(AK225, CHAR(13), ""),CHAR(10),"\n"), "")&amp;"', textKo: '"&amp;SUBSTITUTE(SUBSTITUTE(SUBSTITUTE(AM225, CHAR(13), ""),CHAR(10),"\n"),"'","\'")&amp;IF(AM225&lt;&gt;"", "', textKoAdditional: '"&amp;SUBSTITUTE(SUBSTITUTE(AM225, CHAR(13), ""),CHAR(10),"\n"), "")&amp;"', textEn: '"&amp;SUBSTITUTE(SUBSTITUTE(SUBSTITUTE(AM225, CHAR(13), ""),CHAR(10),"\n"),"'","\'")&amp;IF(AN225&lt;&gt;"", "', textEnAdditional: '"&amp;SUBSTITUTE(SUBSTITUTE(AN225, CHAR(13), ""),CHAR(10),"\n"), "")&amp;"'"&amp;IF(AB225="○",", sealable: true","")&amp;IF(AC225="○",", removable: true","")&amp;IF(AA225="○",", lie: true","")&amp;IF(AD225="○",", investable: true","")&amp;"},")</x:f>
        <x:v>'19-megumi-o-n-3': {megami: 'megumi', name: '殻打ち', nameEn: 'Flail', nameZh: '打壳', nameZhG224: '脱粒', nameKo: '껍질치기', ruby: 'からうち', rubyEn: '', baseType: 'normal', type: 'attack', range: '3-5', damage: '2/1', text: '【攻撃後】このターンにあなたが次に使用する他のメガミの《付与》カードは生育2を得る。', textZh: '【攻击后】本回合你的下一张其他女神的《付于》牌得生长2。', textZhG224: '【攻击后】本回合内你使用的下一张其他女神的《付与》牌获得生长2。', textZhG224Additional: '【공격후】이 턴에 당신이 다음에 사용하는 다른 여신의 《부여》 카드는 생육2를 얻는다.', textKo: 'After Attack: The next Enhancement card you play from a non-Megumi Megami this turn gains Growth 2.', textKoAdditional: 'After Attack: The next Enhancement card you play from a non-Megumi Megami this turn gains Growth 2.', textEn: 'After Attack: The next Enhancement card you play from a non-Megumi Megami this turn gains Growth 2.'},</x:v>
      </x:c>
      <x:c r="AU225" t="str">
        <x:f>IF($A225&lt;&gt;"", "    /** 《"&amp;$E225&amp;"》 */ export const "&amp;SUBSTITUTE(UPPER(IF(MID($A225, 3, 1)="-", RIGHT($A225,LEN($A225)-3), $A225)), "-", "_")&amp;": TCardId = '"&amp;$A225&amp;"';", "")</x:f>
        <x:v>    /** 《殻打ち》 */ export const MEGUMI_O_N_3: TCardId = '19-megumi-o-n-3';</x:v>
      </x:c>
      <x:c r="AV225" t="str">
        <x:f>IF($A226&lt;&gt;"", "    | '"&amp;$A226&amp;"'", "")</x:f>
        <x:v>    | '19-megumi-o-n-4'</x:v>
      </x:c>
    </x:row>
    <x:row r="226" ht="98" customHeight="1">
      <x:c r="A226" t="str">
        <x:v>19-megumi-o-n-4</x:v>
      </x:c>
      <x:c r="B226" t="str">
        <x:v>megumi</x:v>
      </x:c>
      <x:c r="C226"/>
      <x:c r="D226"/>
      <x:c r="E226" t="str">
        <x:v>棹穿ち</x:v>
      </x:c>
      <x:c r="F226" t="str">
        <x:v>さおうがち</x:v>
      </x:c>
      <x:c r="G226" t="str">
        <x:v>穿刺</x:v>
      </x:c>
      <x:c r="H226" t="str">
        <x:v>穿竹</x:v>
      </x:c>
      <x:c r="I226"/>
      <x:c r="J226" t="str">
        <x:v>장대 찌르기</x:v>
      </x:c>
      <x:c r="K226" t="str">
        <x:v>Pommel Thrust</x:v>
      </x:c>
      <x:c r="L226"/>
      <x:c r="M226" t="str">
        <x:v>通常札</x:v>
      </x:c>
      <x:c r="N226"/>
      <x:c r="O226"/>
      <x:c r="P226"/>
      <x:c r="Q226"/>
      <x:c r="R226" t="str">
        <x:v>攻撃</x:v>
      </x:c>
      <x:c r="S226" t="str">
        <x:v>対応</x:v>
      </x:c>
      <x:c r="T226" t="str">
        <x:v>2-4</x:v>
      </x:c>
      <x:c r="U226"/>
      <x:c r="V226" t="str">
        <x:v>1/1</x:v>
      </x:c>
      <x:c r="W226"/>
      <x:c r="X226"/>
      <x:c r="Y226"/>
      <x:c r="Z226"/>
      <x:c r="AA226"/>
      <x:c r="AB226"/>
      <x:c r="AC226"/>
      <x:c r="AD226"/>
      <x:c r="AE226" s="438" t="str">
        <x:v>【常時】この《攻撃》のダメージにより移動する桜花結晶はダストやフレアでなく間合に動かす。
【攻撃後】あなたが付与札を出しているならば、このターンに相手が行う次の基本動作は効果を解決しない。</x:v>
      </x:c>
      <x:c r="AF226" s="438"/>
      <x:c r="AG226" s="499" t="str">
        <x:v>【常时】因此《攻击》造成的伤害将移动的樱花结晶改为移动至距。
【攻击后】若你的付于区中有展开中的付于牌，则本回合对手进行的下次基本动作不会被结算。</x:v>
      </x:c>
      <x:c r="AH226" s="438"/>
      <x:c r="AI226" s="499" t="str">
        <x:v>【常时】若此《攻击》对对手造成了伤害，则不将因结算伤害移动的樱花结晶移至气或虚，而改为移至距。
【攻击后】若你的付与区存在展开中的付与牌，则不结算本回合内对手执行的下一次基本动作的效果。</x:v>
      </x:c>
      <x:c r="AJ226" s="438"/>
      <x:c r="AK226" s="499" t="str">
        <x:v>【상시】이 《공격》의 데미지에 의해서 이동하는 벚꽃 결정은 더스트나 플레어가 아닌 간격으로 이동한다.
【공격후】당신이 부여패를 내놓고 있다면, 이 턴에 상대가 하는 다음 기본 동작은 효과를 해결하지 않는다.</x:v>
      </x:c>
      <x:c r="AL226" s="438"/>
      <x:c r="AM226" s="499" t="str">
        <x:v>Forced: Damage dealt by this attack moves Sakura tokens to Distance instead of to Shadow or to Flare.
After Attack: If you have an Enhancement in play, your opponent's next basic action this turn resolves with no effect.</x:v>
      </x:c>
      <x:c r="AN226" s="438"/>
      <x:c r="AO226" s="438"/>
      <x:c r="AP226" s="438"/>
      <x:c r="AQ226" s="438"/>
      <x:c r="AR226" s="438"/>
      <x:c r="AS226" s="438"/>
      <x:c r="AT226" t="str">
        <x:f>IF(A226="", "","'"&amp;A226&amp;"': {megami: '"&amp;B226&amp;"'"&amp;IF(C226&lt;&gt;"",", anotherID: '"&amp;C226&amp;"', replace: '"&amp;D226&amp;"'","")&amp;", name: '"&amp;SUBSTITUTE(E226,"'","\'")&amp;"', nameEn: '"&amp;SUBSTITUTE(K226,"'","\'")&amp;"', nameZh: '"&amp;SUBSTITUTE(G226,"'","\'")&amp;"', nameZhG225: '"&amp;SUBSTITUTE(H226,"'","\'")&amp;"', nameKo: '"&amp;SUBSTITUTE(J226,"'","\'")&amp;"', ruby: '"&amp;F226&amp;"', rubyEn: '"&amp;L226&amp;IF(I226&lt;&gt;"", "', rubyZh: '"&amp;I226, "")&amp;"', baseType: '"&amp;IF(M226="通常札","normal",IF(M226="切札","special",IF(M226="追加札","extra",IF(M226="transform","transform",IF(M226="嵐","storm",IF(M226="兵員","troop",IF(M226="構想","plan",IF(M226="メインパーツ","mainParts",IF(M226="カスタムパーツ","customParts",IF(M226="運命","fate",IF(M226="仮想樹","virtualTree","")))))))))))&amp;"'"&amp;IF(N226="○",", extra: true","")&amp;IF(O226&lt;&gt;"",", extraFrom: '"&amp;O226&amp;"'","")&amp;IF(P226&lt;&gt;"",", exchangableTo: '"&amp;P226&amp;"'","")&amp;IF(Q226="○",", poison: true","")&amp;IF(R226&lt;&gt;"", ", type: '"&amp;IF(R226="攻撃","attack",IF(R226="行動","action",IF(R226="不定","variable",IF(R226="対応","reaction",IF(R226="全力","fullpower",IF(R226="付与","enhance",IF(R226="transform","transform","")))))))&amp;"'", "")&amp;IF(S226&lt;&gt;"",", subType: '"&amp;IF(S226="攻撃","attack",IF(S226="行動","action",IF(S226="不定","variable",IF(S226="対応","reaction",IF(S226="全力","fullpower",IF(S226="付与","enhance",IF(S226="transform","transform","")))))))&amp;"'","")&amp;""&amp;IF(T226&lt;&gt;"",", range: '"&amp;T226&amp;"'","")&amp;IF(V226&lt;&gt;"",", damage: '"&amp;V226&amp;"'","")&amp;IF(X226&lt;&gt;"",", capacity: '"&amp;X226&amp;"'","")&amp;IF(Y226&lt;&gt;"",", growth: "&amp;Y226&amp;"","")&amp;IF(Z226&lt;&gt;"",", cost: '"&amp;Z226&amp;"'","")&amp;", text: '"&amp;SUBSTITUTE(SUBSTITUTE(AE226, CHAR(13), ""),CHAR(10),"\n")&amp;IF(AF226&lt;&gt;"", "', textAdditional: '"&amp;SUBSTITUTE(SUBSTITUTE(AF226, CHAR(13), ""),CHAR(10),"\n"), "")&amp;"', textZh: '"&amp;SUBSTITUTE(SUBSTITUTE(SUBSTITUTE(AG226, CHAR(13), ""),CHAR(10),"\n"),"'","\'")&amp;"', textZhG225: '"&amp;SUBSTITUTE(SUBSTITUTE(SUBSTITUTE(AI226, CHAR(13), ""),CHAR(10),"\n"),"'","\'")&amp;IF(AH226&lt;&gt;"", "', textZhAdditional: '"&amp;SUBSTITUTE(SUBSTITUTE(AH226, CHAR(13), ""),CHAR(10),"\n"), "")&amp;IF(AK226&lt;&gt;"", "', textZhG225Additional: '"&amp;SUBSTITUTE(SUBSTITUTE(AK226, CHAR(13), ""),CHAR(10),"\n"), "")&amp;"', textKo: '"&amp;SUBSTITUTE(SUBSTITUTE(SUBSTITUTE(AM226, CHAR(13), ""),CHAR(10),"\n"),"'","\'")&amp;IF(AM226&lt;&gt;"", "', textKoAdditional: '"&amp;SUBSTITUTE(SUBSTITUTE(AM226, CHAR(13), ""),CHAR(10),"\n"), "")&amp;"', textEn: '"&amp;SUBSTITUTE(SUBSTITUTE(SUBSTITUTE(AM226, CHAR(13), ""),CHAR(10),"\n"),"'","\'")&amp;IF(AN226&lt;&gt;"", "', textEnAdditional: '"&amp;SUBSTITUTE(SUBSTITUTE(AN226, CHAR(13), ""),CHAR(10),"\n"), "")&amp;"'"&amp;IF(AB226="○",", sealable: true","")&amp;IF(AC226="○",", removable: true","")&amp;IF(AA226="○",", lie: true","")&amp;IF(AD226="○",", investable: true","")&amp;"},")</x:f>
        <x:v>'19-megumi-o-n-4': {megami: 'megumi', name: '棹穿ち', nameEn: 'Pommel Thrust', nameZh: '穿刺', nameZhG225: '穿竹', nameKo: '장대 찌르기', ruby: 'さおうがち', rubyEn: '', baseType: 'normal', type: 'attack', subType: 'reaction', range: '2-4', damage: '1/1', text: '【常時】この《攻撃》のダメージにより移動する桜花結晶はダストやフレアでなく間合に動かす。\n【攻撃後】あなたが付与札を出しているならば、このターンに相手が行う次の基本動作は効果を解決しない。', textZh: '【常时】因此《攻击》造成的伤害将移动的樱花结晶改为移动至距。\n【攻击后】若你的付于区中有展开中的付于牌，则本回合对手进行的下次基本动作不会被结算。', textZhG225: '【常时】若此《攻击》对对手造成了伤害，则不将因结算伤害移动的樱花结晶移至气或虚，而改为移至距。\n【攻击后】若你的付与区存在展开中的付与牌，则不结算本回合内对手执行的下一次基本动作的效果。', textZhG225Additional: '【상시】이 《공격》의 데미지에 의해서 이동하는 벚꽃 결정은 더스트나 플레어가 아닌 간격으로 이동한다.\n【공격후】당신이 부여패를 내놓고 있다면, 이 턴에 상대가 하는 다음 기본 동작은 효과를 해결하지 않는다.', textKo: 'Forced: Damage dealt by this attack moves Sakura tokens to Distance instead of to Shadow or to Flare.\n\nAfter Attack: If you have an Enhancement in play, your opponent\'s next basic action this turn resolves with no effect.', textKoAdditional: 'Forced: Damage dealt by this attack moves Sakura tokens to Distance instead of to Shadow or to Flare.\n\nAfter Attack: If you have an Enhancement in play, your opponent's next basic action this turn resolves with no effect.', textEn: 'Forced: Damage dealt by this attack moves Sakura tokens to Distance instead of to Shadow or to Flare.\n\nAfter Attack: If you have an Enhancement in play, your opponent\'s next basic action this turn resolves with no effect.'},</x:v>
      </x:c>
      <x:c r="AU226" t="str">
        <x:f>IF($A226&lt;&gt;"", "    /** 《"&amp;$E226&amp;"》 */ export const "&amp;SUBSTITUTE(UPPER(IF(MID($A226, 3, 1)="-", RIGHT($A226,LEN($A226)-3), $A226)), "-", "_")&amp;": TCardId = '"&amp;$A226&amp;"';", "")</x:f>
        <x:v>    /** 《棹穿ち》 */ export const MEGUMI_O_N_4: TCardId = '19-megumi-o-n-4';</x:v>
      </x:c>
      <x:c r="AV226" t="str">
        <x:f>IF($A227&lt;&gt;"", "    | '"&amp;$A227&amp;"'", "")</x:f>
        <x:v>    | '19-megumi-o-n-5'</x:v>
      </x:c>
    </x:row>
    <x:row r="227" ht="113" customHeight="1">
      <x:c r="A227" t="str">
        <x:v>19-megumi-o-n-5</x:v>
      </x:c>
      <x:c r="B227" t="str">
        <x:v>megumi</x:v>
      </x:c>
      <x:c r="C227"/>
      <x:c r="D227"/>
      <x:c r="E227" t="str">
        <x:v>葦</x:v>
      </x:c>
      <x:c r="F227" t="str">
        <x:v>あし</x:v>
      </x:c>
      <x:c r="G227" t="str">
        <x:v>芦苇</x:v>
      </x:c>
      <x:c r="H227" t="str">
        <x:v>苇草</x:v>
      </x:c>
      <x:c r="I227"/>
      <x:c r="J227" t="str">
        <x:v>갈대</x:v>
      </x:c>
      <x:c r="K227" t="str">
        <x:v>Reed</x:v>
      </x:c>
      <x:c r="L227"/>
      <x:c r="M227" t="str">
        <x:v>通常札</x:v>
      </x:c>
      <x:c r="N227"/>
      <x:c r="O227"/>
      <x:c r="P227"/>
      <x:c r="Q227"/>
      <x:c r="R227" t="str">
        <x:v>付与</x:v>
      </x:c>
      <x:c r="S227"/>
      <x:c r="T227"/>
      <x:c r="U227"/>
      <x:c r="V227"/>
      <x:c r="W227"/>
      <x:c r="X227" t="n">
        <x:v>1</x:v>
      </x:c>
      <x:c r="Y227" t="str">
        <x:v>1</x:v>
      </x:c>
      <x:c r="Z227"/>
      <x:c r="AA227"/>
      <x:c r="AB227"/>
      <x:c r="AC227"/>
      <x:c r="AD227"/>
      <x:c r="AE227" s="438" t="str">
        <x:v>生育1
【展開時】ダスト→間合：1
【展開中】現在の間合はX増加し、達人の間合はX大きくなる。Xはこの付与札の上の種結晶の個数に等しい。</x:v>
      </x:c>
      <x:c r="AF227" s="438"/>
      <x:c r="AG227" s="499" t="str">
        <x:v>生长1
【展开时】虚→1→距
【展开中】当前距离增大X，达人距离的值增大X。X等于此付于牌上的种子结晶的数目。</x:v>
      </x:c>
      <x:c r="AH227" s="438"/>
      <x:c r="AI227" s="499" t="str">
        <x:v>生长1
【展开时】虚（1）→距。
【展开中】当前的距离增大X，达人距离增大X。X等于这张付与牌上种子结晶的个数。</x:v>
      </x:c>
      <x:c r="AJ227" s="438"/>
      <x:c r="AK227" s="499" t="str">
        <x:v>생육1
【전개시】더스트→간격：1
【전개중】현재 간격은 X만큼 증가하고 달인의 간격은 X만큼 크게 된다. X는 이 부여패 위의 씨앗 결정의 개수에 해당된다.</x:v>
      </x:c>
      <x:c r="AL227" s="438"/>
      <x:c r="AM227" s="499" t="str">
        <x:v>Growth 1
Initialize: Shadow (1)→ Distance
Ongoing: The current Distance and the size of the Mastery Zone are each increased by X. X is the number of Seed tokens on this card.</x:v>
      </x:c>
      <x:c r="AN227" s="438"/>
      <x:c r="AO227" s="438"/>
      <x:c r="AP227" s="438"/>
      <x:c r="AQ227" s="438"/>
      <x:c r="AR227" s="438"/>
      <x:c r="AS227" s="438"/>
      <x:c r="AT227" t="str">
        <x:f>IF(A227="", "","'"&amp;A227&amp;"': {megami: '"&amp;B227&amp;"'"&amp;IF(C227&lt;&gt;"",", anotherID: '"&amp;C227&amp;"', replace: '"&amp;D227&amp;"'","")&amp;", name: '"&amp;SUBSTITUTE(E227,"'","\'")&amp;"', nameEn: '"&amp;SUBSTITUTE(K227,"'","\'")&amp;"', nameZh: '"&amp;SUBSTITUTE(G227,"'","\'")&amp;"', nameZhG226: '"&amp;SUBSTITUTE(H227,"'","\'")&amp;"', nameKo: '"&amp;SUBSTITUTE(J227,"'","\'")&amp;"', ruby: '"&amp;F227&amp;"', rubyEn: '"&amp;L227&amp;IF(I227&lt;&gt;"", "', rubyZh: '"&amp;I227, "")&amp;"', baseType: '"&amp;IF(M227="通常札","normal",IF(M227="切札","special",IF(M227="追加札","extra",IF(M227="transform","transform",IF(M227="嵐","storm",IF(M227="兵員","troop",IF(M227="構想","plan",IF(M227="メインパーツ","mainParts",IF(M227="カスタムパーツ","customParts",IF(M227="運命","fate",IF(M227="仮想樹","virtualTree","")))))))))))&amp;"'"&amp;IF(N227="○",", extra: true","")&amp;IF(O227&lt;&gt;"",", extraFrom: '"&amp;O227&amp;"'","")&amp;IF(P227&lt;&gt;"",", exchangableTo: '"&amp;P227&amp;"'","")&amp;IF(Q227="○",", poison: true","")&amp;IF(R227&lt;&gt;"", ", type: '"&amp;IF(R227="攻撃","attack",IF(R227="行動","action",IF(R227="不定","variable",IF(R227="対応","reaction",IF(R227="全力","fullpower",IF(R227="付与","enhance",IF(R227="transform","transform","")))))))&amp;"'", "")&amp;IF(S227&lt;&gt;"",", subType: '"&amp;IF(S227="攻撃","attack",IF(S227="行動","action",IF(S227="不定","variable",IF(S227="対応","reaction",IF(S227="全力","fullpower",IF(S227="付与","enhance",IF(S227="transform","transform","")))))))&amp;"'","")&amp;""&amp;IF(T227&lt;&gt;"",", range: '"&amp;T227&amp;"'","")&amp;IF(V227&lt;&gt;"",", damage: '"&amp;V227&amp;"'","")&amp;IF(X227&lt;&gt;"",", capacity: '"&amp;X227&amp;"'","")&amp;IF(Y227&lt;&gt;"",", growth: "&amp;Y227&amp;"","")&amp;IF(Z227&lt;&gt;"",", cost: '"&amp;Z227&amp;"'","")&amp;", text: '"&amp;SUBSTITUTE(SUBSTITUTE(AE227, CHAR(13), ""),CHAR(10),"\n")&amp;IF(AF227&lt;&gt;"", "', textAdditional: '"&amp;SUBSTITUTE(SUBSTITUTE(AF227, CHAR(13), ""),CHAR(10),"\n"), "")&amp;"', textZh: '"&amp;SUBSTITUTE(SUBSTITUTE(SUBSTITUTE(AG227, CHAR(13), ""),CHAR(10),"\n"),"'","\'")&amp;"', textZhG226: '"&amp;SUBSTITUTE(SUBSTITUTE(SUBSTITUTE(AI227, CHAR(13), ""),CHAR(10),"\n"),"'","\'")&amp;IF(AH227&lt;&gt;"", "', textZhAdditional: '"&amp;SUBSTITUTE(SUBSTITUTE(AH227, CHAR(13), ""),CHAR(10),"\n"), "")&amp;IF(AK227&lt;&gt;"", "', textZhG226Additional: '"&amp;SUBSTITUTE(SUBSTITUTE(AK227, CHAR(13), ""),CHAR(10),"\n"), "")&amp;"', textKo: '"&amp;SUBSTITUTE(SUBSTITUTE(SUBSTITUTE(AM227, CHAR(13), ""),CHAR(10),"\n"),"'","\'")&amp;IF(AM227&lt;&gt;"", "', textKoAdditional: '"&amp;SUBSTITUTE(SUBSTITUTE(AM227, CHAR(13), ""),CHAR(10),"\n"), "")&amp;"', textEn: '"&amp;SUBSTITUTE(SUBSTITUTE(SUBSTITUTE(AM227, CHAR(13), ""),CHAR(10),"\n"),"'","\'")&amp;IF(AN227&lt;&gt;"", "', textEnAdditional: '"&amp;SUBSTITUTE(SUBSTITUTE(AN227, CHAR(13), ""),CHAR(10),"\n"), "")&amp;"'"&amp;IF(AB227="○",", sealable: true","")&amp;IF(AC227="○",", removable: true","")&amp;IF(AA227="○",", lie: true","")&amp;IF(AD227="○",", investable: true","")&amp;"},")</x:f>
        <x:v>'19-megumi-o-n-5': {megami: 'megumi', name: '葦', nameEn: 'Reed', nameZh: '芦苇', nameZhG226: '苇草', nameKo: '갈대', ruby: 'あし', rubyEn: '', baseType: 'normal', type: 'enhance', capacity: '1', growth: 1, text: '生育1\n【展開時】ダスト→間合：1\n【展開中】現在の間合はX増加し、達人の間合はX大きくなる。Xはこの付与札の上の種結晶の個数に等しい。', textZh: '生长1\n【展开时】虚→1→距\n【展开中】当前距离增大X，达人距离的值增大X。X等于此付于牌上的种子结晶的数目。', textZhG226: '生长1\n【展开时】虚（1）→距。\n【展开中】当前的距离增大X，达人距离增大X。X等于这张付与牌上种子结晶的个数。', textZhG226Additional: '생육1\n【전개시】더스트→간격：1\n【전개중】현재 간격은 X만큼 증가하고 달인의 간격은 X만큼 크게 된다. X는 이 부여패 위의 씨앗 결정의 개수에 해당된다.', textKo: 'Growth 1\n\nInitialize: Shadow (1)→ Distance\n\nOngoing: The current Distance and the size of the Mastery Zone are each increased by X. X is the number of Seed tokens on this card.', textKoAdditional: 'Growth 1\n\nInitialize: Shadow (1)→ Distance\n\nOngoing: The current Distance and the size of the Mastery Zone are each increased by X. X is the number of Seed tokens on this card.', textEn: 'Growth 1\n\nInitialize: Shadow (1)→ Distance\n\nOngoing: The current Distance and the size of the Mastery Zone are each increased by X. X is the number of Seed tokens on this card.'},</x:v>
      </x:c>
      <x:c r="AU227" t="str">
        <x:f>IF($A227&lt;&gt;"", "    /** 《"&amp;$E227&amp;"》 */ export const "&amp;SUBSTITUTE(UPPER(IF(MID($A227, 3, 1)="-", RIGHT($A227,LEN($A227)-3), $A227)), "-", "_")&amp;": TCardId = '"&amp;$A227&amp;"';", "")</x:f>
        <x:v>    /** 《葦》 */ export const MEGUMI_O_N_5: TCardId = '19-megumi-o-n-5';</x:v>
      </x:c>
      <x:c r="AV227" t="str">
        <x:f>IF($A228&lt;&gt;"", "    | '"&amp;$A228&amp;"'", "")</x:f>
        <x:v>    | '19-megumi-o-n-6'</x:v>
      </x:c>
    </x:row>
    <x:row r="228" ht="128" customHeight="1">
      <x:c r="A228" t="str">
        <x:v>19-megumi-o-n-6</x:v>
      </x:c>
      <x:c r="B228" t="str">
        <x:v>megumi</x:v>
      </x:c>
      <x:c r="C228"/>
      <x:c r="D228"/>
      <x:c r="E228" t="str">
        <x:v>鳳仙花</x:v>
      </x:c>
      <x:c r="F228" t="str">
        <x:v>ほうせんか</x:v>
      </x:c>
      <x:c r="G228" t="str">
        <x:v>凤仙花</x:v>
      </x:c>
      <x:c r="H228" t="str">
        <x:v>凤仙花</x:v>
      </x:c>
      <x:c r="I228"/>
      <x:c r="J228" t="str">
        <x:v>봉선화</x:v>
      </x:c>
      <x:c r="K228" t="str">
        <x:v>Balsam</x:v>
      </x:c>
      <x:c r="L228"/>
      <x:c r="M228" t="str">
        <x:v>通常札</x:v>
      </x:c>
      <x:c r="N228"/>
      <x:c r="O228"/>
      <x:c r="P228"/>
      <x:c r="Q228"/>
      <x:c r="R228" t="str">
        <x:v>付与</x:v>
      </x:c>
      <x:c r="S228"/>
      <x:c r="T228"/>
      <x:c r="U228"/>
      <x:c r="V228"/>
      <x:c r="W228"/>
      <x:c r="X228" t="n">
        <x:v>1</x:v>
      </x:c>
      <x:c r="Y228" t="str">
        <x:v>2</x:v>
      </x:c>
      <x:c r="Z228"/>
      <x:c r="AA228"/>
      <x:c r="AB228"/>
      <x:c r="AC228"/>
      <x:c r="AD228"/>
      <x:c r="AE228" s="438" t="str">
        <x:v>生育2 隙
【展開中】相手のメインフェイズの開始時に攻撃『適正距離 3-5、2/1』を行う。
あなたのメインフェイズの開始時に攻撃『適正距離 1-3、2/1』を行う。
【破棄時】相手を畏縮させる。</x:v>
      </x:c>
      <x:c r="AF228" s="438"/>
      <x:c r="AG228" s="499" t="str">
        <x:v>生长2　破绽
【展开中】对手的主要阶段开始时，进行一次“攻击距离3-5、伤害2/1”的攻击。
你的主要阶段开始时，进行一次“攻击距离1-3、伤害2/1”的攻击。
【破弃时】令对手畏缩。</x:v>
      </x:c>
      <x:c r="AH228" s="438"/>
      <x:c r="AI228" s="499" t="str">
        <x:v>生长2 破绽
【展开中】对手的主要阶段开始时，进行一次“攻击距离3-5，伤害2/1”的攻击。你的主要阶段开始时，进行一次“攻击距离1-3，伤害2/1”的攻击。
【破弃时】对手畏缩。</x:v>
      </x:c>
      <x:c r="AJ228" s="438"/>
      <x:c r="AK228" s="499" t="str">
        <x:v>생육2　틈
【전개중】상대의 메인 페이즈 개시 시에 공격 『적정거리 3-5, 2/1』를 한다.
당신의 메인 페이즈 개시 시에 공격 『적정거리 1-3, 2/1』를 한다.
【파기시】상대를 위축시킨다.</x:v>
      </x:c>
      <x:c r="AL228" s="438"/>
      <x:c r="AM228" s="499" t="str">
        <x:v>Growth 2    Unguarded
Ongoing: At the beginning of your opponent's main phase, you attack with "Range: 3-5, Damage: 2/1". At the beginning of your main phase, you attack with "Range: 1-3, Damage: 2/1".
Disenchant: Flinch your opponent.</x:v>
      </x:c>
      <x:c r="AN228" s="438"/>
      <x:c r="AO228" s="438"/>
      <x:c r="AP228" s="438"/>
      <x:c r="AQ228" s="438"/>
      <x:c r="AR228" s="438"/>
      <x:c r="AS228" s="438"/>
      <x:c r="AT228" t="str">
        <x:f>IF(A228="", "","'"&amp;A228&amp;"': {megami: '"&amp;B228&amp;"'"&amp;IF(C228&lt;&gt;"",", anotherID: '"&amp;C228&amp;"', replace: '"&amp;D228&amp;"'","")&amp;", name: '"&amp;SUBSTITUTE(E228,"'","\'")&amp;"', nameEn: '"&amp;SUBSTITUTE(K228,"'","\'")&amp;"', nameZh: '"&amp;SUBSTITUTE(G228,"'","\'")&amp;"', nameZhG227: '"&amp;SUBSTITUTE(H228,"'","\'")&amp;"', nameKo: '"&amp;SUBSTITUTE(J228,"'","\'")&amp;"', ruby: '"&amp;F228&amp;"', rubyEn: '"&amp;L228&amp;IF(I228&lt;&gt;"", "', rubyZh: '"&amp;I228, "")&amp;"', baseType: '"&amp;IF(M228="通常札","normal",IF(M228="切札","special",IF(M228="追加札","extra",IF(M228="transform","transform",IF(M228="嵐","storm",IF(M228="兵員","troop",IF(M228="構想","plan",IF(M228="メインパーツ","mainParts",IF(M228="カスタムパーツ","customParts",IF(M228="運命","fate",IF(M228="仮想樹","virtualTree","")))))))))))&amp;"'"&amp;IF(N228="○",", extra: true","")&amp;IF(O228&lt;&gt;"",", extraFrom: '"&amp;O228&amp;"'","")&amp;IF(P228&lt;&gt;"",", exchangableTo: '"&amp;P228&amp;"'","")&amp;IF(Q228="○",", poison: true","")&amp;IF(R228&lt;&gt;"", ", type: '"&amp;IF(R228="攻撃","attack",IF(R228="行動","action",IF(R228="不定","variable",IF(R228="対応","reaction",IF(R228="全力","fullpower",IF(R228="付与","enhance",IF(R228="transform","transform","")))))))&amp;"'", "")&amp;IF(S228&lt;&gt;"",", subType: '"&amp;IF(S228="攻撃","attack",IF(S228="行動","action",IF(S228="不定","variable",IF(S228="対応","reaction",IF(S228="全力","fullpower",IF(S228="付与","enhance",IF(S228="transform","transform","")))))))&amp;"'","")&amp;""&amp;IF(T228&lt;&gt;"",", range: '"&amp;T228&amp;"'","")&amp;IF(V228&lt;&gt;"",", damage: '"&amp;V228&amp;"'","")&amp;IF(X228&lt;&gt;"",", capacity: '"&amp;X228&amp;"'","")&amp;IF(Y228&lt;&gt;"",", growth: "&amp;Y228&amp;"","")&amp;IF(Z228&lt;&gt;"",", cost: '"&amp;Z228&amp;"'","")&amp;", text: '"&amp;SUBSTITUTE(SUBSTITUTE(AE228, CHAR(13), ""),CHAR(10),"\n")&amp;IF(AF228&lt;&gt;"", "', textAdditional: '"&amp;SUBSTITUTE(SUBSTITUTE(AF228, CHAR(13), ""),CHAR(10),"\n"), "")&amp;"', textZh: '"&amp;SUBSTITUTE(SUBSTITUTE(SUBSTITUTE(AG228, CHAR(13), ""),CHAR(10),"\n"),"'","\'")&amp;"', textZhG227: '"&amp;SUBSTITUTE(SUBSTITUTE(SUBSTITUTE(AI228, CHAR(13), ""),CHAR(10),"\n"),"'","\'")&amp;IF(AH228&lt;&gt;"", "', textZhAdditional: '"&amp;SUBSTITUTE(SUBSTITUTE(AH228, CHAR(13), ""),CHAR(10),"\n"), "")&amp;IF(AK228&lt;&gt;"", "', textZhG227Additional: '"&amp;SUBSTITUTE(SUBSTITUTE(AK228, CHAR(13), ""),CHAR(10),"\n"), "")&amp;"', textKo: '"&amp;SUBSTITUTE(SUBSTITUTE(SUBSTITUTE(AM228, CHAR(13), ""),CHAR(10),"\n"),"'","\'")&amp;IF(AM228&lt;&gt;"", "', textKoAdditional: '"&amp;SUBSTITUTE(SUBSTITUTE(AM228, CHAR(13), ""),CHAR(10),"\n"), "")&amp;"', textEn: '"&amp;SUBSTITUTE(SUBSTITUTE(SUBSTITUTE(AM228, CHAR(13), ""),CHAR(10),"\n"),"'","\'")&amp;IF(AN228&lt;&gt;"", "', textEnAdditional: '"&amp;SUBSTITUTE(SUBSTITUTE(AN228, CHAR(13), ""),CHAR(10),"\n"), "")&amp;"'"&amp;IF(AB228="○",", sealable: true","")&amp;IF(AC228="○",", removable: true","")&amp;IF(AA228="○",", lie: true","")&amp;IF(AD228="○",", investable: true","")&amp;"},")</x:f>
        <x:v>'19-megumi-o-n-6': {megami: 'megumi', name: '鳳仙花', nameEn: 'Balsam', nameZh: '凤仙花', nameZhG227: '凤仙花', nameKo: '봉선화', ruby: 'ほうせんか', rubyEn: '', baseType: 'normal', type: 'enhance', capacity: '1', growth: 2, text: '生育2 隙\n【展開中】相手のメインフェイズの開始時に攻撃『適正距離 3-5、2/1』を行う。\nあなたのメインフェイズの開始時に攻撃『適正距離 1-3、2/1』を行う。\n【破棄時】相手を畏縮させる。', textZh: '生长2　破绽\n【展开中】对手的主要阶段开始时，进行一次“攻击距离3-5、伤害2/1”的攻击。\n你的主要阶段开始时，进行一次“攻击距离1-3、伤害2/1”的攻击。\n【破弃时】令对手畏缩。', textZhG227: '生长2 破绽\n【展开中】对手的主要阶段开始时，进行一次“攻击距离3-5，伤害2/1”的攻击。你的主要阶段开始时，进行一次“攻击距离1-3，伤害2/1”的攻击。\n【破弃时】对手畏缩。', textZhG227Additional: '생육2　틈\n【전개중】상대의 메인 페이즈 개시 시에 공격 『적정거리 3-5, 2/1』를 한다.\n당신의 메인 페이즈 개시 시에 공격 『적정거리 1-3, 2/1』를 한다.\n【파기시】상대를 위축시킨다.', textKo: 'Growth 2    Unguarded\n\nOngoing: At the beginning of your opponent\'s main phase, you attack with "Range: 3-5, Damage: 2/1". At the beginning of your main phase, you attack with "Range: 1-3, Damage: 2/1".\n\nDisenchant: Flinch your opponent.', textKoAdditional: 'Growth 2    Unguarded\n\nOngoing: At the beginning of your opponent's main phase, you attack with "Range: 3-5, Damage: 2/1". At the beginning of your main phase, you attack with "Range: 1-3, Damage: 2/1".\n\nDisenchant: Flinch your opponent.', textEn: 'Growth 2    Unguarded\n\nOngoing: At the beginning of your opponent\'s main phase, you attack with "Range: 3-5, Damage: 2/1". At the beginning of your main phase, you attack with "Range: 1-3, Damage: 2/1".\n\nDisenchant: Flinch your opponent.'},</x:v>
      </x:c>
      <x:c r="AU228" t="str">
        <x:f>IF($A228&lt;&gt;"", "    /** 《"&amp;$E228&amp;"》 */ export const "&amp;SUBSTITUTE(UPPER(IF(MID($A228, 3, 1)="-", RIGHT($A228,LEN($A228)-3), $A228)), "-", "_")&amp;": TCardId = '"&amp;$A228&amp;"';", "")</x:f>
        <x:v>    /** 《鳳仙花》 */ export const MEGUMI_O_N_6: TCardId = '19-megumi-o-n-6';</x:v>
      </x:c>
      <x:c r="AV228" t="str">
        <x:f>IF($A229&lt;&gt;"", "    | '"&amp;$A229&amp;"'", "")</x:f>
        <x:v>    | '19-megumi-o-n-7'</x:v>
      </x:c>
    </x:row>
    <x:row r="229" ht="158" customHeight="1">
      <x:c r="A229" t="str">
        <x:v>19-megumi-o-n-7</x:v>
      </x:c>
      <x:c r="B229" t="str">
        <x:v>megumi</x:v>
      </x:c>
      <x:c r="C229"/>
      <x:c r="D229"/>
      <x:c r="E229" t="str">
        <x:v>野茨</x:v>
      </x:c>
      <x:c r="F229" t="str">
        <x:v>のいばら</x:v>
      </x:c>
      <x:c r="G229" t="str">
        <x:v>野蔷薇</x:v>
      </x:c>
      <x:c r="H229" t="str">
        <x:v>野蔷薇</x:v>
      </x:c>
      <x:c r="I229"/>
      <x:c r="J229" t="str">
        <x:v>찔레꽃</x:v>
      </x:c>
      <x:c r="K229" t="str">
        <x:v>Multiflora</x:v>
      </x:c>
      <x:c r="L229"/>
      <x:c r="M229" t="str">
        <x:v>通常札</x:v>
      </x:c>
      <x:c r="N229"/>
      <x:c r="O229"/>
      <x:c r="P229"/>
      <x:c r="Q229"/>
      <x:c r="R229" t="str">
        <x:v>付与</x:v>
      </x:c>
      <x:c r="S229" t="str">
        <x:v>全力</x:v>
      </x:c>
      <x:c r="T229"/>
      <x:c r="U229"/>
      <x:c r="V229"/>
      <x:c r="W229"/>
      <x:c r="X229" t="n">
        <x:v>0</x:v>
      </x:c>
      <x:c r="Y229" t="str">
        <x:v>2</x:v>
      </x:c>
      <x:c r="Z229"/>
      <x:c r="AA229"/>
      <x:c r="AB229"/>
      <x:c r="AC229"/>
      <x:c r="AD229"/>
      <x:c r="AE229" s="438" t="str">
        <x:v>生育2
【展開時/展開中】展開時とあなたの終了フェイズに基本動作を1回行ってもよい。
【展開中】相手が各ターンで初めて間合にある桜花結晶を動かした時、ダスト→間合：1
【展開中】相手のターンにこの付与札の上の桜花結晶は移動しない。</x:v>
      </x:c>
      <x:c r="AF229" s="438"/>
      <x:c r="AG229" s="499" t="str">
        <x:v>生长2
【展开时/展开中】展开时及你的结束阶段各可以进行1次基本动作。
【展开中】对手每回合第一次移动距中的樱花结晶时：虚→1→距
【展开中】对手的回合内，此付于牌上的樱花结晶不会移动。</x:v>
      </x:c>
      <x:c r="AH229" s="438"/>
      <x:c r="AI229" s="499" t="str">
        <x:v>生长2
【展开时/展开中】此付与牌展开时和你的结束阶段开始时，你可以执行1次基本动作。
【展开中】对手每个回合内第一次将距中的樱花结晶移出距时，
虚（1）→距
【展开中】对手的回合内不能移除此牌上的樱花结晶。</x:v>
      </x:c>
      <x:c r="AJ229" s="438"/>
      <x:c r="AK229" s="499" t="str">
        <x:v>생육2
【전개시/전개중】전개시와 당신의 종료 페이즈에 기본 동작을 1번 해도 좋다.
【전개중】상대가 각 최초의 턴마다 처음으로 간격에 있는 벚꽃 결정을 움직일 때마다, 더스트→간격：1
【전개중】상대의 턴에 이 부여패 위에 있는 벚꽃 결정은 이동하지 않는다.</x:v>
      </x:c>
      <x:c r="AL229" s="438"/>
      <x:c r="AM229" s="499" t="str">
        <x:v>Growth 2
Initialize/Ongoing: When this card Initializes and at the end of your turn, you may perform a basic action.
Ongoing: The first time each turn your opponent moves Sakura tokens from Distance, Shadow (1)→ Distance.
Ongoing: Sakura tokens cannot leave this card on your opponent's turn.</x:v>
      </x:c>
      <x:c r="AN229" s="438"/>
      <x:c r="AO229" s="438"/>
      <x:c r="AP229" s="438"/>
      <x:c r="AQ229" s="438"/>
      <x:c r="AR229" s="438"/>
      <x:c r="AS229" s="438"/>
      <x:c r="AT229" t="str">
        <x:f>IF(A229="", "","'"&amp;A229&amp;"': {megami: '"&amp;B229&amp;"'"&amp;IF(C229&lt;&gt;"",", anotherID: '"&amp;C229&amp;"', replace: '"&amp;D229&amp;"'","")&amp;", name: '"&amp;SUBSTITUTE(E229,"'","\'")&amp;"', nameEn: '"&amp;SUBSTITUTE(K229,"'","\'")&amp;"', nameZh: '"&amp;SUBSTITUTE(G229,"'","\'")&amp;"', nameZhG228: '"&amp;SUBSTITUTE(H229,"'","\'")&amp;"', nameKo: '"&amp;SUBSTITUTE(J229,"'","\'")&amp;"', ruby: '"&amp;F229&amp;"', rubyEn: '"&amp;L229&amp;IF(I229&lt;&gt;"", "', rubyZh: '"&amp;I229, "")&amp;"', baseType: '"&amp;IF(M229="通常札","normal",IF(M229="切札","special",IF(M229="追加札","extra",IF(M229="transform","transform",IF(M229="嵐","storm",IF(M229="兵員","troop",IF(M229="構想","plan",IF(M229="メインパーツ","mainParts",IF(M229="カスタムパーツ","customParts",IF(M229="運命","fate",IF(M229="仮想樹","virtualTree","")))))))))))&amp;"'"&amp;IF(N229="○",", extra: true","")&amp;IF(O229&lt;&gt;"",", extraFrom: '"&amp;O229&amp;"'","")&amp;IF(P229&lt;&gt;"",", exchangableTo: '"&amp;P229&amp;"'","")&amp;IF(Q229="○",", poison: true","")&amp;IF(R229&lt;&gt;"", ", type: '"&amp;IF(R229="攻撃","attack",IF(R229="行動","action",IF(R229="不定","variable",IF(R229="対応","reaction",IF(R229="全力","fullpower",IF(R229="付与","enhance",IF(R229="transform","transform","")))))))&amp;"'", "")&amp;IF(S229&lt;&gt;"",", subType: '"&amp;IF(S229="攻撃","attack",IF(S229="行動","action",IF(S229="不定","variable",IF(S229="対応","reaction",IF(S229="全力","fullpower",IF(S229="付与","enhance",IF(S229="transform","transform","")))))))&amp;"'","")&amp;""&amp;IF(T229&lt;&gt;"",", range: '"&amp;T229&amp;"'","")&amp;IF(V229&lt;&gt;"",", damage: '"&amp;V229&amp;"'","")&amp;IF(X229&lt;&gt;"",", capacity: '"&amp;X229&amp;"'","")&amp;IF(Y229&lt;&gt;"",", growth: "&amp;Y229&amp;"","")&amp;IF(Z229&lt;&gt;"",", cost: '"&amp;Z229&amp;"'","")&amp;", text: '"&amp;SUBSTITUTE(SUBSTITUTE(AE229, CHAR(13), ""),CHAR(10),"\n")&amp;IF(AF229&lt;&gt;"", "', textAdditional: '"&amp;SUBSTITUTE(SUBSTITUTE(AF229, CHAR(13), ""),CHAR(10),"\n"), "")&amp;"', textZh: '"&amp;SUBSTITUTE(SUBSTITUTE(SUBSTITUTE(AG229, CHAR(13), ""),CHAR(10),"\n"),"'","\'")&amp;"', textZhG228: '"&amp;SUBSTITUTE(SUBSTITUTE(SUBSTITUTE(AI229, CHAR(13), ""),CHAR(10),"\n"),"'","\'")&amp;IF(AH229&lt;&gt;"", "', textZhAdditional: '"&amp;SUBSTITUTE(SUBSTITUTE(AH229, CHAR(13), ""),CHAR(10),"\n"), "")&amp;IF(AK229&lt;&gt;"", "', textZhG228Additional: '"&amp;SUBSTITUTE(SUBSTITUTE(AK229, CHAR(13), ""),CHAR(10),"\n"), "")&amp;"', textKo: '"&amp;SUBSTITUTE(SUBSTITUTE(SUBSTITUTE(AM229, CHAR(13), ""),CHAR(10),"\n"),"'","\'")&amp;IF(AM229&lt;&gt;"", "', textKoAdditional: '"&amp;SUBSTITUTE(SUBSTITUTE(AM229, CHAR(13), ""),CHAR(10),"\n"), "")&amp;"', textEn: '"&amp;SUBSTITUTE(SUBSTITUTE(SUBSTITUTE(AM229, CHAR(13), ""),CHAR(10),"\n"),"'","\'")&amp;IF(AN229&lt;&gt;"", "', textEnAdditional: '"&amp;SUBSTITUTE(SUBSTITUTE(AN229, CHAR(13), ""),CHAR(10),"\n"), "")&amp;"'"&amp;IF(AB229="○",", sealable: true","")&amp;IF(AC229="○",", removable: true","")&amp;IF(AA229="○",", lie: true","")&amp;IF(AD229="○",", investable: true","")&amp;"},")</x:f>
        <x:v>'19-megumi-o-n-7': {megami: 'megumi', name: '野茨', nameEn: 'Multiflora', nameZh: '野蔷薇', nameZhG228: '野蔷薇', nameKo: '찔레꽃', ruby: 'のいばら', rubyEn: '', baseType: 'normal', type: 'enhance', subType: 'fullpower', growth: 2, text: '生育2\n【展開時/展開中】展開時とあなたの終了フェイズに基本動作を1回行ってもよい。\n【展開中】相手が各ターンで初めて間合にある桜花結晶を動かした時、ダスト→間合：1\n【展開中】相手のターンにこの付与札の上の桜花結晶は移動しない。', textZh: '生长2\n【展开时/展开中】展开时及你的结束阶段各可以进行1次基本动作。\n【展开中】对手每回合第一次移动距中的樱花结晶时：虚→1→距\n【展开中】对手的回合内，此付于牌上的樱花结晶不会移动。', textZhG228: '生长2\n【展开时/展开中】此付与牌展开时和你的结束阶段开始时，你可以执行1次基本动作。\n【展开中】对手每个回合内第一次将距中的樱花结晶移出距时，\n虚（1）→距\n【展开中】对手的回合内不能移除此牌上的樱花结晶。', textZhG228Additional: '생육2\n【전개시/전개중】전개시와 당신의 종료 페이즈에 기본 동작을 1번 해도 좋다.\n【전개중】상대가 각 최초의 턴마다 처음으로 간격에 있는 벚꽃 결정을 움직일 때마다, 더스트→간격：1\n【전개중】상대의 턴에 이 부여패 위에 있는 벚꽃 결정은 이동하지 않는다.', textKo: 'Growth 2\n\nInitialize/Ongoing: When this card Initializes and at the end of your turn, you may perform a basic action.\n\nOngoing: The first time each turn your opponent moves Sakura tokens from Distance, Shadow (1)→ Distance.\n\nOngoing: Sakura tokens cannot leave this card on your opponent\'s turn.', textKoAdditional: 'Growth 2\n\nInitialize/Ongoing: When this card Initializes and at the end of your turn, you may perform a basic action.\n\nOngoing: The first time each turn your opponent moves Sakura tokens from Distance, Shadow (1)→ Distance.\n\nOngoing: Sakura tokens cannot leave this card on your opponent's turn.', textEn: 'Growth 2\n\nInitialize/Ongoing: When this card Initializes and at the end of your turn, you may perform a basic action.\n\nOngoing: The first time each turn your opponent moves Sakura tokens from Distance, Shadow (1)→ Distance.\n\nOngoing: Sakura tokens cannot leave this card on your opponent\'s turn.'},</x:v>
      </x:c>
      <x:c r="AU229" t="str">
        <x:f>IF($A229&lt;&gt;"", "    /** 《"&amp;$E229&amp;"》 */ export const "&amp;SUBSTITUTE(UPPER(IF(MID($A229, 3, 1)="-", RIGHT($A229,LEN($A229)-3), $A229)), "-", "_")&amp;": TCardId = '"&amp;$A229&amp;"';", "")</x:f>
        <x:v>    /** 《野茨》 */ export const MEGUMI_O_N_7: TCardId = '19-megumi-o-n-7';</x:v>
      </x:c>
      <x:c r="AV229" t="str">
        <x:f>IF($A230&lt;&gt;"", "    | '"&amp;$A230&amp;"'", "")</x:f>
        <x:v>    | '19-megumi-o-s-1'</x:v>
      </x:c>
    </x:row>
    <x:row r="230" ht="68" customHeight="1">
      <x:c r="A230" t="str">
        <x:v>19-megumi-o-s-1</x:v>
      </x:c>
      <x:c r="B230" t="str">
        <x:v>megumi</x:v>
      </x:c>
      <x:c r="C230"/>
      <x:c r="D230"/>
      <x:c r="E230" t="str">
        <x:v>因果律の根</x:v>
      </x:c>
      <x:c r="F230" t="str">
        <x:v>いんがりつのね</x:v>
      </x:c>
      <x:c r="G230" t="str">
        <x:v>因果律之根</x:v>
      </x:c>
      <x:c r="H230" t="str">
        <x:v>因果律之根</x:v>
      </x:c>
      <x:c r="I230"/>
      <x:c r="J230" t="str">
        <x:v>인과율의 뿌리</x:v>
      </x:c>
      <x:c r="K230" t="str">
        <x:v>Root of Causality</x:v>
      </x:c>
      <x:c r="L230"/>
      <x:c r="M230" t="str">
        <x:v>切札</x:v>
      </x:c>
      <x:c r="N230"/>
      <x:c r="O230"/>
      <x:c r="P230"/>
      <x:c r="Q230"/>
      <x:c r="R230" t="str">
        <x:v>攻撃</x:v>
      </x:c>
      <x:c r="S230"/>
      <x:c r="T230" t="str">
        <x:v>3-7</x:v>
      </x:c>
      <x:c r="U230"/>
      <x:c r="V230" t="str">
        <x:v>1/1</x:v>
      </x:c>
      <x:c r="W230"/>
      <x:c r="X230"/>
      <x:c r="Y230"/>
      <x:c r="Z230" t="n">
        <x:v>1</x:v>
      </x:c>
      <x:c r="AA230"/>
      <x:c r="AB230"/>
      <x:c r="AC230"/>
      <x:c r="AD230"/>
      <x:c r="AE230" s="438" t="str">
        <x:v>【攻撃後】あなたの土壌の種結晶を1つ萌芽させる。
再起:あなたの土壌に萌芽した種結晶がない。</x:v>
      </x:c>
      <x:c r="AF230" s="438"/>
      <x:c r="AG230" s="499" t="str">
        <x:v>【攻击后】令你土壤中的1个种子结晶萌芽。
----
【再起】你土壤中没有萌芽了的种子结晶。</x:v>
      </x:c>
      <x:c r="AH230" s="438"/>
      <x:c r="AI230" s="499" t="str">
        <x:v>【攻击后】将你的土壤中的1个种子结晶变为萌芽状态。
----
【再起】你的土壤中没有处于萌芽状态的种子结晶。</x:v>
      </x:c>
      <x:c r="AJ230" s="438"/>
      <x:c r="AK230" s="499" t="str">
        <x:v>【공격후】당신의 토양의 씨앗 결정을 1개 발아시킨다.
----
【재기】당신의 토양에 발아된 씨앗 결정이 없다.</x:v>
      </x:c>
      <x:c r="AL230" s="438"/>
      <x:c r="AM230" s="499" t="str">
        <x:v>After Attack: Sprout a Seed token in your Field.
Resurgence: There are no sprouted Seed tokens in your field.</x:v>
      </x:c>
      <x:c r="AN230" s="438"/>
      <x:c r="AO230" s="438"/>
      <x:c r="AP230" s="438"/>
      <x:c r="AQ230" s="438"/>
      <x:c r="AR230" s="438"/>
      <x:c r="AS230" s="438"/>
      <x:c r="AT230" t="str">
        <x:f>IF(A230="", "","'"&amp;A230&amp;"': {megami: '"&amp;B230&amp;"'"&amp;IF(C230&lt;&gt;"",", anotherID: '"&amp;C230&amp;"', replace: '"&amp;D230&amp;"'","")&amp;", name: '"&amp;SUBSTITUTE(E230,"'","\'")&amp;"', nameEn: '"&amp;SUBSTITUTE(K230,"'","\'")&amp;"', nameZh: '"&amp;SUBSTITUTE(G230,"'","\'")&amp;"', nameZhG229: '"&amp;SUBSTITUTE(H230,"'","\'")&amp;"', nameKo: '"&amp;SUBSTITUTE(J230,"'","\'")&amp;"', ruby: '"&amp;F230&amp;"', rubyEn: '"&amp;L230&amp;IF(I230&lt;&gt;"", "', rubyZh: '"&amp;I230, "")&amp;"', baseType: '"&amp;IF(M230="通常札","normal",IF(M230="切札","special",IF(M230="追加札","extra",IF(M230="transform","transform",IF(M230="嵐","storm",IF(M230="兵員","troop",IF(M230="構想","plan",IF(M230="メインパーツ","mainParts",IF(M230="カスタムパーツ","customParts",IF(M230="運命","fate",IF(M230="仮想樹","virtualTree","")))))))))))&amp;"'"&amp;IF(N230="○",", extra: true","")&amp;IF(O230&lt;&gt;"",", extraFrom: '"&amp;O230&amp;"'","")&amp;IF(P230&lt;&gt;"",", exchangableTo: '"&amp;P230&amp;"'","")&amp;IF(Q230="○",", poison: true","")&amp;IF(R230&lt;&gt;"", ", type: '"&amp;IF(R230="攻撃","attack",IF(R230="行動","action",IF(R230="不定","variable",IF(R230="対応","reaction",IF(R230="全力","fullpower",IF(R230="付与","enhance",IF(R230="transform","transform","")))))))&amp;"'", "")&amp;IF(S230&lt;&gt;"",", subType: '"&amp;IF(S230="攻撃","attack",IF(S230="行動","action",IF(S230="不定","variable",IF(S230="対応","reaction",IF(S230="全力","fullpower",IF(S230="付与","enhance",IF(S230="transform","transform","")))))))&amp;"'","")&amp;""&amp;IF(T230&lt;&gt;"",", range: '"&amp;T230&amp;"'","")&amp;IF(V230&lt;&gt;"",", damage: '"&amp;V230&amp;"'","")&amp;IF(X230&lt;&gt;"",", capacity: '"&amp;X230&amp;"'","")&amp;IF(Y230&lt;&gt;"",", growth: "&amp;Y230&amp;"","")&amp;IF(Z230&lt;&gt;"",", cost: '"&amp;Z230&amp;"'","")&amp;", text: '"&amp;SUBSTITUTE(SUBSTITUTE(AE230, CHAR(13), ""),CHAR(10),"\n")&amp;IF(AF230&lt;&gt;"", "', textAdditional: '"&amp;SUBSTITUTE(SUBSTITUTE(AF230, CHAR(13), ""),CHAR(10),"\n"), "")&amp;"', textZh: '"&amp;SUBSTITUTE(SUBSTITUTE(SUBSTITUTE(AG230, CHAR(13), ""),CHAR(10),"\n"),"'","\'")&amp;"', textZhG229: '"&amp;SUBSTITUTE(SUBSTITUTE(SUBSTITUTE(AI230, CHAR(13), ""),CHAR(10),"\n"),"'","\'")&amp;IF(AH230&lt;&gt;"", "', textZhAdditional: '"&amp;SUBSTITUTE(SUBSTITUTE(AH230, CHAR(13), ""),CHAR(10),"\n"), "")&amp;IF(AK230&lt;&gt;"", "', textZhG229Additional: '"&amp;SUBSTITUTE(SUBSTITUTE(AK230, CHAR(13), ""),CHAR(10),"\n"), "")&amp;"', textKo: '"&amp;SUBSTITUTE(SUBSTITUTE(SUBSTITUTE(AM230, CHAR(13), ""),CHAR(10),"\n"),"'","\'")&amp;IF(AM230&lt;&gt;"", "', textKoAdditional: '"&amp;SUBSTITUTE(SUBSTITUTE(AM230, CHAR(13), ""),CHAR(10),"\n"), "")&amp;"', textEn: '"&amp;SUBSTITUTE(SUBSTITUTE(SUBSTITUTE(AM230, CHAR(13), ""),CHAR(10),"\n"),"'","\'")&amp;IF(AN230&lt;&gt;"", "', textEnAdditional: '"&amp;SUBSTITUTE(SUBSTITUTE(AN230, CHAR(13), ""),CHAR(10),"\n"), "")&amp;"'"&amp;IF(AB230="○",", sealable: true","")&amp;IF(AC230="○",", removable: true","")&amp;IF(AA230="○",", lie: true","")&amp;IF(AD230="○",", investable: true","")&amp;"},")</x:f>
        <x:v>'19-megumi-o-s-1': {megami: 'megumi', name: '因果律の根', nameEn: 'Root of Causality', nameZh: '因果律之根', nameZhG229: '因果律之根', nameKo: '인과율의 뿌리', ruby: 'いんがりつのね', rubyEn: '', baseType: 'special', type: 'attack', range: '3-7', damage: '1/1', cost: '1', text: '【攻撃後】あなたの土壌の種結晶を1つ萌芽させる。\n再起:あなたの土壌に萌芽した種結晶がない。', textZh: '【攻击后】令你土壤中的1个种子结晶萌芽。\n----\n【再起】你土壤中没有萌芽了的种子结晶。', textZhG229: '【攻击后】将你的土壤中的1个种子结晶变为萌芽状态。\n----\n【再起】你的土壤中没有处于萌芽状态的种子结晶。', textZhG229Additional: '【공격후】당신의 토양의 씨앗 결정을 1개 발아시킨다.\n----\n【재기】당신의 토양에 발아된 씨앗 결정이 없다.', textKo: 'After Attack: Sprout a Seed token in your Field.\n\nResurgence: There are no sprouted Seed tokens in your field.', textKoAdditional: 'After Attack: Sprout a Seed token in your Field.\n\nResurgence: There are no sprouted Seed tokens in your field.', textEn: 'After Attack: Sprout a Seed token in your Field.\n\nResurgence: There are no sprouted Seed tokens in your field.'},</x:v>
      </x:c>
      <x:c r="AU230" t="str">
        <x:f>IF($A230&lt;&gt;"", "    /** 《"&amp;$E230&amp;"》 */ export const "&amp;SUBSTITUTE(UPPER(IF(MID($A230, 3, 1)="-", RIGHT($A230,LEN($A230)-3), $A230)), "-", "_")&amp;": TCardId = '"&amp;$A230&amp;"';", "")</x:f>
        <x:v>    /** 《因果律の根》 */ export const MEGUMI_O_S_1: TCardId = '19-megumi-o-s-1';</x:v>
      </x:c>
      <x:c r="AV230" t="str">
        <x:f>IF($A231&lt;&gt;"", "    | '"&amp;$A231&amp;"'", "")</x:f>
        <x:v>    | '19-megumi-o-s-2'</x:v>
      </x:c>
    </x:row>
    <x:row r="231" ht="173" customHeight="1">
      <x:c r="A231" t="str">
        <x:v>19-megumi-o-s-2</x:v>
      </x:c>
      <x:c r="B231" t="str">
        <x:v>megumi</x:v>
      </x:c>
      <x:c r="C231"/>
      <x:c r="D231"/>
      <x:c r="E231" t="str">
        <x:v>可能性の枝</x:v>
      </x:c>
      <x:c r="F231" t="str">
        <x:v>かのうせいのえだ</x:v>
      </x:c>
      <x:c r="G231" t="str">
        <x:v>可能性之枝</x:v>
      </x:c>
      <x:c r="H231" t="str">
        <x:v>可能性之枝</x:v>
      </x:c>
      <x:c r="I231"/>
      <x:c r="J231" t="str">
        <x:v>가능성의 가지</x:v>
      </x:c>
      <x:c r="K231" t="str">
        <x:v>Branch of Possibility</x:v>
      </x:c>
      <x:c r="L231"/>
      <x:c r="M231" t="str">
        <x:v>切札</x:v>
      </x:c>
      <x:c r="N231"/>
      <x:c r="O231"/>
      <x:c r="P231"/>
      <x:c r="Q231"/>
      <x:c r="R231" t="str">
        <x:v>付与</x:v>
      </x:c>
      <x:c r="S231" t="str">
        <x:v>対応</x:v>
      </x:c>
      <x:c r="T231"/>
      <x:c r="U231"/>
      <x:c r="V231"/>
      <x:c r="W231"/>
      <x:c r="X231" t="n">
        <x:v>2</x:v>
      </x:c>
      <x:c r="Y231" t="str">
        <x:v>1</x:v>
      </x:c>
      <x:c r="Z231" t="n">
        <x:v>4</x:v>
      </x:c>
      <x:c r="AA231"/>
      <x:c r="AB231"/>
      <x:c r="AC231"/>
      <x:c r="AD231"/>
      <x:c r="AE231" s="438" t="str">
        <x:v>生育1
【常時】Xは土壌以外にあるあなたの種結晶の個数の合計に等しい。
【展開時】対応した《攻撃》は-X/+0となる。
【展開中】相手の開始フェイズの開始時に攻撃『適正距離 1-6、0/1、【常時】この《攻撃》は+X/+0となる』を行う。</x:v>
      </x:c>
      <x:c r="AF231" s="438"/>
      <x:c r="AG231" s="499" t="str">
        <x:v>生育1
【常时】X等于你的展开中的《付于》牌上的你的种子结晶的数目。
【展开时】被对应的《攻击》得-X/+0。
【展开中】对手的准备阶段开始时，进行一次“攻击距离1-5 伤害0/1 【常时】此攻击得+X/+0”的攻击。</x:v>
      </x:c>
      <x:c r="AH231" s="438"/>
      <x:c r="AI231" s="438"/>
      <x:c r="AJ231" s="438"/>
      <x:c r="AK231" s="499" t="str">
        <x:v>생육 1
【상시】 X는 《부여》 카드 위에 있는 당신의 씨앗결정 수의 합계와 같다.
【전개시】 대응한 《공격》은 -X/+0 된다.
【전개중】 상대의 개시 페이즈 시작에 공격 『적정거리 1-5, 0/1, 【상시】이 공격은 +X/+0 된다.』을 수행한다.</x:v>
      </x:c>
      <x:c r="AL231" s="438"/>
      <x:c r="AM231" s="499" t="str">
        <x:v>Growth 1
Forced: X is equal to the number of your Seed tokens on Enhancements in play.
Initialize: The attack this card was played as a Reaction to gets -X/+0.
Ongoing: At the beginning of your opponent's turn, you attack with "Range: 1-5, Damage: 0/1, Forced: This attack gains +X/+0."</x:v>
      </x:c>
      <x:c r="AN231" s="438"/>
      <x:c r="AO231" s="438"/>
      <x:c r="AP231" s="438"/>
      <x:c r="AQ231" s="438"/>
      <x:c r="AR231" s="438"/>
      <x:c r="AS231" s="438"/>
      <x:c r="AT231" t="str">
        <x:f>IF(A231="", "","'"&amp;A231&amp;"': {megami: '"&amp;B231&amp;"'"&amp;IF(C231&lt;&gt;"",", anotherID: '"&amp;C231&amp;"', replace: '"&amp;D231&amp;"'","")&amp;", name: '"&amp;SUBSTITUTE(E231,"'","\'")&amp;"', nameEn: '"&amp;SUBSTITUTE(K231,"'","\'")&amp;"', nameZh: '"&amp;SUBSTITUTE(G231,"'","\'")&amp;"', nameZhG230: '"&amp;SUBSTITUTE(H231,"'","\'")&amp;"', nameKo: '"&amp;SUBSTITUTE(J231,"'","\'")&amp;"', ruby: '"&amp;F231&amp;"', rubyEn: '"&amp;L231&amp;IF(I231&lt;&gt;"", "', rubyZh: '"&amp;I231, "")&amp;"', baseType: '"&amp;IF(M231="通常札","normal",IF(M231="切札","special",IF(M231="追加札","extra",IF(M231="transform","transform",IF(M231="嵐","storm",IF(M231="兵員","troop",IF(M231="構想","plan",IF(M231="メインパーツ","mainParts",IF(M231="カスタムパーツ","customParts",IF(M231="運命","fate",IF(M231="仮想樹","virtualTree","")))))))))))&amp;"'"&amp;IF(N231="○",", extra: true","")&amp;IF(O231&lt;&gt;"",", extraFrom: '"&amp;O231&amp;"'","")&amp;IF(P231&lt;&gt;"",", exchangableTo: '"&amp;P231&amp;"'","")&amp;IF(Q231="○",", poison: true","")&amp;IF(R231&lt;&gt;"", ", type: '"&amp;IF(R231="攻撃","attack",IF(R231="行動","action",IF(R231="不定","variable",IF(R231="対応","reaction",IF(R231="全力","fullpower",IF(R231="付与","enhance",IF(R231="transform","transform","")))))))&amp;"'", "")&amp;IF(S231&lt;&gt;"",", subType: '"&amp;IF(S231="攻撃","attack",IF(S231="行動","action",IF(S231="不定","variable",IF(S231="対応","reaction",IF(S231="全力","fullpower",IF(S231="付与","enhance",IF(S231="transform","transform","")))))))&amp;"'","")&amp;""&amp;IF(T231&lt;&gt;"",", range: '"&amp;T231&amp;"'","")&amp;IF(V231&lt;&gt;"",", damage: '"&amp;V231&amp;"'","")&amp;IF(X231&lt;&gt;"",", capacity: '"&amp;X231&amp;"'","")&amp;IF(Y231&lt;&gt;"",", growth: "&amp;Y231&amp;"","")&amp;IF(Z231&lt;&gt;"",", cost: '"&amp;Z231&amp;"'","")&amp;", text: '"&amp;SUBSTITUTE(SUBSTITUTE(AE231, CHAR(13), ""),CHAR(10),"\n")&amp;IF(AF231&lt;&gt;"", "', textAdditional: '"&amp;SUBSTITUTE(SUBSTITUTE(AF231, CHAR(13), ""),CHAR(10),"\n"), "")&amp;"', textZh: '"&amp;SUBSTITUTE(SUBSTITUTE(SUBSTITUTE(AG231, CHAR(13), ""),CHAR(10),"\n"),"'","\'")&amp;"', textZhG230: '"&amp;SUBSTITUTE(SUBSTITUTE(SUBSTITUTE(AI231, CHAR(13), ""),CHAR(10),"\n"),"'","\'")&amp;IF(AH231&lt;&gt;"", "', textZhAdditional: '"&amp;SUBSTITUTE(SUBSTITUTE(AH231, CHAR(13), ""),CHAR(10),"\n"), "")&amp;IF(AK231&lt;&gt;"", "', textZhG230Additional: '"&amp;SUBSTITUTE(SUBSTITUTE(AK231, CHAR(13), ""),CHAR(10),"\n"), "")&amp;"', textKo: '"&amp;SUBSTITUTE(SUBSTITUTE(SUBSTITUTE(AM231, CHAR(13), ""),CHAR(10),"\n"),"'","\'")&amp;IF(AM231&lt;&gt;"", "', textKoAdditional: '"&amp;SUBSTITUTE(SUBSTITUTE(AM231, CHAR(13), ""),CHAR(10),"\n"), "")&amp;"', textEn: '"&amp;SUBSTITUTE(SUBSTITUTE(SUBSTITUTE(AM231, CHAR(13), ""),CHAR(10),"\n"),"'","\'")&amp;IF(AN231&lt;&gt;"", "', textEnAdditional: '"&amp;SUBSTITUTE(SUBSTITUTE(AN231, CHAR(13), ""),CHAR(10),"\n"), "")&amp;"'"&amp;IF(AB231="○",", sealable: true","")&amp;IF(AC231="○",", removable: true","")&amp;IF(AA231="○",", lie: true","")&amp;IF(AD231="○",", investable: true","")&amp;"},")</x:f>
        <x:v>'19-megumi-o-s-2': {megami: 'megumi', name: '可能性の枝', nameEn: 'Branch of Possibility', nameZh: '可能性之枝', nameZhG230: '可能性之枝', nameKo: '가능성의 가지', ruby: 'かのうせいのえだ', rubyEn: '', baseType: 'special', type: 'enhance', subType: 'reaction', capacity: '2', growth: 1, cost: '4', text: '生育1\n【常時】Xは土壌以外にあるあなたの種結晶の個数の合計に等しい。\n【展開時】対応した《攻撃》は-X/+0となる。\n【展開中】相手の開始フェイズの開始時に攻撃『適正距離 1-6、0/1、【常時】この《攻撃》は+X/+0となる』を行う。', textZh: '生育1\n【常时】X等于你的展开中的《付于》牌上的你的种子结晶的数目。\n【展开时】被对应的《攻击》得-X/+0。\n【展开中】对手的准备阶段开始时，进行一次“攻击距离1-5 伤害0/1 【常时】此攻击得+X/+0”的攻击。', textZhG230: '', textZhG230Additional: '생육 1\n【상시】 X는 《부여》 카드 위에 있는 당신의 씨앗결정 수의 합계와 같다.\n【전개시】 대응한 《공격》은 -X/+0 된다.\n【전개중】 상대의 개시 페이즈 시작에 공격 『적정거리 1-5, 0/1, 【상시】이 공격은 +X/+0 된다.』을 수행한다.', textKo: 'Growth 1\n\nForced: X is equal to the number of your Seed tokens on Enhancements in play.\n\nInitialize: The attack this card was played as a Reaction to gets -X/+0.\n\nOngoing: At the beginning of your opponent\'s turn, you attack with "Range: 1-5, Damage: 0/1, Forced: This attack gains +X/+0."', textKoAdditional: 'Growth 1\n\nForced: X is equal to the number of your Seed tokens on Enhancements in play.\n\nInitialize: The attack this card was played as a Reaction to gets -X/+0.\n\nOngoing: At the beginning of your opponent's turn, you attack with "Range: 1-5, Damage: 0/1, Forced: This attack gains +X/+0."', textEn: 'Growth 1\n\nForced: X is equal to the number of your Seed tokens on Enhancements in play.\n\nInitialize: The attack this card was played as a Reaction to gets -X/+0.\n\nOngoing: At the beginning of your opponent\'s turn, you attack with "Range: 1-5, Damage: 0/1, Forced: This attack gains +X/+0."'},</x:v>
      </x:c>
      <x:c r="AU231" t="str">
        <x:f>IF($A231&lt;&gt;"", "    /** 《"&amp;$E231&amp;"》 */ export const "&amp;SUBSTITUTE(UPPER(IF(MID($A231, 3, 1)="-", RIGHT($A231,LEN($A231)-3), $A231)), "-", "_")&amp;": TCardId = '"&amp;$A231&amp;"';", "")</x:f>
        <x:v>    /** 《可能性の枝》 */ export const MEGUMI_O_S_2: TCardId = '19-megumi-o-s-2';</x:v>
      </x:c>
      <x:c r="AV231" t="str">
        <x:f>IF($A232&lt;&gt;"", "    | '"&amp;$A232&amp;"'", "")</x:f>
        <x:v>    | '19-megumi-o-s-3'</x:v>
      </x:c>
    </x:row>
    <x:row r="232" ht="173" customHeight="1">
      <x:c r="A232" t="str">
        <x:v>19-megumi-o-s-3</x:v>
      </x:c>
      <x:c r="B232" t="str">
        <x:v>megumi</x:v>
      </x:c>
      <x:c r="C232"/>
      <x:c r="D232"/>
      <x:c r="E232" t="str">
        <x:v>結末の果実</x:v>
      </x:c>
      <x:c r="F232" t="str">
        <x:v>けつまつのかじつ</x:v>
      </x:c>
      <x:c r="G232" t="str">
        <x:v>结束的果实</x:v>
      </x:c>
      <x:c r="H232" t="str">
        <x:v>终结之果实</x:v>
      </x:c>
      <x:c r="I232"/>
      <x:c r="J232" t="str">
        <x:v>결말의 과실</x:v>
      </x:c>
      <x:c r="K232" t="str">
        <x:v>Fruit of Finality</x:v>
      </x:c>
      <x:c r="L232"/>
      <x:c r="M232" t="str">
        <x:v>切札</x:v>
      </x:c>
      <x:c r="N232"/>
      <x:c r="O232"/>
      <x:c r="P232"/>
      <x:c r="Q232"/>
      <x:c r="R232" t="str">
        <x:v>付与</x:v>
      </x:c>
      <x:c r="S232"/>
      <x:c r="T232"/>
      <x:c r="U232"/>
      <x:c r="V232"/>
      <x:c r="W232"/>
      <x:c r="X232" t="n">
        <x:v>2</x:v>
      </x:c>
      <x:c r="Y232"/>
      <x:c r="Z232" t="n">
        <x:v>4</x:v>
      </x:c>
      <x:c r="AA232"/>
      <x:c r="AB232"/>
      <x:c r="AC232"/>
      <x:c r="AD232"/>
      <x:c r="AE232" s="438" t="str">
        <x:v>【展開中】この付与札の上の桜花結晶はメインフェイズに移動しない。開始フェイズの処理であなたのほかの付与札から桜花結晶がダストへと送られるならば、それは代わりにこの付与札の上に動かす。
【展開中】この付与札の上の種結晶が5個になったターンの終了フェイズに、攻撃『適正距離 5、5/5、不可避、【常時】この《攻撃》は打ち消されない』を行い、このカードの上の桜花結晶を全てダストに送る。</x:v>
      </x:c>
      <x:c r="AF232" s="438"/>
      <x:c r="AG232" s="499" t="str">
        <x:v>【展开中】此付于牌上的樱花结晶不能在主要阶段被移动。因为准备阶段的步骤需要把你的其他付于牌上的樱花结晶移到虚的时候，改为移动到此付于牌上。
【展开中】此付于牌上的种子结晶数到达5个的回合的结束阶段，进行一次“攻击距离5、伤害5/5、不可被闪避、【常时】此《攻击》不会被打消”的攻击，然后把此卡上的樱花结晶全部移至虚。</x:v>
      </x:c>
      <x:c r="AH232" s="438"/>
      <x:c r="AI232" s="499" t="str">
        <x:v>【展开中】主要阶段内不能移除此牌上的樱花结晶。准备阶段移除所有付与牌上的樱花结晶时，若你的其他付与牌上的樱花结晶将要移至虚，则改为移至此牌上。
【展开中】若此牌上的种子结晶的数目变为5，则该回合的结束阶段开始时，进行一次“攻击距离5，伤害5/5 , 不可避，【常时】 此《攻击》不可被打消”的攻击，然后将此牌上的所有樱花结晶移至虚。</x:v>
      </x:c>
      <x:c r="AJ232" s="438"/>
      <x:c r="AK232" s="499" t="str">
        <x:v>【전개중】이 부여패 위의 벚꽃 결정은 메인 페이즈에 이동하지 않는다. 개시 페이즈의 처리에서 당신의 다른 부여패에서 벚꽃 결정이 더스트로 옮겨진다면, 대신에서 이 부여패로 이동시킨다.
【전개중】이 부여패 위의 씨앗 결정이 5개가 된 턴의 종료 페이즈에 공격 『적정거리5, 5/5, 불가피, 【상시】이 《공격》은 무효화되지 않는다』를 하고 이 카드 위의 벚꽃 결정을 전부 더스트로 보낸다.</x:v>
      </x:c>
      <x:c r="AL232" s="438"/>
      <x:c r="AM232" s="499" t="str">
        <x:v>Ongoing: Sakura tokens cannot leave this card during a main phase. If a Sakura token would be moved from one of your other Enhancements in play to Shadow as part of the beginning of turn process, move it to this card instead.
Ongoing: At the end of either player's turn, if there were ever 5 Seed tokens on this card this turn, you attack with "Range: 5, Damage: 5/5, Unavoidable, Forced: This attack cannot be cancelled.", then move all Sakura tokens from this card to Shadow.</x:v>
      </x:c>
      <x:c r="AN232" s="438"/>
      <x:c r="AO232" s="438"/>
      <x:c r="AP232" s="438"/>
      <x:c r="AQ232" s="438"/>
      <x:c r="AR232" s="438"/>
      <x:c r="AS232" s="438"/>
      <x:c r="AT232" t="str">
        <x:f>IF(A232="", "","'"&amp;A232&amp;"': {megami: '"&amp;B232&amp;"'"&amp;IF(C232&lt;&gt;"",", anotherID: '"&amp;C232&amp;"', replace: '"&amp;D232&amp;"'","")&amp;", name: '"&amp;SUBSTITUTE(E232,"'","\'")&amp;"', nameEn: '"&amp;SUBSTITUTE(K232,"'","\'")&amp;"', nameZh: '"&amp;SUBSTITUTE(G232,"'","\'")&amp;"', nameZhG231: '"&amp;SUBSTITUTE(H232,"'","\'")&amp;"', nameKo: '"&amp;SUBSTITUTE(J232,"'","\'")&amp;"', ruby: '"&amp;F232&amp;"', rubyEn: '"&amp;L232&amp;IF(I232&lt;&gt;"", "', rubyZh: '"&amp;I232, "")&amp;"', baseType: '"&amp;IF(M232="通常札","normal",IF(M232="切札","special",IF(M232="追加札","extra",IF(M232="transform","transform",IF(M232="嵐","storm",IF(M232="兵員","troop",IF(M232="構想","plan",IF(M232="メインパーツ","mainParts",IF(M232="カスタムパーツ","customParts",IF(M232="運命","fate",IF(M232="仮想樹","virtualTree","")))))))))))&amp;"'"&amp;IF(N232="○",", extra: true","")&amp;IF(O232&lt;&gt;"",", extraFrom: '"&amp;O232&amp;"'","")&amp;IF(P232&lt;&gt;"",", exchangableTo: '"&amp;P232&amp;"'","")&amp;IF(Q232="○",", poison: true","")&amp;IF(R232&lt;&gt;"", ", type: '"&amp;IF(R232="攻撃","attack",IF(R232="行動","action",IF(R232="不定","variable",IF(R232="対応","reaction",IF(R232="全力","fullpower",IF(R232="付与","enhance",IF(R232="transform","transform","")))))))&amp;"'", "")&amp;IF(S232&lt;&gt;"",", subType: '"&amp;IF(S232="攻撃","attack",IF(S232="行動","action",IF(S232="不定","variable",IF(S232="対応","reaction",IF(S232="全力","fullpower",IF(S232="付与","enhance",IF(S232="transform","transform","")))))))&amp;"'","")&amp;""&amp;IF(T232&lt;&gt;"",", range: '"&amp;T232&amp;"'","")&amp;IF(V232&lt;&gt;"",", damage: '"&amp;V232&amp;"'","")&amp;IF(X232&lt;&gt;"",", capacity: '"&amp;X232&amp;"'","")&amp;IF(Y232&lt;&gt;"",", growth: "&amp;Y232&amp;"","")&amp;IF(Z232&lt;&gt;"",", cost: '"&amp;Z232&amp;"'","")&amp;", text: '"&amp;SUBSTITUTE(SUBSTITUTE(AE232, CHAR(13), ""),CHAR(10),"\n")&amp;IF(AF232&lt;&gt;"", "', textAdditional: '"&amp;SUBSTITUTE(SUBSTITUTE(AF232, CHAR(13), ""),CHAR(10),"\n"), "")&amp;"', textZh: '"&amp;SUBSTITUTE(SUBSTITUTE(SUBSTITUTE(AG232, CHAR(13), ""),CHAR(10),"\n"),"'","\'")&amp;"', textZhG231: '"&amp;SUBSTITUTE(SUBSTITUTE(SUBSTITUTE(AI232, CHAR(13), ""),CHAR(10),"\n"),"'","\'")&amp;IF(AH232&lt;&gt;"", "', textZhAdditional: '"&amp;SUBSTITUTE(SUBSTITUTE(AH232, CHAR(13), ""),CHAR(10),"\n"), "")&amp;IF(AK232&lt;&gt;"", "', textZhG231Additional: '"&amp;SUBSTITUTE(SUBSTITUTE(AK232, CHAR(13), ""),CHAR(10),"\n"), "")&amp;"', textKo: '"&amp;SUBSTITUTE(SUBSTITUTE(SUBSTITUTE(AM232, CHAR(13), ""),CHAR(10),"\n"),"'","\'")&amp;IF(AM232&lt;&gt;"", "', textKoAdditional: '"&amp;SUBSTITUTE(SUBSTITUTE(AM232, CHAR(13), ""),CHAR(10),"\n"), "")&amp;"', textEn: '"&amp;SUBSTITUTE(SUBSTITUTE(SUBSTITUTE(AM232, CHAR(13), ""),CHAR(10),"\n"),"'","\'")&amp;IF(AN232&lt;&gt;"", "', textEnAdditional: '"&amp;SUBSTITUTE(SUBSTITUTE(AN232, CHAR(13), ""),CHAR(10),"\n"), "")&amp;"'"&amp;IF(AB232="○",", sealable: true","")&amp;IF(AC232="○",", removable: true","")&amp;IF(AA232="○",", lie: true","")&amp;IF(AD232="○",", investable: true","")&amp;"},")</x:f>
        <x:v>'19-megumi-o-s-3': {megami: 'megumi', name: '結末の果実', nameEn: 'Fruit of Finality', nameZh: '结束的果实', nameZhG231: '终结之果实', nameKo: '결말의 과실', ruby: 'けつまつのかじつ', rubyEn: '', baseType: 'special', type: 'enhance', capacity: '2', cost: '4', text: '【展開中】この付与札の上の桜花結晶はメインフェイズに移動しない。開始フェイズの処理であなたのほかの付与札から桜花結晶がダストへと送られるならば、それは代わりにこの付与札の上に動かす。\n【展開中】この付与札の上の種結晶が5個になったターンの終了フェイズに、攻撃『適正距離 5、5/5、不可避、【常時】この《攻撃》は打ち消されない』を行い、このカードの上の桜花結晶を全てダストに送る。', textZh: '【展开中】此付于牌上的樱花结晶不能在主要阶段被移动。因为准备阶段的步骤需要把你的其他付于牌上的樱花结晶移到虚的时候，改为移动到此付于牌上。\n【展开中】此付于牌上的种子结晶数到达5个的回合的结束阶段，进行一次“攻击距离5、伤害5/5、不可被闪避、【常时】此《攻击》不会被打消”的攻击，然后把此卡上的樱花结晶全部移至虚。', textZhG231: '【展开中】主要阶段内不能移除此牌上的樱花结晶。准备阶段移除所有付与牌上的樱花结晶时，若你的其他付与牌上的樱花结晶将要移至虚，则改为移至此牌上。\n【展开中】若此牌上的种子结晶的数目变为5，则该回合的结束阶段开始时，进行一次“攻击距离5，伤害5/5 , 不可避，【常时】 此《攻击》不可被打消”的攻击，然后将此牌上的所有樱花结晶移至虚。', textZhG231Additional: '【전개중】이 부여패 위의 벚꽃 결정은 메인 페이즈에 이동하지 않는다. 개시 페이즈의 처리에서 당신의 다른 부여패에서 벚꽃 결정이 더스트로 옮겨진다면, 대신에서 이 부여패로 이동시킨다.\n【전개중】이 부여패 위의 씨앗 결정이 5개가 된 턴의 종료 페이즈에 공격 『적정거리5, 5/5, 불가피, 【상시】이 《공격》은 무효화되지 않는다』를 하고 이 카드 위의 벚꽃 결정을 전부 더스트로 보낸다.', textKo: 'Ongoing: Sakura tokens cannot leave this card during a main phase. If a Sakura token would be moved from one of your other Enhancements in play to Shadow as part of the beginning of turn process, move it to this card instead.\n\nOngoing: At the end of either player\'s turn, if there were ever 5 Seed tokens on this card this turn, you attack with "Range: 5, Damage: 5/5, Unavoidable, Forced: This attack cannot be cancelled.", then move all Sakura tokens from this card to Shadow.', textKoAdditional: 'Ongoing: Sakura tokens cannot leave this card during a main phase. If a Sakura token would be moved from one of your other Enhancements in play to Shadow as part of the beginning of turn process, move it to this card instead.\n\nOngoing: At the end of either player's turn, if there were ever 5 Seed tokens on this card this turn, you attack with "Range: 5, Damage: 5/5, Unavoidable, Forced: This attack cannot be cancelled.", then move all Sakura tokens from this card to Shadow.', textEn: 'Ongoing: Sakura tokens cannot leave this card during a main phase. If a Sakura token would be moved from one of your other Enhancements in play to Shadow as part of the beginning of turn process, move it to this card instead.\n\nOngoing: At the end of either player\'s turn, if there were ever 5 Seed tokens on this card this turn, you attack with "Range: 5, Damage: 5/5, Unavoidable, Forced: This attack cannot be cancelled.", then move all Sakura tokens from this card to Shadow.'},</x:v>
      </x:c>
      <x:c r="AU232" t="str">
        <x:f>IF($A232&lt;&gt;"", "    /** 《"&amp;$E232&amp;"》 */ export const "&amp;SUBSTITUTE(UPPER(IF(MID($A232, 3, 1)="-", RIGHT($A232,LEN($A232)-3), $A232)), "-", "_")&amp;": TCardId = '"&amp;$A232&amp;"';", "")</x:f>
        <x:v>    /** 《結末の果実》 */ export const MEGUMI_O_S_3: TCardId = '19-megumi-o-s-3';</x:v>
      </x:c>
      <x:c r="AV232" t="str">
        <x:f>IF($A233&lt;&gt;"", "    | '"&amp;$A233&amp;"'", "")</x:f>
        <x:v>    | '19-megumi-o-s-4'</x:v>
      </x:c>
    </x:row>
    <x:row r="233" ht="68" customHeight="1">
      <x:c r="A233" t="str">
        <x:v>19-megumi-o-s-4</x:v>
      </x:c>
      <x:c r="B233" t="str">
        <x:v>megumi</x:v>
      </x:c>
      <x:c r="C233"/>
      <x:c r="D233"/>
      <x:c r="E233" t="str">
        <x:v>瀧河希の掌</x:v>
      </x:c>
      <x:c r="F233" t="str">
        <x:v>たきがわめぐみのたなごころ</x:v>
      </x:c>
      <x:c r="G233" t="str">
        <x:v>泷河希之掌</x:v>
      </x:c>
      <x:c r="H233" t="str">
        <x:v>泷河希之掌</x:v>
      </x:c>
      <x:c r="I233"/>
      <x:c r="J233" t="str">
        <x:v>타키가와 메구미의 손바닥</x:v>
      </x:c>
      <x:c r="K233" t="str">
        <x:v>Megumi's Spreading Palm</x:v>
      </x:c>
      <x:c r="L233"/>
      <x:c r="M233" t="str">
        <x:v>切札</x:v>
      </x:c>
      <x:c r="N233"/>
      <x:c r="O233"/>
      <x:c r="P233"/>
      <x:c r="Q233"/>
      <x:c r="R233" t="str">
        <x:v>付与</x:v>
      </x:c>
      <x:c r="S233"/>
      <x:c r="T233"/>
      <x:c r="U233"/>
      <x:c r="V233"/>
      <x:c r="W233"/>
      <x:c r="X233" t="n">
        <x:v>0</x:v>
      </x:c>
      <x:c r="Y233" t="str">
        <x:v>5</x:v>
      </x:c>
      <x:c r="Z233" t="n">
        <x:v>3</x:v>
      </x:c>
      <x:c r="AA233"/>
      <x:c r="AB233"/>
      <x:c r="AC233"/>
      <x:c r="AD233"/>
      <x:c r="AE233" s="438" t="str">
        <x:v>生育5
【展開中】このターンにあなたが初めて行うオーラへのダメージが3以下の《攻撃》は+1/+1となる。</x:v>
      </x:c>
      <x:c r="AF233" s="438"/>
      <x:c r="AG233" s="499" t="str">
        <x:v>生长5
【展开中】每回合你的第一次对装伤害不大于3的《攻击》得+1/+1。</x:v>
      </x:c>
      <x:c r="AH233" s="438"/>
      <x:c r="AI233" s="499" t="str">
        <x:v>生长5
【展开中】每个回合内你进行的第一次对装伤害小于等于3的《攻击》获得+1/+1。</x:v>
      </x:c>
      <x:c r="AJ233" s="438"/>
      <x:c r="AK233" s="499" t="str">
        <x:v>생육5
【전개중】각 턴에 당신이 처음으로 하는 오라 데미지가 3이하의 《공격》은 +1/+1 된다.</x:v>
      </x:c>
      <x:c r="AL233" s="438"/>
      <x:c r="AM233" s="499" t="str">
        <x:v>Growth 5
Ongoing: The first attack you make each turn that has 3 or less Damage to Aura gets +1/+1.</x:v>
      </x:c>
      <x:c r="AN233" s="438"/>
      <x:c r="AO233" s="438"/>
      <x:c r="AP233" s="438"/>
      <x:c r="AQ233" s="438"/>
      <x:c r="AR233" s="438"/>
      <x:c r="AS233" s="438"/>
      <x:c r="AT233" t="str">
        <x:f>IF(A233="", "","'"&amp;A233&amp;"': {megami: '"&amp;B233&amp;"'"&amp;IF(C233&lt;&gt;"",", anotherID: '"&amp;C233&amp;"', replace: '"&amp;D233&amp;"'","")&amp;", name: '"&amp;SUBSTITUTE(E233,"'","\'")&amp;"', nameEn: '"&amp;SUBSTITUTE(K233,"'","\'")&amp;"', nameZh: '"&amp;SUBSTITUTE(G233,"'","\'")&amp;"', nameZhG232: '"&amp;SUBSTITUTE(H233,"'","\'")&amp;"', nameKo: '"&amp;SUBSTITUTE(J233,"'","\'")&amp;"', ruby: '"&amp;F233&amp;"', rubyEn: '"&amp;L233&amp;IF(I233&lt;&gt;"", "', rubyZh: '"&amp;I233, "")&amp;"', baseType: '"&amp;IF(M233="通常札","normal",IF(M233="切札","special",IF(M233="追加札","extra",IF(M233="transform","transform",IF(M233="嵐","storm",IF(M233="兵員","troop",IF(M233="構想","plan",IF(M233="メインパーツ","mainParts",IF(M233="カスタムパーツ","customParts",IF(M233="運命","fate",IF(M233="仮想樹","virtualTree","")))))))))))&amp;"'"&amp;IF(N233="○",", extra: true","")&amp;IF(O233&lt;&gt;"",", extraFrom: '"&amp;O233&amp;"'","")&amp;IF(P233&lt;&gt;"",", exchangableTo: '"&amp;P233&amp;"'","")&amp;IF(Q233="○",", poison: true","")&amp;IF(R233&lt;&gt;"", ", type: '"&amp;IF(R233="攻撃","attack",IF(R233="行動","action",IF(R233="不定","variable",IF(R233="対応","reaction",IF(R233="全力","fullpower",IF(R233="付与","enhance",IF(R233="transform","transform","")))))))&amp;"'", "")&amp;IF(S233&lt;&gt;"",", subType: '"&amp;IF(S233="攻撃","attack",IF(S233="行動","action",IF(S233="不定","variable",IF(S233="対応","reaction",IF(S233="全力","fullpower",IF(S233="付与","enhance",IF(S233="transform","transform","")))))))&amp;"'","")&amp;""&amp;IF(T233&lt;&gt;"",", range: '"&amp;T233&amp;"'","")&amp;IF(V233&lt;&gt;"",", damage: '"&amp;V233&amp;"'","")&amp;IF(X233&lt;&gt;"",", capacity: '"&amp;X233&amp;"'","")&amp;IF(Y233&lt;&gt;"",", growth: "&amp;Y233&amp;"","")&amp;IF(Z233&lt;&gt;"",", cost: '"&amp;Z233&amp;"'","")&amp;", text: '"&amp;SUBSTITUTE(SUBSTITUTE(AE233, CHAR(13), ""),CHAR(10),"\n")&amp;IF(AF233&lt;&gt;"", "', textAdditional: '"&amp;SUBSTITUTE(SUBSTITUTE(AF233, CHAR(13), ""),CHAR(10),"\n"), "")&amp;"', textZh: '"&amp;SUBSTITUTE(SUBSTITUTE(SUBSTITUTE(AG233, CHAR(13), ""),CHAR(10),"\n"),"'","\'")&amp;"', textZhG232: '"&amp;SUBSTITUTE(SUBSTITUTE(SUBSTITUTE(AI233, CHAR(13), ""),CHAR(10),"\n"),"'","\'")&amp;IF(AH233&lt;&gt;"", "', textZhAdditional: '"&amp;SUBSTITUTE(SUBSTITUTE(AH233, CHAR(13), ""),CHAR(10),"\n"), "")&amp;IF(AK233&lt;&gt;"", "', textZhG232Additional: '"&amp;SUBSTITUTE(SUBSTITUTE(AK233, CHAR(13), ""),CHAR(10),"\n"), "")&amp;"', textKo: '"&amp;SUBSTITUTE(SUBSTITUTE(SUBSTITUTE(AM233, CHAR(13), ""),CHAR(10),"\n"),"'","\'")&amp;IF(AM233&lt;&gt;"", "', textKoAdditional: '"&amp;SUBSTITUTE(SUBSTITUTE(AM233, CHAR(13), ""),CHAR(10),"\n"), "")&amp;"', textEn: '"&amp;SUBSTITUTE(SUBSTITUTE(SUBSTITUTE(AM233, CHAR(13), ""),CHAR(10),"\n"),"'","\'")&amp;IF(AN233&lt;&gt;"", "', textEnAdditional: '"&amp;SUBSTITUTE(SUBSTITUTE(AN233, CHAR(13), ""),CHAR(10),"\n"), "")&amp;"'"&amp;IF(AB233="○",", sealable: true","")&amp;IF(AC233="○",", removable: true","")&amp;IF(AA233="○",", lie: true","")&amp;IF(AD233="○",", investable: true","")&amp;"},")</x:f>
        <x:v>'19-megumi-o-s-4': {megami: 'megumi', name: '瀧河希の掌', nameEn: 'Megumi\'s Spreading Palm', nameZh: '泷河希之掌', nameZhG232: '泷河希之掌', nameKo: '타키가와 메구미의 손바닥', ruby: 'たきがわめぐみのたなごころ', rubyEn: '', baseType: 'special', type: 'enhance', growth: 5, cost: '3', text: '生育5\n【展開中】このターンにあなたが初めて行うオーラへのダメージが3以下の《攻撃》は+1/+1となる。', textZh: '生长5\n【展开中】每回合你的第一次对装伤害不大于3的《攻击》得+1/+1。', textZhG232: '生长5\n【展开中】每个回合内你进行的第一次对装伤害小于等于3的《攻击》获得+1/+1。', textZhG232Additional: '생육5\n【전개중】각 턴에 당신이 처음으로 하는 오라 데미지가 3이하의 《공격》은 +1/+1 된다.', textKo: 'Growth 5\n\nOngoing: The first attack you make each turn that has 3 or less Damage to Aura gets +1/+1.', textKoAdditional: 'Growth 5\n\nOngoing: The first attack you make each turn that has 3 or less Damage to Aura gets +1/+1.', textEn: 'Growth 5\n\nOngoing: The first attack you make each turn that has 3 or less Damage to Aura gets +1/+1.'},</x:v>
      </x:c>
      <x:c r="AU233" t="str">
        <x:f>IF($A233&lt;&gt;"", "    /** 《"&amp;$E233&amp;"》 */ export const "&amp;SUBSTITUTE(UPPER(IF(MID($A233, 3, 1)="-", RIGHT($A233,LEN($A233)-3), $A233)), "-", "_")&amp;": TCardId = '"&amp;$A233&amp;"';", "")</x:f>
        <x:v>    /** 《瀧河希の掌》 */ export const MEGUMI_O_S_4: TCardId = '19-megumi-o-s-4';</x:v>
      </x:c>
      <x:c r="AV233" t="str">
        <x:f>IF($A234&lt;&gt;"", "    | '"&amp;$A234&amp;"'", "")</x:f>
        <x:v>    | '19-megumi-A1-n-2'</x:v>
      </x:c>
    </x:row>
    <x:row r="234" ht="30" customHeight="1">
      <x:c r="A234" t="str">
        <x:v>19-megumi-A1-n-2</x:v>
      </x:c>
      <x:c r="B234" t="str">
        <x:v>megumi</x:v>
      </x:c>
      <x:c r="C234" t="str">
        <x:v>A1</x:v>
      </x:c>
      <x:c r="D234" t="str">
        <x:v>19-megumi-o-n-2</x:v>
      </x:c>
      <x:c r="E234" t="str">
        <x:v>仮想撃</x:v>
      </x:c>
      <x:c r="F234"/>
      <x:c r="G234"/>
      <x:c r="H234"/>
      <x:c r="I234"/>
      <x:c r="J234"/>
      <x:c r="K234"/>
      <x:c r="L234"/>
      <x:c r="M234" t="str">
        <x:v>通常札</x:v>
      </x:c>
      <x:c r="N234"/>
      <x:c r="O234"/>
      <x:c r="P234"/>
      <x:c r="Q234"/>
      <x:c r="R234" t="str">
        <x:v>付与</x:v>
      </x:c>
      <x:c r="S234"/>
      <x:c r="T234"/>
      <x:c r="U234"/>
      <x:c r="V234"/>
      <x:c r="W234"/>
      <x:c r="X234" t="n">
        <x:v>3</x:v>
      </x:c>
      <x:c r="Y234"/>
      <x:c r="Z234"/>
      <x:c r="AA234"/>
      <x:c r="AB234"/>
      <x:c r="AC234"/>
      <x:c r="AD234"/>
      <x:c r="AE234" s="438" t="str">
        <x:v>【展開時/破棄時】攻撃『適正距離5-6、3/1』を行う。</x:v>
      </x:c>
      <x:c r="AF234" s="438"/>
      <x:c r="AG234" s="438"/>
      <x:c r="AH234" s="438"/>
      <x:c r="AI234" s="438"/>
      <x:c r="AJ234" s="438"/>
      <x:c r="AK234" s="438"/>
      <x:c r="AL234" s="438"/>
      <x:c r="AM234" s="438"/>
      <x:c r="AN234" s="438"/>
      <x:c r="AO234" s="438"/>
      <x:c r="AP234" s="438"/>
      <x:c r="AQ234" s="438"/>
      <x:c r="AR234" s="438"/>
      <x:c r="AS234" s="438"/>
      <x:c r="AT234" t="str">
        <x:f>IF(A234="", "","'"&amp;A234&amp;"': {megami: '"&amp;B234&amp;"'"&amp;IF(C234&lt;&gt;"",", anotherID: '"&amp;C234&amp;"', replace: '"&amp;D234&amp;"'","")&amp;", name: '"&amp;SUBSTITUTE(E234,"'","\'")&amp;"', nameEn: '"&amp;SUBSTITUTE(K234,"'","\'")&amp;"', nameZh: '"&amp;SUBSTITUTE(G234,"'","\'")&amp;"', nameZhG233: '"&amp;SUBSTITUTE(H234,"'","\'")&amp;"', nameKo: '"&amp;SUBSTITUTE(J234,"'","\'")&amp;"', ruby: '"&amp;F234&amp;"', rubyEn: '"&amp;L234&amp;IF(I234&lt;&gt;"", "', rubyZh: '"&amp;I234, "")&amp;"', baseType: '"&amp;IF(M234="通常札","normal",IF(M234="切札","special",IF(M234="追加札","extra",IF(M234="transform","transform",IF(M234="嵐","storm",IF(M234="兵員","troop",IF(M234="構想","plan",IF(M234="メインパーツ","mainParts",IF(M234="カスタムパーツ","customParts",IF(M234="運命","fate",IF(M234="仮想樹","virtualTree","")))))))))))&amp;"'"&amp;IF(N234="○",", extra: true","")&amp;IF(O234&lt;&gt;"",", extraFrom: '"&amp;O234&amp;"'","")&amp;IF(P234&lt;&gt;"",", exchangableTo: '"&amp;P234&amp;"'","")&amp;IF(Q234="○",", poison: true","")&amp;IF(R234&lt;&gt;"", ", type: '"&amp;IF(R234="攻撃","attack",IF(R234="行動","action",IF(R234="不定","variable",IF(R234="対応","reaction",IF(R234="全力","fullpower",IF(R234="付与","enhance",IF(R234="transform","transform","")))))))&amp;"'", "")&amp;IF(S234&lt;&gt;"",", subType: '"&amp;IF(S234="攻撃","attack",IF(S234="行動","action",IF(S234="不定","variable",IF(S234="対応","reaction",IF(S234="全力","fullpower",IF(S234="付与","enhance",IF(S234="transform","transform","")))))))&amp;"'","")&amp;""&amp;IF(T234&lt;&gt;"",", range: '"&amp;T234&amp;"'","")&amp;IF(V234&lt;&gt;"",", damage: '"&amp;V234&amp;"'","")&amp;IF(X234&lt;&gt;"",", capacity: '"&amp;X234&amp;"'","")&amp;IF(Y234&lt;&gt;"",", growth: "&amp;Y234&amp;"","")&amp;IF(Z234&lt;&gt;"",", cost: '"&amp;Z234&amp;"'","")&amp;", text: '"&amp;SUBSTITUTE(SUBSTITUTE(AE234, CHAR(13), ""),CHAR(10),"\n")&amp;IF(AF234&lt;&gt;"", "', textAdditional: '"&amp;SUBSTITUTE(SUBSTITUTE(AF234, CHAR(13), ""),CHAR(10),"\n"), "")&amp;"', textZh: '"&amp;SUBSTITUTE(SUBSTITUTE(SUBSTITUTE(AG234, CHAR(13), ""),CHAR(10),"\n"),"'","\'")&amp;"', textZhG233: '"&amp;SUBSTITUTE(SUBSTITUTE(SUBSTITUTE(AI234, CHAR(13), ""),CHAR(10),"\n"),"'","\'")&amp;IF(AH234&lt;&gt;"", "', textZhAdditional: '"&amp;SUBSTITUTE(SUBSTITUTE(AH234, CHAR(13), ""),CHAR(10),"\n"), "")&amp;IF(AK234&lt;&gt;"", "', textZhG233Additional: '"&amp;SUBSTITUTE(SUBSTITUTE(AK234, CHAR(13), ""),CHAR(10),"\n"), "")&amp;"', textKo: '"&amp;SUBSTITUTE(SUBSTITUTE(SUBSTITUTE(AM234, CHAR(13), ""),CHAR(10),"\n"),"'","\'")&amp;IF(AM234&lt;&gt;"", "', textKoAdditional: '"&amp;SUBSTITUTE(SUBSTITUTE(AM234, CHAR(13), ""),CHAR(10),"\n"), "")&amp;"', textEn: '"&amp;SUBSTITUTE(SUBSTITUTE(SUBSTITUTE(AM234, CHAR(13), ""),CHAR(10),"\n"),"'","\'")&amp;IF(AN234&lt;&gt;"", "', textEnAdditional: '"&amp;SUBSTITUTE(SUBSTITUTE(AN234, CHAR(13), ""),CHAR(10),"\n"), "")&amp;"'"&amp;IF(AB234="○",", sealable: true","")&amp;IF(AC234="○",", removable: true","")&amp;IF(AA234="○",", lie: true","")&amp;IF(AD234="○",", investable: true","")&amp;"},")</x:f>
        <x:v>'19-megumi-A1-n-2': {megami: 'megumi', anotherID: 'A1', replace: '19-megumi-o-n-2', name: '仮想撃', nameEn: '', nameZh: '', nameZhG233: '', nameKo: '', ruby: '', rubyEn: '', baseType: 'normal', type: 'enhance', capacity: '3', text: '【展開時/破棄時】攻撃『適正距離5-6、3/1』を行う。', textZh: '', textZhG233: '', textKo: '', textEn: ''},</x:v>
      </x:c>
      <x:c r="AU234" t="str">
        <x:f>IF($A234&lt;&gt;"", "    /** 《"&amp;$E234&amp;"》 */ export const "&amp;SUBSTITUTE(UPPER(IF(MID($A234, 3, 1)="-", RIGHT($A234,LEN($A234)-3), $A234)), "-", "_")&amp;": TCardId = '"&amp;$A234&amp;"';", "")</x:f>
        <x:v>    /** 《仮想撃》 */ export const MEGUMI_A1_N_2: TCardId = '19-megumi-A1-n-2';</x:v>
      </x:c>
      <x:c r="AV234" t="str">
        <x:f>IF($A235&lt;&gt;"", "    | '"&amp;$A235&amp;"'", "")</x:f>
        <x:v>    | '19-megumi-A1-s-3'</x:v>
      </x:c>
    </x:row>
    <x:row r="235" ht="53" customHeight="1">
      <x:c r="A235" t="str">
        <x:v>19-megumi-A1-s-3</x:v>
      </x:c>
      <x:c r="B235" t="str">
        <x:v>megumi</x:v>
      </x:c>
      <x:c r="C235" t="str">
        <x:v>A1</x:v>
      </x:c>
      <x:c r="D235" t="str">
        <x:v>19-megumi-o-s-3</x:v>
      </x:c>
      <x:c r="E235" t="str">
        <x:v>一幕の葉</x:v>
      </x:c>
      <x:c r="F235"/>
      <x:c r="G235"/>
      <x:c r="H235"/>
      <x:c r="I235"/>
      <x:c r="J235"/>
      <x:c r="K235"/>
      <x:c r="L235"/>
      <x:c r="M235" t="str">
        <x:v>切札</x:v>
      </x:c>
      <x:c r="N235"/>
      <x:c r="O235"/>
      <x:c r="P235"/>
      <x:c r="Q235"/>
      <x:c r="R235" t="str">
        <x:v>攻撃</x:v>
      </x:c>
      <x:c r="S235" t="str">
        <x:v>対応</x:v>
      </x:c>
      <x:c r="T235" t="str">
        <x:v>4-7</x:v>
      </x:c>
      <x:c r="U235"/>
      <x:c r="V235" t="str">
        <x:v>2/X</x:v>
      </x:c>
      <x:c r="W235"/>
      <x:c r="X235"/>
      <x:c r="Y235"/>
      <x:c r="Z235" t="n">
        <x:v>2</x:v>
      </x:c>
      <x:c r="AA235"/>
      <x:c r="AB235"/>
      <x:c r="AC235"/>
      <x:c r="AD235"/>
      <x:c r="AE235" s="438" t="str">
        <x:v>【常時】あなたが効果による《攻撃》を行っているターンにのみ、このカードは使用できる。
【常時】Xはあなたの種結晶が置かれている領域（土壌、付与札、仮想樹）の数に等しい。
【攻撃後】ダスト→自オーラ：1</x:v>
      </x:c>
      <x:c r="AF235" s="438"/>
      <x:c r="AG235" s="438"/>
      <x:c r="AH235" s="438"/>
      <x:c r="AI235" s="438"/>
      <x:c r="AJ235" s="438"/>
      <x:c r="AK235" s="438"/>
      <x:c r="AL235" s="438"/>
      <x:c r="AM235" s="438"/>
      <x:c r="AN235" s="438"/>
      <x:c r="AO235" s="438"/>
      <x:c r="AP235" s="438"/>
      <x:c r="AQ235" s="438"/>
      <x:c r="AR235" s="438"/>
      <x:c r="AS235" s="438"/>
      <x:c r="AT235" t="str">
        <x:f>IF(A235="", "","'"&amp;A235&amp;"': {megami: '"&amp;B235&amp;"'"&amp;IF(C235&lt;&gt;"",", anotherID: '"&amp;C235&amp;"', replace: '"&amp;D235&amp;"'","")&amp;", name: '"&amp;SUBSTITUTE(E235,"'","\'")&amp;"', nameEn: '"&amp;SUBSTITUTE(K235,"'","\'")&amp;"', nameZh: '"&amp;SUBSTITUTE(G235,"'","\'")&amp;"', nameZhG234: '"&amp;SUBSTITUTE(H235,"'","\'")&amp;"', nameKo: '"&amp;SUBSTITUTE(J235,"'","\'")&amp;"', ruby: '"&amp;F235&amp;"', rubyEn: '"&amp;L235&amp;IF(I235&lt;&gt;"", "', rubyZh: '"&amp;I235, "")&amp;"', baseType: '"&amp;IF(M235="通常札","normal",IF(M235="切札","special",IF(M235="追加札","extra",IF(M235="transform","transform",IF(M235="嵐","storm",IF(M235="兵員","troop",IF(M235="構想","plan",IF(M235="メインパーツ","mainParts",IF(M235="カスタムパーツ","customParts",IF(M235="運命","fate",IF(M235="仮想樹","virtualTree","")))))))))))&amp;"'"&amp;IF(N235="○",", extra: true","")&amp;IF(O235&lt;&gt;"",", extraFrom: '"&amp;O235&amp;"'","")&amp;IF(P235&lt;&gt;"",", exchangableTo: '"&amp;P235&amp;"'","")&amp;IF(Q235="○",", poison: true","")&amp;IF(R235&lt;&gt;"", ", type: '"&amp;IF(R235="攻撃","attack",IF(R235="行動","action",IF(R235="不定","variable",IF(R235="対応","reaction",IF(R235="全力","fullpower",IF(R235="付与","enhance",IF(R235="transform","transform","")))))))&amp;"'", "")&amp;IF(S235&lt;&gt;"",", subType: '"&amp;IF(S235="攻撃","attack",IF(S235="行動","action",IF(S235="不定","variable",IF(S235="対応","reaction",IF(S235="全力","fullpower",IF(S235="付与","enhance",IF(S235="transform","transform","")))))))&amp;"'","")&amp;""&amp;IF(T235&lt;&gt;"",", range: '"&amp;T235&amp;"'","")&amp;IF(V235&lt;&gt;"",", damage: '"&amp;V235&amp;"'","")&amp;IF(X235&lt;&gt;"",", capacity: '"&amp;X235&amp;"'","")&amp;IF(Y235&lt;&gt;"",", growth: "&amp;Y235&amp;"","")&amp;IF(Z235&lt;&gt;"",", cost: '"&amp;Z235&amp;"'","")&amp;", text: '"&amp;SUBSTITUTE(SUBSTITUTE(AE235, CHAR(13), ""),CHAR(10),"\n")&amp;IF(AF235&lt;&gt;"", "', textAdditional: '"&amp;SUBSTITUTE(SUBSTITUTE(AF235, CHAR(13), ""),CHAR(10),"\n"), "")&amp;"', textZh: '"&amp;SUBSTITUTE(SUBSTITUTE(SUBSTITUTE(AG235, CHAR(13), ""),CHAR(10),"\n"),"'","\'")&amp;"', textZhG234: '"&amp;SUBSTITUTE(SUBSTITUTE(SUBSTITUTE(AI235, CHAR(13), ""),CHAR(10),"\n"),"'","\'")&amp;IF(AH235&lt;&gt;"", "', textZhAdditional: '"&amp;SUBSTITUTE(SUBSTITUTE(AH235, CHAR(13), ""),CHAR(10),"\n"), "")&amp;IF(AK235&lt;&gt;"", "', textZhG234Additional: '"&amp;SUBSTITUTE(SUBSTITUTE(AK235, CHAR(13), ""),CHAR(10),"\n"), "")&amp;"', textKo: '"&amp;SUBSTITUTE(SUBSTITUTE(SUBSTITUTE(AM235, CHAR(13), ""),CHAR(10),"\n"),"'","\'")&amp;IF(AM235&lt;&gt;"", "', textKoAdditional: '"&amp;SUBSTITUTE(SUBSTITUTE(AM235, CHAR(13), ""),CHAR(10),"\n"), "")&amp;"', textEn: '"&amp;SUBSTITUTE(SUBSTITUTE(SUBSTITUTE(AM235, CHAR(13), ""),CHAR(10),"\n"),"'","\'")&amp;IF(AN235&lt;&gt;"", "', textEnAdditional: '"&amp;SUBSTITUTE(SUBSTITUTE(AN235, CHAR(13), ""),CHAR(10),"\n"), "")&amp;"'"&amp;IF(AB235="○",", sealable: true","")&amp;IF(AC235="○",", removable: true","")&amp;IF(AA235="○",", lie: true","")&amp;IF(AD235="○",", investable: true","")&amp;"},")</x:f>
        <x:v>'19-megumi-A1-s-3': {megami: 'megumi', anotherID: 'A1', replace: '19-megumi-o-s-3', name: '一幕の葉', nameEn: '', nameZh: '', nameZhG234: '', nameKo: '', ruby: '', rubyEn: '', baseType: 'special', type: 'attack', subType: 'reaction', range: '4-7', damage: '2/X', cost: '2', text: '【常時】あなたが効果による《攻撃》を行っているターンにのみ、このカードは使用できる。\n【常時】Xはあなたの種結晶が置かれている領域（土壌、付与札、仮想樹）の数に等しい。\n【攻撃後】ダスト→自オーラ：1', textZh: '', textZhG234: '', textKo: '', textEn: ''},</x:v>
      </x:c>
      <x:c r="AU235" t="str">
        <x:f>IF($A235&lt;&gt;"", "    /** 《"&amp;$E235&amp;"》 */ export const "&amp;SUBSTITUTE(UPPER(IF(MID($A235, 3, 1)="-", RIGHT($A235,LEN($A235)-3), $A235)), "-", "_")&amp;": TCardId = '"&amp;$A235&amp;"';", "")</x:f>
        <x:v>    /** 《一幕の葉》 */ export const MEGUMI_A1_S_3: TCardId = '19-megumi-A1-s-3';</x:v>
      </x:c>
      <x:c r="AV235" t="str">
        <x:f>IF($A236&lt;&gt;"", "    | '"&amp;$A236&amp;"'", "")</x:f>
        <x:v>    | '19-megumi-A1-s-4'</x:v>
      </x:c>
    </x:row>
    <x:row r="236" ht="68" customHeight="1">
      <x:c r="A236" t="str">
        <x:v>19-megumi-A1-s-4</x:v>
      </x:c>
      <x:c r="B236" t="str">
        <x:v>megumi</x:v>
      </x:c>
      <x:c r="C236" t="str">
        <x:v>A1</x:v>
      </x:c>
      <x:c r="D236" t="str">
        <x:v>19-megumi-o-s-4</x:v>
      </x:c>
      <x:c r="E236" t="str">
        <x:v>彼方よりの掌</x:v>
      </x:c>
      <x:c r="F236"/>
      <x:c r="G236"/>
      <x:c r="H236"/>
      <x:c r="I236"/>
      <x:c r="J236"/>
      <x:c r="K236"/>
      <x:c r="L236"/>
      <x:c r="M236" t="str">
        <x:v>切札</x:v>
      </x:c>
      <x:c r="N236"/>
      <x:c r="O236"/>
      <x:c r="P236"/>
      <x:c r="Q236"/>
      <x:c r="R236" t="str">
        <x:v>行動</x:v>
      </x:c>
      <x:c r="S236"/>
      <x:c r="T236"/>
      <x:c r="U236"/>
      <x:c r="V236"/>
      <x:c r="W236"/>
      <x:c r="X236"/>
      <x:c r="Y236"/>
      <x:c r="Z236" t="n">
        <x:v>2</x:v>
      </x:c>
      <x:c r="AA236"/>
      <x:c r="AB236"/>
      <x:c r="AC236"/>
      <x:c r="AD236"/>
      <x:c r="AE236" s="438" t="str">
        <x:v>仮想樹と桜降る代を接ぐ。
あなたの土壌の種結晶を1つ選び、それを仮想樹の1に置く。
【使用済】あなたのメインフェイズに、コストを支払わずにこのカードを使用してもよい。そうした場合、解決後にこのカードを取り除く。</x:v>
      </x:c>
      <x:c r="AF236" s="438"/>
      <x:c r="AG236" s="438"/>
      <x:c r="AH236" s="438"/>
      <x:c r="AI236" s="438"/>
      <x:c r="AJ236" s="438"/>
      <x:c r="AK236" s="438"/>
      <x:c r="AL236" s="438"/>
      <x:c r="AM236" s="438"/>
      <x:c r="AN236" s="438"/>
      <x:c r="AO236" s="438"/>
      <x:c r="AP236" s="438"/>
      <x:c r="AQ236" s="438"/>
      <x:c r="AR236" s="438"/>
      <x:c r="AS236" s="438"/>
      <x:c r="AT236" t="str">
        <x:f>IF(A236="", "","'"&amp;A236&amp;"': {megami: '"&amp;B236&amp;"'"&amp;IF(C236&lt;&gt;"",", anotherID: '"&amp;C236&amp;"', replace: '"&amp;D236&amp;"'","")&amp;", name: '"&amp;SUBSTITUTE(E236,"'","\'")&amp;"', nameEn: '"&amp;SUBSTITUTE(K236,"'","\'")&amp;"', nameZh: '"&amp;SUBSTITUTE(G236,"'","\'")&amp;"', nameZhG235: '"&amp;SUBSTITUTE(H236,"'","\'")&amp;"', nameKo: '"&amp;SUBSTITUTE(J236,"'","\'")&amp;"', ruby: '"&amp;F236&amp;"', rubyEn: '"&amp;L236&amp;IF(I236&lt;&gt;"", "', rubyZh: '"&amp;I236, "")&amp;"', baseType: '"&amp;IF(M236="通常札","normal",IF(M236="切札","special",IF(M236="追加札","extra",IF(M236="transform","transform",IF(M236="嵐","storm",IF(M236="兵員","troop",IF(M236="構想","plan",IF(M236="メインパーツ","mainParts",IF(M236="カスタムパーツ","customParts",IF(M236="運命","fate",IF(M236="仮想樹","virtualTree","")))))))))))&amp;"'"&amp;IF(N236="○",", extra: true","")&amp;IF(O236&lt;&gt;"",", extraFrom: '"&amp;O236&amp;"'","")&amp;IF(P236&lt;&gt;"",", exchangableTo: '"&amp;P236&amp;"'","")&amp;IF(Q236="○",", poison: true","")&amp;IF(R236&lt;&gt;"", ", type: '"&amp;IF(R236="攻撃","attack",IF(R236="行動","action",IF(R236="不定","variable",IF(R236="対応","reaction",IF(R236="全力","fullpower",IF(R236="付与","enhance",IF(R236="transform","transform","")))))))&amp;"'", "")&amp;IF(S236&lt;&gt;"",", subType: '"&amp;IF(S236="攻撃","attack",IF(S236="行動","action",IF(S236="不定","variable",IF(S236="対応","reaction",IF(S236="全力","fullpower",IF(S236="付与","enhance",IF(S236="transform","transform","")))))))&amp;"'","")&amp;""&amp;IF(T236&lt;&gt;"",", range: '"&amp;T236&amp;"'","")&amp;IF(V236&lt;&gt;"",", damage: '"&amp;V236&amp;"'","")&amp;IF(X236&lt;&gt;"",", capacity: '"&amp;X236&amp;"'","")&amp;IF(Y236&lt;&gt;"",", growth: "&amp;Y236&amp;"","")&amp;IF(Z236&lt;&gt;"",", cost: '"&amp;Z236&amp;"'","")&amp;", text: '"&amp;SUBSTITUTE(SUBSTITUTE(AE236, CHAR(13), ""),CHAR(10),"\n")&amp;IF(AF236&lt;&gt;"", "', textAdditional: '"&amp;SUBSTITUTE(SUBSTITUTE(AF236, CHAR(13), ""),CHAR(10),"\n"), "")&amp;"', textZh: '"&amp;SUBSTITUTE(SUBSTITUTE(SUBSTITUTE(AG236, CHAR(13), ""),CHAR(10),"\n"),"'","\'")&amp;"', textZhG235: '"&amp;SUBSTITUTE(SUBSTITUTE(SUBSTITUTE(AI236, CHAR(13), ""),CHAR(10),"\n"),"'","\'")&amp;IF(AH236&lt;&gt;"", "', textZhAdditional: '"&amp;SUBSTITUTE(SUBSTITUTE(AH236, CHAR(13), ""),CHAR(10),"\n"), "")&amp;IF(AK236&lt;&gt;"", "', textZhG235Additional: '"&amp;SUBSTITUTE(SUBSTITUTE(AK236, CHAR(13), ""),CHAR(10),"\n"), "")&amp;"', textKo: '"&amp;SUBSTITUTE(SUBSTITUTE(SUBSTITUTE(AM236, CHAR(13), ""),CHAR(10),"\n"),"'","\'")&amp;IF(AM236&lt;&gt;"", "', textKoAdditional: '"&amp;SUBSTITUTE(SUBSTITUTE(AM236, CHAR(13), ""),CHAR(10),"\n"), "")&amp;"', textEn: '"&amp;SUBSTITUTE(SUBSTITUTE(SUBSTITUTE(AM236, CHAR(13), ""),CHAR(10),"\n"),"'","\'")&amp;IF(AN236&lt;&gt;"", "', textEnAdditional: '"&amp;SUBSTITUTE(SUBSTITUTE(AN236, CHAR(13), ""),CHAR(10),"\n"), "")&amp;"'"&amp;IF(AB236="○",", sealable: true","")&amp;IF(AC236="○",", removable: true","")&amp;IF(AA236="○",", lie: true","")&amp;IF(AD236="○",", investable: true","")&amp;"},")</x:f>
        <x:v>'19-megumi-A1-s-4': {megami: 'megumi', anotherID: 'A1', replace: '19-megumi-o-s-4', name: '彼方よりの掌', nameEn: '', nameZh: '', nameZhG235: '', nameKo: '', ruby: '', rubyEn: '', baseType: 'special', type: 'action', cost: '2', text: '仮想樹と桜降る代を接ぐ。\nあなたの土壌の種結晶を1つ選び、それを仮想樹の1に置く。\n【使用済】あなたのメインフェイズに、コストを支払わずにこのカードを使用してもよい。そうした場合、解決後にこのカードを取り除く。', textZh: '', textZhG235: '', textKo: '', textEn: ''},</x:v>
      </x:c>
      <x:c r="AU236" t="str">
        <x:f>IF($A236&lt;&gt;"", "    /** 《"&amp;$E236&amp;"》 */ export const "&amp;SUBSTITUTE(UPPER(IF(MID($A236, 3, 1)="-", RIGHT($A236,LEN($A236)-3), $A236)), "-", "_")&amp;": TCardId = '"&amp;$A236&amp;"';", "")</x:f>
        <x:v>    /** 《彼方よりの掌》 */ export const MEGUMI_A1_S_4: TCardId = '19-megumi-A1-s-4';</x:v>
      </x:c>
      <x:c r="AV236" t="str">
        <x:f>IF($A237&lt;&gt;"", "    | '"&amp;$A237&amp;"'", "")</x:f>
        <x:v>    | '19-megumi-A1-virtual-tree'</x:v>
      </x:c>
    </x:row>
    <x:row r="237" ht="158" customHeight="1">
      <x:c r="A237" t="str">
        <x:v>19-megumi-A1-virtual-tree</x:v>
      </x:c>
      <x:c r="B237" t="str">
        <x:v>megumi</x:v>
      </x:c>
      <x:c r="C237"/>
      <x:c r="D237"/>
      <x:c r="E237" t="str">
        <x:v>仮想樹</x:v>
      </x:c>
      <x:c r="F237"/>
      <x:c r="G237"/>
      <x:c r="H237"/>
      <x:c r="I237"/>
      <x:c r="J237"/>
      <x:c r="K237"/>
      <x:c r="L237"/>
      <x:c r="M237" t="str">
        <x:v>仮想樹</x:v>
      </x:c>
      <x:c r="N237"/>
      <x:c r="O237"/>
      <x:c r="P237"/>
      <x:c r="Q237"/>
      <x:c r="R237"/>
      <x:c r="S237"/>
      <x:c r="T237"/>
      <x:c r="U237"/>
      <x:c r="V237"/>
      <x:c r="W237"/>
      <x:c r="X237"/>
      <x:c r="Y237"/>
      <x:c r="Z237"/>
      <x:c r="AA237"/>
      <x:c r="AB237"/>
      <x:c r="AC237"/>
      <x:c r="AD237"/>
      <x:c r="AE237" s="438" t="str">
        <x:v>あなたの種結晶が付与札の上から移動するなら、その種結晶でVR生育を行ってもよい。
1:なし
2-1:【散華時】攻撃『適正距離3-6、3/1』を行う。
2-2:【散華時】攻撃『適正距離0-3、1/1』を行い、ダスト→間合：1
3-1:【開花中】あなたのターンで最初に相手のライフにダメージを与えた時、基本動作《纏い》か《宿し》を1回まで行う。
3-2:【散華時】眼前構築で選んでいない《全力》でも付与でもないあなたの切札を1枚公開し、使用する。使用したそのカードが領域を移動するなら、代わりにそれを取り除く。
3-3:【開花中】あなたのターンで最初に相手のオーラにダメージを与えた時、基本動作《離脱》か《後退》を1回まで行う。</x:v>
      </x:c>
      <x:c r="AF237" s="438"/>
      <x:c r="AG237" s="438"/>
      <x:c r="AH237" s="438"/>
      <x:c r="AI237" s="438"/>
      <x:c r="AJ237" s="438"/>
      <x:c r="AK237" s="438"/>
      <x:c r="AL237" s="438"/>
      <x:c r="AM237" s="438"/>
      <x:c r="AN237" s="438"/>
      <x:c r="AO237" s="438"/>
      <x:c r="AP237" s="438"/>
      <x:c r="AQ237" s="438"/>
      <x:c r="AR237" s="438"/>
      <x:c r="AS237" s="438"/>
      <x:c r="AT237" t="str">
        <x:f>IF(A237="", "","'"&amp;A237&amp;"': {megami: '"&amp;B237&amp;"'"&amp;IF(C237&lt;&gt;"",", anotherID: '"&amp;C237&amp;"', replace: '"&amp;D237&amp;"'","")&amp;", name: '"&amp;SUBSTITUTE(E237,"'","\'")&amp;"', nameEn: '"&amp;SUBSTITUTE(K237,"'","\'")&amp;"', nameZh: '"&amp;SUBSTITUTE(G237,"'","\'")&amp;"', nameZhG236: '"&amp;SUBSTITUTE(H237,"'","\'")&amp;"', nameKo: '"&amp;SUBSTITUTE(J237,"'","\'")&amp;"', ruby: '"&amp;F237&amp;"', rubyEn: '"&amp;L237&amp;IF(I237&lt;&gt;"", "', rubyZh: '"&amp;I237, "")&amp;"', baseType: '"&amp;IF(M237="通常札","normal",IF(M237="切札","special",IF(M237="追加札","extra",IF(M237="transform","transform",IF(M237="嵐","storm",IF(M237="兵員","troop",IF(M237="構想","plan",IF(M237="メインパーツ","mainParts",IF(M237="カスタムパーツ","customParts",IF(M237="運命","fate",IF(M237="仮想樹","virtualTree","")))))))))))&amp;"'"&amp;IF(N237="○",", extra: true","")&amp;IF(O237&lt;&gt;"",", extraFrom: '"&amp;O237&amp;"'","")&amp;IF(P237&lt;&gt;"",", exchangableTo: '"&amp;P237&amp;"'","")&amp;IF(Q237="○",", poison: true","")&amp;IF(R237&lt;&gt;"", ", type: '"&amp;IF(R237="攻撃","attack",IF(R237="行動","action",IF(R237="不定","variable",IF(R237="対応","reaction",IF(R237="全力","fullpower",IF(R237="付与","enhance",IF(R237="transform","transform","")))))))&amp;"'", "")&amp;IF(S237&lt;&gt;"",", subType: '"&amp;IF(S237="攻撃","attack",IF(S237="行動","action",IF(S237="不定","variable",IF(S237="対応","reaction",IF(S237="全力","fullpower",IF(S237="付与","enhance",IF(S237="transform","transform","")))))))&amp;"'","")&amp;""&amp;IF(T237&lt;&gt;"",", range: '"&amp;T237&amp;"'","")&amp;IF(V237&lt;&gt;"",", damage: '"&amp;V237&amp;"'","")&amp;IF(X237&lt;&gt;"",", capacity: '"&amp;X237&amp;"'","")&amp;IF(Y237&lt;&gt;"",", growth: "&amp;Y237&amp;"","")&amp;IF(Z237&lt;&gt;"",", cost: '"&amp;Z237&amp;"'","")&amp;", text: '"&amp;SUBSTITUTE(SUBSTITUTE(AE237, CHAR(13), ""),CHAR(10),"\n")&amp;IF(AF237&lt;&gt;"", "', textAdditional: '"&amp;SUBSTITUTE(SUBSTITUTE(AF237, CHAR(13), ""),CHAR(10),"\n"), "")&amp;"', textZh: '"&amp;SUBSTITUTE(SUBSTITUTE(SUBSTITUTE(AG237, CHAR(13), ""),CHAR(10),"\n"),"'","\'")&amp;"', textZhG236: '"&amp;SUBSTITUTE(SUBSTITUTE(SUBSTITUTE(AI237, CHAR(13), ""),CHAR(10),"\n"),"'","\'")&amp;IF(AH237&lt;&gt;"", "', textZhAdditional: '"&amp;SUBSTITUTE(SUBSTITUTE(AH237, CHAR(13), ""),CHAR(10),"\n"), "")&amp;IF(AK237&lt;&gt;"", "', textZhG236Additional: '"&amp;SUBSTITUTE(SUBSTITUTE(AK237, CHAR(13), ""),CHAR(10),"\n"), "")&amp;"', textKo: '"&amp;SUBSTITUTE(SUBSTITUTE(SUBSTITUTE(AM237, CHAR(13), ""),CHAR(10),"\n"),"'","\'")&amp;IF(AM237&lt;&gt;"", "', textKoAdditional: '"&amp;SUBSTITUTE(SUBSTITUTE(AM237, CHAR(13), ""),CHAR(10),"\n"), "")&amp;"', textEn: '"&amp;SUBSTITUTE(SUBSTITUTE(SUBSTITUTE(AM237, CHAR(13), ""),CHAR(10),"\n"),"'","\'")&amp;IF(AN237&lt;&gt;"", "', textEnAdditional: '"&amp;SUBSTITUTE(SUBSTITUTE(AN237, CHAR(13), ""),CHAR(10),"\n"), "")&amp;"'"&amp;IF(AB237="○",", sealable: true","")&amp;IF(AC237="○",", removable: true","")&amp;IF(AA237="○",", lie: true","")&amp;IF(AD237="○",", investable: true","")&amp;"},")</x:f>
        <x:v>'19-megumi-A1-virtual-tree': {megami: 'megumi', name: '仮想樹', nameEn: '', nameZh: '', nameZhG236: '', nameKo: '', ruby: '', rubyEn: '', baseType: 'virtualTree', text: 'あなたの種結晶が付与札の上から移動するなら、その種結晶でVR生育を行ってもよい。\n1:なし\n2-1:【散華時】攻撃『適正距離3-6、3/1』を行う。\n2-2:【散華時】攻撃『適正距離0-3、1/1』を行い、ダスト→間合：1\n3-1:【開花中】あなたのターンで最初に相手のライフにダメージを与えた時、基本動作《纏い》か《宿し》を1回まで行う。\n3-2:【散華時】眼前構築で選んでいない《全力》でも付与でもないあなたの切札を1枚公開し、使用する。使用したそのカードが領域を移動するなら、代わりにそれを取り除く。\n3-3:【開花中】あなたのターンで最初に相手のオーラにダメージを与えた時、基本動作《離脱》か《後退》を1回まで行う。', textZh: '', textZhG236: '', textKo: '', textEn: ''},</x:v>
      </x:c>
      <x:c r="AU237" t="str">
        <x:f>IF($A237&lt;&gt;"", "    /** 《"&amp;$E237&amp;"》 */ export const "&amp;SUBSTITUTE(UPPER(IF(MID($A237, 3, 1)="-", RIGHT($A237,LEN($A237)-3), $A237)), "-", "_")&amp;": TCardId = '"&amp;$A237&amp;"';", "")</x:f>
        <x:v>    /** 《仮想樹》 */ export const MEGUMI_A1_VIRTUAL_TREE: TCardId = '19-megumi-A1-virtual-tree';</x:v>
      </x:c>
      <x:c r="AV237" t="str">
        <x:f>IF($A238&lt;&gt;"", "    | '"&amp;$A238&amp;"'", "")</x:f>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546875" defaultRowHeight="13.800000190734863"/>
  <x:cols>
    <x:col min="1" max="1" width="12.619999885559082" style="1" hidden="0" customWidth="1"/>
    <x:col min="2" max="5" width="13.119999885559082" style="1" hidden="0" customWidth="1"/>
    <x:col min="6" max="6" width="16.270000457763672" style="1" hidden="0" customWidth="1"/>
    <x:col min="7" max="7" width="14.119999885559082" style="1" hidden="0" customWidth="1"/>
    <x:col min="8" max="8" width="11.619999885559082" style="1" hidden="0" customWidth="1"/>
    <x:col min="9" max="9" width="13.270000457763672" style="1" hidden="0" customWidth="1"/>
    <x:col min="10" max="10" width="11.619999885559082" style="1" hidden="0" customWidth="1"/>
    <x:col min="11" max="11" width="13.380000114440918" style="1" hidden="0" customWidth="1"/>
    <x:col min="12" max="12" width="2.75" style="1" hidden="0" customWidth="1"/>
    <x:col min="13" max="13" width="6.880000114440918" style="1" hidden="0" customWidth="1"/>
    <x:col min="14" max="14" width="4.869999885559082" style="1" hidden="0" customWidth="1"/>
    <x:col min="15" max="16" width="14.119999885559082" style="1" hidden="0" customWidth="1"/>
    <x:col min="17" max="19" width="14.119999885559082" style="63" hidden="0" customWidth="1"/>
    <x:col min="20" max="20" width="13.380000114440918" style="63" hidden="0" customWidth="1"/>
    <x:col min="21" max="21" width="6.880000114440918" style="63" hidden="0" customWidth="1"/>
    <x:col min="22" max="34" width="6.880000114440918" style="1" hidden="0" customWidth="1"/>
    <x:col min="35" max="1025" width="12.619999885559082" style="1" hidden="0" customWidth="1"/>
  </x:cols>
  <x:sheetData>
    <x:row r="1" ht="11.25" hidden="0" customHeight="1">
      <x:c r="A1" s="2" t="s">
        <x:v>43</x:v>
      </x:c>
      <x:c r="B1" s="2" t="s">
        <x:v>4</x:v>
      </x:c>
      <x:c r="C1" s="2" t="s">
        <x:v>6</x:v>
      </x:c>
      <x:c r="D1" s="2" t="s">
        <x:v>7</x:v>
      </x:c>
      <x:c r="E1" s="2" t="s">
        <x:v>9</x:v>
      </x:c>
      <x:c r="F1" s="2" t="s">
        <x:v>10</x:v>
      </x:c>
      <x:c r="G1" s="2" t="s">
        <x:v>44</x:v>
      </x:c>
      <x:c r="H1" s="2" t="s">
        <x:v>45</x:v>
      </x:c>
      <x:c r="I1" s="7" t="s">
        <x:v>46</x:v>
      </x:c>
      <x:c r="J1" s="2" t="s">
        <x:v>47</x:v>
      </x:c>
      <x:c r="K1" s="2" t="s">
        <x:v>48</x:v>
      </x:c>
      <x:c r="L1" s="2" t="s">
        <x:v>49</x:v>
      </x:c>
      <x:c r="M1" s="2" t="s">
        <x:v>50</x:v>
      </x:c>
      <x:c r="N1" s="2" t="s">
        <x:v>51</x:v>
      </x:c>
      <x:c r="O1" s="2" t="s">
        <x:v>52</x:v>
      </x:c>
      <x:c r="P1" s="2" t="s">
        <x:v>53</x:v>
      </x:c>
      <x:c r="Q1" s="2" t="s">
        <x:v>54</x:v>
      </x:c>
      <x:c r="R1" s="2" t="s">
        <x:v>55</x:v>
      </x:c>
      <x:c r="S1" s="2" t="s">
        <x:v>56</x:v>
      </x:c>
      <x:c r="T1" s="2" t="s">
        <x:v>57</x:v>
      </x:c>
      <x:c r="U1" s="2" t="s">
        <x:v>58</x:v>
      </x:c>
      <x:c r="V1" s="5"/>
      <x:c r="W1" s="5"/>
      <x:c r="X1" s="5"/>
      <x:c r="Y1" s="5"/>
      <x:c r="Z1" s="5"/>
      <x:c r="AA1" s="5"/>
      <x:c r="AB1" s="5"/>
      <x:c r="AC1" s="5"/>
      <x:c r="AD1" s="5"/>
      <x:c r="AE1" s="5"/>
      <x:c r="AF1" s="5"/>
      <x:c r="AG1" s="5"/>
      <x:c r="AH1" s="5"/>
    </x:row>
    <x:row r="2" ht="12" hidden="0" customHeight="1">
      <x:c r="A2" s="2" t="s">
        <x:v>59</x:v>
      </x:c>
      <x:c r="B2" s="2" t="s">
        <x:v>60</x:v>
      </x:c>
      <x:c r="C2" s="2" t="s">
        <x:v>61</x:v>
      </x:c>
      <x:c r="D2" s="2" t="s">
        <x:v>61</x:v>
      </x:c>
      <x:c r="E2" s="2" t="s">
        <x:v>62</x:v>
      </x:c>
      <x:c r="F2" s="2" t="s">
        <x:v>63</x:v>
      </x:c>
      <x:c r="G2" s="2" t="s">
        <x:v>64</x:v>
      </x:c>
      <x:c r="H2" s="2" t="s">
        <x:v>64</x:v>
      </x:c>
      <x:c r="I2" s="7" t="s">
        <x:v>64</x:v>
      </x:c>
      <x:c r="J2" s="2" t="s">
        <x:v>65</x:v>
      </x:c>
      <x:c r="K2" s="2" t="s">
        <x:v>66</x:v>
      </x:c>
      <x:c r="L2" s="2" t="s">
        <x:v>67</x:v>
      </x:c>
      <x:c r="M2" s="2"/>
      <x:c r="N2" s="2"/>
      <x:c r="O2" s="2"/>
      <x:c r="P2" s="2"/>
      <x:c r="Q2" s="2"/>
      <x:c r="R2" s="2"/>
      <x:c r="S2" s="2"/>
      <x:c r="T2" s="2"/>
      <x:c r="U2" s="2"/>
      <x:c r="V2" s="69" t="str">
        <x:f aca="0">"'"&amp;A2&amp;"': { name: '"&amp;B2&amp;"', nameZh: '"&amp;C2&amp;"', nameZhG1: '"&amp;D2&amp;"', nameKo: '"&amp;E2&amp;"', nameEn: '"&amp;F2&amp;"', symbol: '"&amp;G2&amp;"', symbolZh: '"&amp;H2&amp;"', symbolZhG1: '"&amp;I2&amp;"', symbolKo: '"&amp;J2&amp;"', symbolEn: '"&amp;K2&amp;"'"&amp;IF(N2&lt;&gt;"",", base: '"&amp;M2&amp;"', anotherID: '"&amp;N2&amp;"'","")&amp;IF(O2="○", ", notExistCardSets: ['na-s2'] as CardSet[]", IF(P2="○", ", notExistCardSets: ['na-s2', 'na-s3'] as CardSet[]", IF(Q2="○", ", notExistCardSets: ['na-s2', 'na-s3', 'na-s4', 'na-s4-pre'] as CardSet[]", IF(R2="○", ", notExistCardSets: ['na-s2', 'na-s3', 'na-s4', 'na-s4-pre', 'na-s5'] as CardSet[]", IF(S2="○", ", notExistCardSets: ['na-s2', 'na-s3', 'na-s4', 'na-s4-pre', 'na-s5', 'na-s6', 'na-s6-2'] as CardSet[]", IF(T2="○", ", notExistCardSets: ['na-s2', 'na-s3', 'na-s4', 'na-s4-pre', 'na-s5', 'na-s6', 'na-s6-2', 'na-s7'] as CardSet[]", IF(U2="○", ", notExistCardSets: ['na-s2', 'na-s3', 'na-s4', 'na-s4-pre', 'na-s5', 'na-s6', 'na-s6-2', 'na-s7', 'na-s7-2'] as CardSet[]", ""))))))) &amp; ", tarotNo: '" &amp; L2 &amp; "'},"</x:f>
        <x:v>'yurina': { name: 'ユリナ', nameZh: '摇波', nameZhG1: '摇波', nameKo: '유리나', nameEn: 'Yurina', symbol: '刀', symbolZh: '刀', symbolZhG1: '刀', symbolKo: '도', symbolEn: 'Katana', tarotNo: '01'},</x:v>
      </x:c>
      <x:c r="W2" s="5"/>
      <x:c r="X2" s="5"/>
      <x:c r="Y2" s="5"/>
      <x:c r="Z2" s="5"/>
      <x:c r="AA2" s="5"/>
      <x:c r="AB2" s="5"/>
      <x:c r="AC2" s="5"/>
      <x:c r="AD2" s="5"/>
      <x:c r="AE2" s="5"/>
      <x:c r="AF2" s="5"/>
      <x:c r="AG2" s="5"/>
      <x:c r="AH2" s="5"/>
    </x:row>
    <x:row r="3" ht="12" hidden="0" customHeight="1">
      <x:c r="A3" s="2" t="s">
        <x:v>68</x:v>
      </x:c>
      <x:c r="B3" s="2" t="s">
        <x:v>69</x:v>
      </x:c>
      <x:c r="C3" s="2" t="s">
        <x:v>70</x:v>
      </x:c>
      <x:c r="D3" s="2" t="s">
        <x:v>70</x:v>
      </x:c>
      <x:c r="E3" s="2" t="s">
        <x:v>71</x:v>
      </x:c>
      <x:c r="F3" s="2" t="s">
        <x:v>72</x:v>
      </x:c>
      <x:c r="G3" s="2" t="s">
        <x:v>73</x:v>
      </x:c>
      <x:c r="H3" s="2" t="s">
        <x:v>73</x:v>
      </x:c>
      <x:c r="I3" s="7" t="s">
        <x:v>73</x:v>
      </x:c>
      <x:c r="J3" s="2" t="s">
        <x:v>74</x:v>
      </x:c>
      <x:c r="K3" s="2" t="s">
        <x:v>75</x:v>
      </x:c>
      <x:c r="L3" s="2" t="s">
        <x:v>67</x:v>
      </x:c>
      <x:c r="M3" s="2" t="s">
        <x:v>59</x:v>
      </x:c>
      <x:c r="N3" s="2" t="s">
        <x:v>76</x:v>
      </x:c>
      <x:c r="O3" s="2"/>
      <x:c r="P3" s="2"/>
      <x:c r="Q3" s="2"/>
      <x:c r="R3" s="2"/>
      <x:c r="S3" s="2"/>
      <x:c r="T3" s="2"/>
      <x:c r="U3" s="2"/>
      <x:c r="V3" s="69" t="str">
        <x:f aca="0">"'"&amp;A3&amp;"': { name: '"&amp;B3&amp;"', nameZh: '"&amp;C3&amp;"', nameZhG2: '"&amp;D3&amp;"', nameKo: '"&amp;E3&amp;"', nameEn: '"&amp;F3&amp;"', symbol: '"&amp;G3&amp;"', symbolZh: '"&amp;H3&amp;"', symbolZhG2: '"&amp;I3&amp;"', symbolKo: '"&amp;J3&amp;"', symbolEn: '"&amp;K3&amp;"'"&amp;IF(N3&lt;&gt;"",", base: '"&amp;M3&amp;"', anotherID: '"&amp;N3&amp;"'","")&amp;IF(O3="○", ", notExistCardSets: ['na-s2'] as CardSet[]", IF(P3="○", ", notExistCardSets: ['na-s2', 'na-s3'] as CardSet[]", IF(Q3="○", ", notExistCardSets: ['na-s2', 'na-s3', 'na-s4', 'na-s4-pre'] as CardSet[]", IF(R3="○", ", notExistCardSets: ['na-s2', 'na-s3', 'na-s4', 'na-s4-pre', 'na-s5'] as CardSet[]", IF(S3="○", ", notExistCardSets: ['na-s2', 'na-s3', 'na-s4', 'na-s4-pre', 'na-s5', 'na-s6', 'na-s6-2'] as CardSet[]", IF(T3="○", ", notExistCardSets: ['na-s2', 'na-s3', 'na-s4', 'na-s4-pre', 'na-s5', 'na-s6', 'na-s6-2', 'na-s7'] as CardSet[]", IF(U3="○", ", notExistCardSets: ['na-s2', 'na-s3', 'na-s4', 'na-s4-pre', 'na-s5', 'na-s6', 'na-s6-2', 'na-s7', 'na-s7-2'] as CardSet[]", ""))))))) &amp; ", tarotNo: '" &amp; L3 &amp; "'},"</x:f>
        <x:v>'yurina-a1': { name: '第一章ユリナ', nameZh: '第一章摇波', nameZhG2: '第一章摇波', nameKo: '제1장 유리나', nameEn: 'First Chapter Yurina', symbol: '古刀', symbolZh: '古刀', symbolZhG2: '古刀', symbolKo: '고도', symbolEn: 'Kotō', base: 'yurina', anotherID: 'A1', tarotNo: '01'},</x:v>
      </x:c>
      <x:c r="W3" s="5"/>
      <x:c r="X3" s="5"/>
      <x:c r="Y3" s="5"/>
      <x:c r="Z3" s="5"/>
      <x:c r="AA3" s="5"/>
      <x:c r="AB3" s="5"/>
      <x:c r="AC3" s="5"/>
      <x:c r="AD3" s="5"/>
      <x:c r="AE3" s="5"/>
      <x:c r="AF3" s="5"/>
      <x:c r="AG3" s="5"/>
      <x:c r="AH3" s="5"/>
    </x:row>
    <x:row r="4" ht="12" hidden="0" customHeight="1">
      <x:c r="A4" s="2" t="s">
        <x:v>77</x:v>
      </x:c>
      <x:c r="B4" s="2" t="s">
        <x:v>78</x:v>
      </x:c>
      <x:c r="C4" s="422" t="s">
        <x:v>79</x:v>
      </x:c>
      <x:c r="D4" s="422" t="s">
        <x:v>79</x:v>
      </x:c>
      <x:c r="E4" s="423" t="s">
        <x:v>80</x:v>
      </x:c>
      <x:c r="F4" s="424" t="s">
        <x:v>81</x:v>
      </x:c>
      <x:c r="G4" s="2" t="s">
        <x:v>82</x:v>
      </x:c>
      <x:c r="H4" s="422" t="s">
        <x:v>82</x:v>
      </x:c>
      <x:c r="I4" s="422" t="s">
        <x:v>82</x:v>
      </x:c>
      <x:c r="J4" s="423" t="s">
        <x:v>83</x:v>
      </x:c>
      <x:c r="K4" s="424" t="s">
        <x:v>84</x:v>
      </x:c>
      <x:c r="L4" s="2" t="s">
        <x:v>67</x:v>
      </x:c>
      <x:c r="M4" s="2" t="s">
        <x:v>59</x:v>
      </x:c>
      <x:c r="N4" s="2" t="s">
        <x:v>85</x:v>
      </x:c>
      <x:c r="O4" s="2"/>
      <x:c r="P4" s="2"/>
      <x:c r="Q4" s="2"/>
      <x:c r="R4" s="2"/>
      <x:c r="S4" s="2"/>
      <x:c r="T4" s="2" t="s">
        <x:v>86</x:v>
      </x:c>
      <x:c r="U4" s="2"/>
      <x:c r="V4" s="69" t="str">
        <x:f aca="0">"'"&amp;A4&amp;"': { name: '"&amp;B4&amp;"', nameZh: '"&amp;C4&amp;"', nameZhG3: '"&amp;D4&amp;"', nameKo: '"&amp;E4&amp;"', nameEn: '"&amp;F4&amp;"', symbol: '"&amp;G4&amp;"', symbolZh: '"&amp;H4&amp;"', symbolZhG3: '"&amp;I4&amp;"', symbolKo: '"&amp;J4&amp;"', symbolEn: '"&amp;K4&amp;"'"&amp;IF(N4&lt;&gt;"",", base: '"&amp;M4&amp;"', anotherID: '"&amp;N4&amp;"'","")&amp;IF(O4="○", ", notExistCardSets: ['na-s2'] as CardSet[]", IF(P4="○", ", notExistCardSets: ['na-s2', 'na-s3'] as CardSet[]", IF(Q4="○", ", notExistCardSets: ['na-s2', 'na-s3', 'na-s4', 'na-s4-pre'] as CardSet[]", IF(R4="○", ", notExistCardSets: ['na-s2', 'na-s3', 'na-s4', 'na-s4-pre', 'na-s5'] as CardSet[]", IF(S4="○", ", notExistCardSets: ['na-s2', 'na-s3', 'na-s4', 'na-s4-pre', 'na-s5', 'na-s6', 'na-s6-2'] as CardSet[]", IF(T4="○", ", notExistCardSets: ['na-s2', 'na-s3', 'na-s4', 'na-s4-pre', 'na-s5', 'na-s6', 'na-s6-2', 'na-s7'] as CardSet[]", IF(U4="○", ", notExistCardSets: ['na-s2', 'na-s3', 'na-s4', 'na-s4-pre', 'na-s5', 'na-s6', 'na-s6-2', 'na-s7', 'na-s7-2'] as CardSet[]", ""))))))) &amp; ", tarotNo: '" &amp; L4 &amp; "'},"</x:f>
        <x:v>'yurina-a2': { name: '調停者ユリナ', nameZh: '调停者摇波', nameZhG3: '调停者摇波', nameKo: '조정자 유리나', nameEn: 'Arbitrator Yurina', symbol: '心', symbolZh: '心', symbolZhG3: '心', symbolKo: '마음', symbolEn: 'Heart', base: 'yurina', anotherID: 'A2', notExistCardSets: ['na-s2', 'na-s3', 'na-s4', 'na-s4-pre', 'na-s5', 'na-s6', 'na-s6-2', 'na-s7'] as CardSet[], tarotNo: '01'},</x:v>
      </x:c>
      <x:c r="W4" s="5"/>
      <x:c r="X4" s="5"/>
      <x:c r="Y4" s="5"/>
      <x:c r="Z4" s="5"/>
      <x:c r="AA4" s="5"/>
      <x:c r="AB4" s="5"/>
      <x:c r="AC4" s="5"/>
      <x:c r="AD4" s="5"/>
      <x:c r="AE4" s="5"/>
      <x:c r="AF4" s="5"/>
      <x:c r="AG4" s="5"/>
      <x:c r="AH4" s="5"/>
    </x:row>
    <x:row r="5" ht="12" hidden="0" customHeight="1">
      <x:c r="A5" s="2" t="s">
        <x:v>87</x:v>
      </x:c>
      <x:c r="B5" s="2" t="s">
        <x:v>88</x:v>
      </x:c>
      <x:c r="C5" s="2" t="s">
        <x:v>89</x:v>
      </x:c>
      <x:c r="D5" s="2" t="s">
        <x:v>89</x:v>
      </x:c>
      <x:c r="E5" s="2" t="s">
        <x:v>90</x:v>
      </x:c>
      <x:c r="F5" s="2" t="s">
        <x:v>91</x:v>
      </x:c>
      <x:c r="G5" s="2" t="s">
        <x:v>92</x:v>
      </x:c>
      <x:c r="H5" s="2" t="s">
        <x:v>92</x:v>
      </x:c>
      <x:c r="I5" s="7" t="s">
        <x:v>92</x:v>
      </x:c>
      <x:c r="J5" s="2" t="s">
        <x:v>93</x:v>
      </x:c>
      <x:c r="K5" s="2" t="s">
        <x:v>94</x:v>
      </x:c>
      <x:c r="L5" s="2" t="s">
        <x:v>95</x:v>
      </x:c>
      <x:c r="M5" s="2"/>
      <x:c r="N5" s="15"/>
      <x:c r="O5" s="15"/>
      <x:c r="P5" s="15"/>
      <x:c r="Q5" s="15"/>
      <x:c r="R5" s="2"/>
      <x:c r="S5" s="2"/>
      <x:c r="T5" s="2"/>
      <x:c r="U5" s="2"/>
      <x:c r="V5" s="69" t="str">
        <x:f aca="0">"'"&amp;A5&amp;"': { name: '"&amp;B5&amp;"', nameZh: '"&amp;C5&amp;"', nameZhG4: '"&amp;D5&amp;"', nameKo: '"&amp;E5&amp;"', nameEn: '"&amp;F5&amp;"', symbol: '"&amp;G5&amp;"', symbolZh: '"&amp;H5&amp;"', symbolZhG4: '"&amp;I5&amp;"', symbolKo: '"&amp;J5&amp;"', symbolEn: '"&amp;K5&amp;"'"&amp;IF(N5&lt;&gt;"",", base: '"&amp;M5&amp;"', anotherID: '"&amp;N5&amp;"'","")&amp;IF(O5="○", ", notExistCardSets: ['na-s2'] as CardSet[]", IF(P5="○", ", notExistCardSets: ['na-s2', 'na-s3'] as CardSet[]", IF(Q5="○", ", notExistCardSets: ['na-s2', 'na-s3', 'na-s4', 'na-s4-pre'] as CardSet[]", IF(R5="○", ", notExistCardSets: ['na-s2', 'na-s3', 'na-s4', 'na-s4-pre', 'na-s5'] as CardSet[]", IF(S5="○", ", notExistCardSets: ['na-s2', 'na-s3', 'na-s4', 'na-s4-pre', 'na-s5', 'na-s6', 'na-s6-2'] as CardSet[]", IF(T5="○", ", notExistCardSets: ['na-s2', 'na-s3', 'na-s4', 'na-s4-pre', 'na-s5', 'na-s6', 'na-s6-2', 'na-s7'] as CardSet[]", IF(U5="○", ", notExistCardSets: ['na-s2', 'na-s3', 'na-s4', 'na-s4-pre', 'na-s5', 'na-s6', 'na-s6-2', 'na-s7', 'na-s7-2'] as CardSet[]", ""))))))) &amp; ", tarotNo: '" &amp; L5 &amp; "'},"</x:f>
        <x:v>'saine': { name: 'サイネ', nameZh: '细音', nameZhG4: '细音', nameKo: '사이네', nameEn: 'Saine', symbol: '薙刀', symbolZh: '薙刀', symbolZhG4: '薙刀', symbolKo: '장도', symbolEn: 'Naginata', tarotNo: '02'},</x:v>
      </x:c>
      <x:c r="W5" s="5"/>
      <x:c r="X5" s="5"/>
      <x:c r="Y5" s="5"/>
      <x:c r="Z5" s="5"/>
      <x:c r="AA5" s="5"/>
      <x:c r="AB5" s="5"/>
      <x:c r="AC5" s="5"/>
      <x:c r="AD5" s="5"/>
      <x:c r="AE5" s="5"/>
      <x:c r="AF5" s="5"/>
      <x:c r="AG5" s="5"/>
      <x:c r="AH5" s="5"/>
    </x:row>
    <x:row r="6" ht="12" hidden="0" customHeight="1">
      <x:c r="A6" s="2" t="s">
        <x:v>96</x:v>
      </x:c>
      <x:c r="B6" s="2" t="s">
        <x:v>97</x:v>
      </x:c>
      <x:c r="C6" s="2" t="s">
        <x:v>98</x:v>
      </x:c>
      <x:c r="D6" s="2" t="s">
        <x:v>98</x:v>
      </x:c>
      <x:c r="E6" s="2" t="s">
        <x:v>99</x:v>
      </x:c>
      <x:c r="F6" s="2" t="s">
        <x:v>100</x:v>
      </x:c>
      <x:c r="G6" s="2" t="s">
        <x:v>101</x:v>
      </x:c>
      <x:c r="H6" s="2" t="s">
        <x:v>101</x:v>
      </x:c>
      <x:c r="I6" s="7" t="s">
        <x:v>101</x:v>
      </x:c>
      <x:c r="J6" s="2" t="s">
        <x:v>102</x:v>
      </x:c>
      <x:c r="K6" s="2" t="s">
        <x:v>103</x:v>
      </x:c>
      <x:c r="L6" s="2" t="s">
        <x:v>95</x:v>
      </x:c>
      <x:c r="M6" s="2" t="s">
        <x:v>87</x:v>
      </x:c>
      <x:c r="N6" s="2" t="s">
        <x:v>76</x:v>
      </x:c>
      <x:c r="O6" s="2"/>
      <x:c r="P6" s="2"/>
      <x:c r="Q6" s="2"/>
      <x:c r="R6" s="2"/>
      <x:c r="S6" s="2"/>
      <x:c r="T6" s="2"/>
      <x:c r="U6" s="2"/>
      <x:c r="V6" s="69" t="str">
        <x:f aca="0">"'"&amp;A6&amp;"': { name: '"&amp;B6&amp;"', nameZh: '"&amp;C6&amp;"', nameZhG5: '"&amp;D6&amp;"', nameKo: '"&amp;E6&amp;"', nameEn: '"&amp;F6&amp;"', symbol: '"&amp;G6&amp;"', symbolZh: '"&amp;H6&amp;"', symbolZhG5: '"&amp;I6&amp;"', symbolKo: '"&amp;J6&amp;"', symbolEn: '"&amp;K6&amp;"'"&amp;IF(N6&lt;&gt;"",", base: '"&amp;M6&amp;"', anotherID: '"&amp;N6&amp;"'","")&amp;IF(O6="○", ", notExistCardSets: ['na-s2'] as CardSet[]", IF(P6="○", ", notExistCardSets: ['na-s2', 'na-s3'] as CardSet[]", IF(Q6="○", ", notExistCardSets: ['na-s2', 'na-s3', 'na-s4', 'na-s4-pre'] as CardSet[]", IF(R6="○", ", notExistCardSets: ['na-s2', 'na-s3', 'na-s4', 'na-s4-pre', 'na-s5'] as CardSet[]", IF(S6="○", ", notExistCardSets: ['na-s2', 'na-s3', 'na-s4', 'na-s4-pre', 'na-s5', 'na-s6', 'na-s6-2'] as CardSet[]", IF(T6="○", ", notExistCardSets: ['na-s2', 'na-s3', 'na-s4', 'na-s4-pre', 'na-s5', 'na-s6', 'na-s6-2', 'na-s7'] as CardSet[]", IF(U6="○", ", notExistCardSets: ['na-s2', 'na-s3', 'na-s4', 'na-s4-pre', 'na-s5', 'na-s6', 'na-s6-2', 'na-s7', 'na-s7-2'] as CardSet[]", ""))))))) &amp; ", tarotNo: '" &amp; L6 &amp; "'},"</x:f>
        <x:v>'saine-a1': { name: '第二章サイネ', nameZh: '第二章细音', nameZhG5: '第二章细音', nameKo: '제2장 사이네', nameEn: 'Second Chapter Saine', symbol: '琵琶', symbolZh: '琵琶', symbolZhG5: '琵琶', symbolKo: '비파', symbolEn: 'Biwa', base: 'saine', anotherID: 'A1', tarotNo: '02'},</x:v>
      </x:c>
      <x:c r="W6" s="5"/>
      <x:c r="X6" s="5"/>
      <x:c r="Y6" s="5"/>
      <x:c r="Z6" s="5"/>
      <x:c r="AA6" s="5"/>
      <x:c r="AB6" s="5"/>
      <x:c r="AC6" s="5"/>
      <x:c r="AD6" s="5"/>
      <x:c r="AE6" s="5"/>
      <x:c r="AF6" s="5"/>
      <x:c r="AG6" s="5"/>
      <x:c r="AH6" s="5"/>
    </x:row>
    <x:row r="7" ht="12" hidden="0" customHeight="1">
      <x:c r="A7" s="2" t="s">
        <x:v>104</x:v>
      </x:c>
      <x:c r="B7" s="2" t="s">
        <x:v>105</x:v>
      </x:c>
      <x:c r="C7" s="2" t="s">
        <x:v>106</x:v>
      </x:c>
      <x:c r="D7" s="2" t="s">
        <x:v>106</x:v>
      </x:c>
      <x:c r="E7" s="2" t="s">
        <x:v>107</x:v>
      </x:c>
      <x:c r="F7" s="7" t="s">
        <x:v>108</x:v>
      </x:c>
      <x:c r="G7" s="2" t="s">
        <x:v>109</x:v>
      </x:c>
      <x:c r="H7" s="2" t="s">
        <x:v>110</x:v>
      </x:c>
      <x:c r="I7" s="7" t="s">
        <x:v>110</x:v>
      </x:c>
      <x:c r="J7" s="2" t="s">
        <x:v>111</x:v>
      </x:c>
      <x:c r="K7" s="7" t="s">
        <x:v>112</x:v>
      </x:c>
      <x:c r="L7" s="2" t="s">
        <x:v>95</x:v>
      </x:c>
      <x:c r="M7" s="2" t="s">
        <x:v>87</x:v>
      </x:c>
      <x:c r="N7" s="2" t="s">
        <x:v>85</x:v>
      </x:c>
      <x:c r="O7" s="2"/>
      <x:c r="P7" s="2" t="s">
        <x:v>86</x:v>
      </x:c>
      <x:c r="Q7" s="2"/>
      <x:c r="R7" s="2"/>
      <x:c r="S7" s="2"/>
      <x:c r="T7" s="2"/>
      <x:c r="U7" s="2"/>
      <x:c r="V7" s="69" t="str">
        <x:f aca="0">"'"&amp;A7&amp;"': { name: '"&amp;B7&amp;"', nameZh: '"&amp;C7&amp;"', nameZhG6: '"&amp;D7&amp;"', nameKo: '"&amp;E7&amp;"', nameEn: '"&amp;F7&amp;"', symbol: '"&amp;G7&amp;"', symbolZh: '"&amp;H7&amp;"', symbolZhG6: '"&amp;I7&amp;"', symbolKo: '"&amp;J7&amp;"', symbolEn: '"&amp;K7&amp;"'"&amp;IF(N7&lt;&gt;"",", base: '"&amp;M7&amp;"', anotherID: '"&amp;N7&amp;"'","")&amp;IF(O7="○", ", notExistCardSets: ['na-s2'] as CardSet[]", IF(P7="○", ", notExistCardSets: ['na-s2', 'na-s3'] as CardSet[]", IF(Q7="○", ", notExistCardSets: ['na-s2', 'na-s3', 'na-s4', 'na-s4-pre'] as CardSet[]", IF(R7="○", ", notExistCardSets: ['na-s2', 'na-s3', 'na-s4', 'na-s4-pre', 'na-s5'] as CardSet[]", IF(S7="○", ", notExistCardSets: ['na-s2', 'na-s3', 'na-s4', 'na-s4-pre', 'na-s5', 'na-s6', 'na-s6-2'] as CardSet[]", IF(T7="○", ", notExistCardSets: ['na-s2', 'na-s3', 'na-s4', 'na-s4-pre', 'na-s5', 'na-s6', 'na-s6-2', 'na-s7'] as CardSet[]", IF(U7="○", ", notExistCardSets: ['na-s2', 'na-s3', 'na-s4', 'na-s4-pre', 'na-s5', 'na-s6', 'na-s6-2', 'na-s7', 'na-s7-2'] as CardSet[]", ""))))))) &amp; ", tarotNo: '" &amp; L7 &amp; "'},"</x:f>
        <x:v>'saine-a2': { name: '徒神サイネ', nameZh: '徒神细音', nameZhG6: '徒神细音', nameKo: '허무신 사이네', nameEn: 'Adagami Saine', symbol: '拒絶', symbolZh: '拒绝', symbolZhG6: '拒绝', symbolKo: '거절', symbolEn: 'Refuse', base: 'saine', anotherID: 'A2', notExistCardSets: ['na-s2', 'na-s3'] as CardSet[], tarotNo: '02'},</x:v>
      </x:c>
      <x:c r="W7" s="5"/>
      <x:c r="X7" s="5"/>
      <x:c r="Y7" s="5"/>
      <x:c r="Z7" s="5"/>
      <x:c r="AA7" s="5"/>
      <x:c r="AB7" s="5"/>
      <x:c r="AC7" s="5"/>
      <x:c r="AD7" s="5"/>
      <x:c r="AE7" s="5"/>
      <x:c r="AF7" s="5"/>
      <x:c r="AG7" s="5"/>
      <x:c r="AH7" s="5"/>
    </x:row>
    <x:row r="8" ht="12" hidden="0" customHeight="1">
      <x:c r="A8" s="2" t="s">
        <x:v>113</x:v>
      </x:c>
      <x:c r="B8" s="2" t="s">
        <x:v>114</x:v>
      </x:c>
      <x:c r="C8" s="2" t="s">
        <x:v>115</x:v>
      </x:c>
      <x:c r="D8" s="2" t="s">
        <x:v>115</x:v>
      </x:c>
      <x:c r="E8" s="2" t="s">
        <x:v>116</x:v>
      </x:c>
      <x:c r="F8" s="2" t="s">
        <x:v>117</x:v>
      </x:c>
      <x:c r="G8" s="2" t="s">
        <x:v>118</x:v>
      </x:c>
      <x:c r="H8" s="2" t="s">
        <x:v>119</x:v>
      </x:c>
      <x:c r="I8" s="7" t="s">
        <x:v>120</x:v>
      </x:c>
      <x:c r="J8" s="2" t="s">
        <x:v>121</x:v>
      </x:c>
      <x:c r="K8" s="2" t="s">
        <x:v>122</x:v>
      </x:c>
      <x:c r="L8" s="2" t="s">
        <x:v>123</x:v>
      </x:c>
      <x:c r="M8" s="2"/>
      <x:c r="N8" s="2"/>
      <x:c r="O8" s="2"/>
      <x:c r="P8" s="2"/>
      <x:c r="Q8" s="2"/>
      <x:c r="R8" s="2"/>
      <x:c r="S8" s="2"/>
      <x:c r="T8" s="2"/>
      <x:c r="U8" s="2"/>
      <x:c r="V8" s="69" t="str">
        <x:f aca="0">"'"&amp;A8&amp;"': { name: '"&amp;B8&amp;"', nameZh: '"&amp;C8&amp;"', nameZhG7: '"&amp;D8&amp;"', nameKo: '"&amp;E8&amp;"', nameEn: '"&amp;F8&amp;"', symbol: '"&amp;G8&amp;"', symbolZh: '"&amp;H8&amp;"', symbolZhG7: '"&amp;I8&amp;"', symbolKo: '"&amp;J8&amp;"', symbolEn: '"&amp;K8&amp;"'"&amp;IF(N8&lt;&gt;"",", base: '"&amp;M8&amp;"', anotherID: '"&amp;N8&amp;"'","")&amp;IF(O8="○", ", notExistCardSets: ['na-s2'] as CardSet[]", IF(P8="○", ", notExistCardSets: ['na-s2', 'na-s3'] as CardSet[]", IF(Q8="○", ", notExistCardSets: ['na-s2', 'na-s3', 'na-s4', 'na-s4-pre'] as CardSet[]", IF(R8="○", ", notExistCardSets: ['na-s2', 'na-s3', 'na-s4', 'na-s4-pre', 'na-s5'] as CardSet[]", IF(S8="○", ", notExistCardSets: ['na-s2', 'na-s3', 'na-s4', 'na-s4-pre', 'na-s5', 'na-s6', 'na-s6-2'] as CardSet[]", IF(T8="○", ", notExistCardSets: ['na-s2', 'na-s3', 'na-s4', 'na-s4-pre', 'na-s5', 'na-s6', 'na-s6-2', 'na-s7'] as CardSet[]", IF(U8="○", ", notExistCardSets: ['na-s2', 'na-s3', 'na-s4', 'na-s4-pre', 'na-s5', 'na-s6', 'na-s6-2', 'na-s7', 'na-s7-2'] as CardSet[]", ""))))))) &amp; ", tarotNo: '" &amp; L8 &amp; "'},"</x:f>
        <x:v>'himika': { name: 'ヒミカ', nameZh: '绯弥香', nameZhG7: '绯弥香', nameKo: '히미카', nameEn: 'Himika', symbol: '銃', symbolZh: '铳', symbolZhG7: '火枪', symbolKo: '총', symbolEn: 'Arquebus', tarotNo: '03'},</x:v>
      </x:c>
      <x:c r="W8" s="5"/>
      <x:c r="X8" s="5"/>
      <x:c r="Y8" s="5"/>
      <x:c r="Z8" s="5"/>
      <x:c r="AA8" s="5"/>
      <x:c r="AB8" s="5"/>
      <x:c r="AC8" s="5"/>
      <x:c r="AD8" s="5"/>
      <x:c r="AE8" s="5"/>
      <x:c r="AF8" s="5"/>
      <x:c r="AG8" s="5"/>
      <x:c r="AH8" s="5"/>
    </x:row>
    <x:row r="9" ht="12" hidden="0" customHeight="1">
      <x:c r="A9" s="2" t="s">
        <x:v>124</x:v>
      </x:c>
      <x:c r="B9" s="2" t="s">
        <x:v>125</x:v>
      </x:c>
      <x:c r="C9" s="2" t="s">
        <x:v>126</x:v>
      </x:c>
      <x:c r="D9" s="2" t="s">
        <x:v>126</x:v>
      </x:c>
      <x:c r="E9" s="2" t="s">
        <x:v>127</x:v>
      </x:c>
      <x:c r="F9" s="2" t="s">
        <x:v>128</x:v>
      </x:c>
      <x:c r="G9" s="2" t="s">
        <x:v>129</x:v>
      </x:c>
      <x:c r="H9" s="2" t="s">
        <x:v>129</x:v>
      </x:c>
      <x:c r="I9" s="7" t="s">
        <x:v>129</x:v>
      </x:c>
      <x:c r="J9" s="2" t="s">
        <x:v>130</x:v>
      </x:c>
      <x:c r="K9" s="2" t="s">
        <x:v>131</x:v>
      </x:c>
      <x:c r="L9" s="2" t="s">
        <x:v>123</x:v>
      </x:c>
      <x:c r="M9" s="2" t="s">
        <x:v>113</x:v>
      </x:c>
      <x:c r="N9" s="2" t="s">
        <x:v>76</x:v>
      </x:c>
      <x:c r="O9" s="2"/>
      <x:c r="P9" s="2"/>
      <x:c r="Q9" s="2"/>
      <x:c r="R9" s="2"/>
      <x:c r="S9" s="2"/>
      <x:c r="T9" s="2"/>
      <x:c r="U9" s="2"/>
      <x:c r="V9" s="69" t="str">
        <x:f aca="0">"'"&amp;A9&amp;"': { name: '"&amp;B9&amp;"', nameZh: '"&amp;C9&amp;"', nameZhG8: '"&amp;D9&amp;"', nameKo: '"&amp;E9&amp;"', nameEn: '"&amp;F9&amp;"', symbol: '"&amp;G9&amp;"', symbolZh: '"&amp;H9&amp;"', symbolZhG8: '"&amp;I9&amp;"', symbolKo: '"&amp;J9&amp;"', symbolEn: '"&amp;K9&amp;"'"&amp;IF(N9&lt;&gt;"",", base: '"&amp;M9&amp;"', anotherID: '"&amp;N9&amp;"'","")&amp;IF(O9="○", ", notExistCardSets: ['na-s2'] as CardSet[]", IF(P9="○", ", notExistCardSets: ['na-s2', 'na-s3'] as CardSet[]", IF(Q9="○", ", notExistCardSets: ['na-s2', 'na-s3', 'na-s4', 'na-s4-pre'] as CardSet[]", IF(R9="○", ", notExistCardSets: ['na-s2', 'na-s3', 'na-s4', 'na-s4-pre', 'na-s5'] as CardSet[]", IF(S9="○", ", notExistCardSets: ['na-s2', 'na-s3', 'na-s4', 'na-s4-pre', 'na-s5', 'na-s6', 'na-s6-2'] as CardSet[]", IF(T9="○", ", notExistCardSets: ['na-s2', 'na-s3', 'na-s4', 'na-s4-pre', 'na-s5', 'na-s6', 'na-s6-2', 'na-s7'] as CardSet[]", IF(U9="○", ", notExistCardSets: ['na-s2', 'na-s3', 'na-s4', 'na-s4-pre', 'na-s5', 'na-s6', 'na-s6-2', 'na-s7', 'na-s7-2'] as CardSet[]", ""))))))) &amp; ", tarotNo: '" &amp; L9 &amp; "'},"</x:f>
        <x:v>'himika-a1': { name: '原初ヒミカ', nameZh: '原初绯弥香', nameZhG8: '原初绯弥香', nameKo: '원초 히미카', nameEn: 'Originally Himika', symbol: '炎', symbolZh: '炎', symbolZhG8: '炎', symbolKo: '불꽃', symbolEn: 'Flame', base: 'himika', anotherID: 'A1', tarotNo: '03'},</x:v>
      </x:c>
      <x:c r="W9" s="5"/>
      <x:c r="X9" s="5"/>
      <x:c r="Y9" s="5"/>
      <x:c r="Z9" s="5"/>
      <x:c r="AA9" s="5"/>
      <x:c r="AB9" s="5"/>
      <x:c r="AC9" s="5"/>
      <x:c r="AD9" s="5"/>
      <x:c r="AE9" s="5"/>
      <x:c r="AF9" s="5"/>
      <x:c r="AG9" s="5"/>
      <x:c r="AH9" s="5"/>
    </x:row>
    <x:row r="10" ht="12" hidden="0" customHeight="1">
      <x:c r="A10" s="2" t="s">
        <x:v>132</x:v>
      </x:c>
      <x:c r="B10" s="2" t="s">
        <x:v>133</x:v>
      </x:c>
      <x:c r="C10" s="2" t="s">
        <x:v>134</x:v>
      </x:c>
      <x:c r="D10" s="2" t="s">
        <x:v>134</x:v>
      </x:c>
      <x:c r="E10" s="2" t="s">
        <x:v>135</x:v>
      </x:c>
      <x:c r="F10" s="2" t="s">
        <x:v>136</x:v>
      </x:c>
      <x:c r="G10" s="2" t="s">
        <x:v>137</x:v>
      </x:c>
      <x:c r="H10" s="2" t="s">
        <x:v>137</x:v>
      </x:c>
      <x:c r="I10" s="7" t="s">
        <x:v>137</x:v>
      </x:c>
      <x:c r="J10" s="2" t="s">
        <x:v>138</x:v>
      </x:c>
      <x:c r="K10" s="2" t="s">
        <x:v>139</x:v>
      </x:c>
      <x:c r="L10" s="2" t="s">
        <x:v>140</x:v>
      </x:c>
      <x:c r="M10" s="2"/>
      <x:c r="N10" s="2"/>
      <x:c r="O10" s="2"/>
      <x:c r="P10" s="2"/>
      <x:c r="Q10" s="2"/>
      <x:c r="R10" s="2"/>
      <x:c r="S10" s="2"/>
      <x:c r="T10" s="2"/>
      <x:c r="U10" s="2"/>
      <x:c r="V10" s="69" t="str">
        <x:f aca="0">"'"&amp;A10&amp;"': { name: '"&amp;B10&amp;"', nameZh: '"&amp;C10&amp;"', nameZhG9: '"&amp;D10&amp;"', nameKo: '"&amp;E10&amp;"', nameEn: '"&amp;F10&amp;"', symbol: '"&amp;G10&amp;"', symbolZh: '"&amp;H10&amp;"', symbolZhG9: '"&amp;I10&amp;"', symbolKo: '"&amp;J10&amp;"', symbolEn: '"&amp;K10&amp;"'"&amp;IF(N10&lt;&gt;"",", base: '"&amp;M10&amp;"', anotherID: '"&amp;N10&amp;"'","")&amp;IF(O10="○", ", notExistCardSets: ['na-s2'] as CardSet[]", IF(P10="○", ", notExistCardSets: ['na-s2', 'na-s3'] as CardSet[]", IF(Q10="○", ", notExistCardSets: ['na-s2', 'na-s3', 'na-s4', 'na-s4-pre'] as CardSet[]", IF(R10="○", ", notExistCardSets: ['na-s2', 'na-s3', 'na-s4', 'na-s4-pre', 'na-s5'] as CardSet[]", IF(S10="○", ", notExistCardSets: ['na-s2', 'na-s3', 'na-s4', 'na-s4-pre', 'na-s5', 'na-s6', 'na-s6-2'] as CardSet[]", IF(T10="○", ", notExistCardSets: ['na-s2', 'na-s3', 'na-s4', 'na-s4-pre', 'na-s5', 'na-s6', 'na-s6-2', 'na-s7'] as CardSet[]", IF(U10="○", ", notExistCardSets: ['na-s2', 'na-s3', 'na-s4', 'na-s4-pre', 'na-s5', 'na-s6', 'na-s6-2', 'na-s7', 'na-s7-2'] as CardSet[]", ""))))))) &amp; ", tarotNo: '" &amp; L10 &amp; "'},"</x:f>
        <x:v>'tokoyo': { name: 'トコヨ', nameZh: '常世', nameZhG9: '常世', nameKo: '토코요', nameEn: 'Tokoyo', symbol: '扇', symbolZh: '扇', symbolZhG9: '扇', symbolKo: '부채', symbolEn: 'Fan', tarotNo: '04'},</x:v>
      </x:c>
      <x:c r="W10" s="5"/>
      <x:c r="X10" s="5"/>
      <x:c r="Y10" s="5"/>
      <x:c r="Z10" s="5"/>
      <x:c r="AA10" s="5"/>
      <x:c r="AB10" s="5"/>
      <x:c r="AC10" s="5"/>
      <x:c r="AD10" s="5"/>
      <x:c r="AE10" s="5"/>
      <x:c r="AF10" s="5"/>
      <x:c r="AG10" s="5"/>
      <x:c r="AH10" s="5"/>
    </x:row>
    <x:row r="11" ht="12" hidden="0" customHeight="1">
      <x:c r="A11" s="2" t="s">
        <x:v>141</x:v>
      </x:c>
      <x:c r="B11" s="2" t="s">
        <x:v>142</x:v>
      </x:c>
      <x:c r="C11" s="2" t="s">
        <x:v>143</x:v>
      </x:c>
      <x:c r="D11" s="2" t="s">
        <x:v>143</x:v>
      </x:c>
      <x:c r="E11" s="2" t="s">
        <x:v>144</x:v>
      </x:c>
      <x:c r="F11" s="2" t="s">
        <x:v>145</x:v>
      </x:c>
      <x:c r="G11" s="2" t="s">
        <x:v>146</x:v>
      </x:c>
      <x:c r="H11" s="2" t="s">
        <x:v>146</x:v>
      </x:c>
      <x:c r="I11" s="7" t="s">
        <x:v>146</x:v>
      </x:c>
      <x:c r="J11" s="2" t="s">
        <x:v>147</x:v>
      </x:c>
      <x:c r="K11" s="2" t="s">
        <x:v>148</x:v>
      </x:c>
      <x:c r="L11" s="2" t="s">
        <x:v>140</x:v>
      </x:c>
      <x:c r="M11" s="2" t="s">
        <x:v>132</x:v>
      </x:c>
      <x:c r="N11" s="2" t="s">
        <x:v>76</x:v>
      </x:c>
      <x:c r="O11" s="2"/>
      <x:c r="P11" s="2"/>
      <x:c r="Q11" s="2"/>
      <x:c r="R11" s="2"/>
      <x:c r="S11" s="2"/>
      <x:c r="T11" s="2"/>
      <x:c r="U11" s="2"/>
      <x:c r="V11" s="69" t="str">
        <x:f aca="0">"'"&amp;A11&amp;"': { name: '"&amp;B11&amp;"', nameZh: '"&amp;C11&amp;"', nameZhG10: '"&amp;D11&amp;"', nameKo: '"&amp;E11&amp;"', nameEn: '"&amp;F11&amp;"', symbol: '"&amp;G11&amp;"', symbolZh: '"&amp;H11&amp;"', symbolZhG10: '"&amp;I11&amp;"', symbolKo: '"&amp;J11&amp;"', symbolEn: '"&amp;K11&amp;"'"&amp;IF(N11&lt;&gt;"",", base: '"&amp;M11&amp;"', anotherID: '"&amp;N11&amp;"'","")&amp;IF(O11="○", ", notExistCardSets: ['na-s2'] as CardSet[]", IF(P11="○", ", notExistCardSets: ['na-s2', 'na-s3'] as CardSet[]", IF(Q11="○", ", notExistCardSets: ['na-s2', 'na-s3', 'na-s4', 'na-s4-pre'] as CardSet[]", IF(R11="○", ", notExistCardSets: ['na-s2', 'na-s3', 'na-s4', 'na-s4-pre', 'na-s5'] as CardSet[]", IF(S11="○", ", notExistCardSets: ['na-s2', 'na-s3', 'na-s4', 'na-s4-pre', 'na-s5', 'na-s6', 'na-s6-2'] as CardSet[]", IF(T11="○", ", notExistCardSets: ['na-s2', 'na-s3', 'na-s4', 'na-s4-pre', 'na-s5', 'na-s6', 'na-s6-2', 'na-s7'] as CardSet[]", IF(U11="○", ", notExistCardSets: ['na-s2', 'na-s3', 'na-s4', 'na-s4-pre', 'na-s5', 'na-s6', 'na-s6-2', 'na-s7', 'na-s7-2'] as CardSet[]", ""))))))) &amp; ", tarotNo: '" &amp; L11 &amp; "'},"</x:f>
        <x:v>'tokoyo-a1': { name: '旅芸人トコヨ', nameZh: '旅艺人常世', nameZhG10: '旅艺人常世', nameKo: '음유시인 토코요', nameEn: 'Bard Tokoyo', symbol: '笛', symbolZh: '笛', symbolZhG10: '笛', symbolKo: '피리', symbolEn: 'Flute', base: 'tokoyo', anotherID: 'A1', tarotNo: '04'},</x:v>
      </x:c>
      <x:c r="W11" s="5"/>
      <x:c r="X11" s="5"/>
      <x:c r="Y11" s="5"/>
      <x:c r="Z11" s="5"/>
      <x:c r="AA11" s="5"/>
      <x:c r="AB11" s="5"/>
      <x:c r="AC11" s="5"/>
      <x:c r="AD11" s="5"/>
      <x:c r="AE11" s="5"/>
      <x:c r="AF11" s="5"/>
      <x:c r="AG11" s="5"/>
      <x:c r="AH11" s="5"/>
    </x:row>
    <x:row r="12" s="63" customFormat="1" ht="12" hidden="0" customHeight="1">
      <x:c r="A12" s="2" t="s">
        <x:v>149</x:v>
      </x:c>
      <x:c r="B12" s="2" t="s">
        <x:v>150</x:v>
      </x:c>
      <x:c r="C12" s="2" t="s">
        <x:v>151</x:v>
      </x:c>
      <x:c r="D12" s="2" t="s">
        <x:v>151</x:v>
      </x:c>
      <x:c r="E12" s="425" t="s">
        <x:v>152</x:v>
      </x:c>
      <x:c r="F12" s="195" t="s">
        <x:v>153</x:v>
      </x:c>
      <x:c r="G12" s="2" t="s">
        <x:v>154</x:v>
      </x:c>
      <x:c r="H12" s="2" t="s">
        <x:v>155</x:v>
      </x:c>
      <x:c r="I12" s="2" t="s">
        <x:v>154</x:v>
      </x:c>
      <x:c r="J12" s="426" t="s">
        <x:v>156</x:v>
      </x:c>
      <x:c r="K12" s="195" t="s">
        <x:v>157</x:v>
      </x:c>
      <x:c r="L12" s="2" t="s">
        <x:v>140</x:v>
      </x:c>
      <x:c r="M12" s="2" t="s">
        <x:v>132</x:v>
      </x:c>
      <x:c r="N12" s="427" t="s">
        <x:v>85</x:v>
      </x:c>
      <x:c r="O12" s="15"/>
      <x:c r="P12" s="15"/>
      <x:c r="Q12" s="2"/>
      <x:c r="R12" s="2" t="s">
        <x:v>86</x:v>
      </x:c>
      <x:c r="S12" s="2"/>
      <x:c r="T12" s="2"/>
      <x:c r="U12" s="2"/>
      <x:c r="V12" s="69" t="str">
        <x:f aca="0">"'"&amp;A12&amp;"': { name: '"&amp;B12&amp;"', nameZh: '"&amp;C12&amp;"', nameZhG11: '"&amp;D12&amp;"', nameKo: '"&amp;E12&amp;"', nameEn: '"&amp;F12&amp;"', symbol: '"&amp;G12&amp;"', symbolZh: '"&amp;H12&amp;"', symbolZhG11: '"&amp;I12&amp;"', symbolKo: '"&amp;J12&amp;"', symbolEn: '"&amp;K12&amp;"'"&amp;IF(N12&lt;&gt;"",", base: '"&amp;M12&amp;"', anotherID: '"&amp;N12&amp;"'","")&amp;IF(O12="○", ", notExistCardSets: ['na-s2'] as CardSet[]", IF(P12="○", ", notExistCardSets: ['na-s2', 'na-s3'] as CardSet[]", IF(Q12="○", ", notExistCardSets: ['na-s2', 'na-s3', 'na-s4', 'na-s4-pre'] as CardSet[]", IF(R12="○", ", notExistCardSets: ['na-s2', 'na-s3', 'na-s4', 'na-s4-pre', 'na-s5'] as CardSet[]", IF(S12="○", ", notExistCardSets: ['na-s2', 'na-s3', 'na-s4', 'na-s4-pre', 'na-s5', 'na-s6', 'na-s6-2'] as CardSet[]", IF(T12="○", ", notExistCardSets: ['na-s2', 'na-s3', 'na-s4', 'na-s4-pre', 'na-s5', 'na-s6', 'na-s6-2', 'na-s7'] as CardSet[]", IF(U12="○", ", notExistCardSets: ['na-s2', 'na-s3', 'na-s4', 'na-s4-pre', 'na-s5', 'na-s6', 'na-s6-2', 'na-s7', 'na-s7-2'] as CardSet[]", ""))))))) &amp; ", tarotNo: '" &amp; L12 &amp; "'},"</x:f>
        <x:v>'tokoyo-a2': { name: '徒神トコヨ', nameZh: '徒神常世', nameZhG11: '徒神常世', nameKo: '허무신 토코요', nameEn: 'Adagami Tokoyo', symbol: '恐怖', symbolZh: '恐惧', symbolZhG11: '恐怖', symbolKo: '공포', symbolEn: 'Fear', base: 'tokoyo', anotherID: 'A2', notExistCardSets: ['na-s2', 'na-s3', 'na-s4', 'na-s4-pre', 'na-s5'] as CardSet[], tarotNo: '04'},</x:v>
      </x:c>
      <x:c r="W12" s="5"/>
      <x:c r="X12" s="5"/>
      <x:c r="Y12" s="5"/>
      <x:c r="Z12" s="5"/>
      <x:c r="AA12" s="5"/>
      <x:c r="AB12" s="5"/>
      <x:c r="AC12" s="5"/>
      <x:c r="AD12" s="5"/>
      <x:c r="AE12" s="5"/>
      <x:c r="AF12" s="5"/>
      <x:c r="AG12" s="5"/>
      <x:c r="AH12" s="5"/>
    </x:row>
    <x:row r="13" ht="12" hidden="0" customHeight="1">
      <x:c r="A13" s="2" t="s">
        <x:v>158</x:v>
      </x:c>
      <x:c r="B13" s="2" t="s">
        <x:v>159</x:v>
      </x:c>
      <x:c r="C13" s="2" t="s">
        <x:v>160</x:v>
      </x:c>
      <x:c r="D13" s="2" t="s">
        <x:v>160</x:v>
      </x:c>
      <x:c r="E13" s="2" t="s">
        <x:v>161</x:v>
      </x:c>
      <x:c r="F13" s="2" t="s">
        <x:v>162</x:v>
      </x:c>
      <x:c r="G13" s="2" t="s">
        <x:v>163</x:v>
      </x:c>
      <x:c r="H13" s="2" t="s">
        <x:v>163</x:v>
      </x:c>
      <x:c r="I13" s="7" t="s">
        <x:v>163</x:v>
      </x:c>
      <x:c r="J13" s="2" t="s">
        <x:v>164</x:v>
      </x:c>
      <x:c r="K13" s="2" t="s">
        <x:v>165</x:v>
      </x:c>
      <x:c r="L13" s="2" t="s">
        <x:v>166</x:v>
      </x:c>
      <x:c r="M13" s="2"/>
      <x:c r="N13" s="2"/>
      <x:c r="O13" s="2"/>
      <x:c r="P13" s="2"/>
      <x:c r="Q13" s="2"/>
      <x:c r="R13" s="2"/>
      <x:c r="S13" s="2"/>
      <x:c r="T13" s="2"/>
      <x:c r="U13" s="2"/>
      <x:c r="V13" s="69" t="str">
        <x:f aca="0">"'"&amp;A13&amp;"': { name: '"&amp;B13&amp;"', nameZh: '"&amp;C13&amp;"', nameZhG12: '"&amp;D13&amp;"', nameKo: '"&amp;E13&amp;"', nameEn: '"&amp;F13&amp;"', symbol: '"&amp;G13&amp;"', symbolZh: '"&amp;H13&amp;"', symbolZhG12: '"&amp;I13&amp;"', symbolKo: '"&amp;J13&amp;"', symbolEn: '"&amp;K13&amp;"'"&amp;IF(N13&lt;&gt;"",", base: '"&amp;M13&amp;"', anotherID: '"&amp;N13&amp;"'","")&amp;IF(O13="○", ", notExistCardSets: ['na-s2'] as CardSet[]", IF(P13="○", ", notExistCardSets: ['na-s2', 'na-s3'] as CardSet[]", IF(Q13="○", ", notExistCardSets: ['na-s2', 'na-s3', 'na-s4', 'na-s4-pre'] as CardSet[]", IF(R13="○", ", notExistCardSets: ['na-s2', 'na-s3', 'na-s4', 'na-s4-pre', 'na-s5'] as CardSet[]", IF(S13="○", ", notExistCardSets: ['na-s2', 'na-s3', 'na-s4', 'na-s4-pre', 'na-s5', 'na-s6', 'na-s6-2'] as CardSet[]", IF(T13="○", ", notExistCardSets: ['na-s2', 'na-s3', 'na-s4', 'na-s4-pre', 'na-s5', 'na-s6', 'na-s6-2', 'na-s7'] as CardSet[]", IF(U13="○", ", notExistCardSets: ['na-s2', 'na-s3', 'na-s4', 'na-s4-pre', 'na-s5', 'na-s6', 'na-s6-2', 'na-s7', 'na-s7-2'] as CardSet[]", ""))))))) &amp; ", tarotNo: '" &amp; L13 &amp; "'},"</x:f>
        <x:v>'oboro': { name: 'オボロ', nameZh: '胧', nameZhG12: '胧', nameKo: '오보로', nameEn: 'Oboro', symbol: '忍', symbolZh: '忍', symbolZhG12: '忍', symbolKo: '인술', symbolEn: 'Ninjutsu', tarotNo: '05'},</x:v>
      </x:c>
      <x:c r="W13" s="5"/>
      <x:c r="X13" s="5"/>
      <x:c r="Y13" s="5"/>
      <x:c r="Z13" s="5"/>
      <x:c r="AA13" s="5"/>
      <x:c r="AB13" s="5"/>
      <x:c r="AC13" s="5"/>
      <x:c r="AD13" s="5"/>
      <x:c r="AE13" s="5"/>
      <x:c r="AF13" s="5"/>
      <x:c r="AG13" s="5"/>
      <x:c r="AH13" s="5"/>
    </x:row>
    <x:row r="14" ht="12" hidden="0" customHeight="1">
      <x:c r="A14" s="2" t="s">
        <x:v>167</x:v>
      </x:c>
      <x:c r="B14" s="2" t="s">
        <x:v>168</x:v>
      </x:c>
      <x:c r="C14" s="2" t="s">
        <x:v>169</x:v>
      </x:c>
      <x:c r="D14" s="2" t="s">
        <x:v>169</x:v>
      </x:c>
      <x:c r="E14" s="2" t="s">
        <x:v>170</x:v>
      </x:c>
      <x:c r="F14" s="2" t="s">
        <x:v>171</x:v>
      </x:c>
      <x:c r="G14" s="2" t="s">
        <x:v>172</x:v>
      </x:c>
      <x:c r="H14" s="2" t="s">
        <x:v>173</x:v>
      </x:c>
      <x:c r="I14" s="7" t="s">
        <x:v>173</x:v>
      </x:c>
      <x:c r="J14" s="2" t="s">
        <x:v>174</x:v>
      </x:c>
      <x:c r="K14" s="2" t="s">
        <x:v>175</x:v>
      </x:c>
      <x:c r="L14" s="2" t="s">
        <x:v>166</x:v>
      </x:c>
      <x:c r="M14" s="2" t="s">
        <x:v>158</x:v>
      </x:c>
      <x:c r="N14" s="2" t="s">
        <x:v>76</x:v>
      </x:c>
      <x:c r="O14" s="2" t="s">
        <x:v>86</x:v>
      </x:c>
      <x:c r="P14" s="2"/>
      <x:c r="Q14" s="2"/>
      <x:c r="R14" s="2"/>
      <x:c r="S14" s="2"/>
      <x:c r="T14" s="2"/>
      <x:c r="U14" s="2"/>
      <x:c r="V14" s="69" t="str">
        <x:f aca="0">"'"&amp;A14&amp;"': { name: '"&amp;B14&amp;"', nameZh: '"&amp;C14&amp;"', nameZhG13: '"&amp;D14&amp;"', nameKo: '"&amp;E14&amp;"', nameEn: '"&amp;F14&amp;"', symbol: '"&amp;G14&amp;"', symbolZh: '"&amp;H14&amp;"', symbolZhG13: '"&amp;I14&amp;"', symbolKo: '"&amp;J14&amp;"', symbolEn: '"&amp;K14&amp;"'"&amp;IF(N14&lt;&gt;"",", base: '"&amp;M14&amp;"', anotherID: '"&amp;N14&amp;"'","")&amp;IF(O14="○", ", notExistCardSets: ['na-s2'] as CardSet[]", IF(P14="○", ", notExistCardSets: ['na-s2', 'na-s3'] as CardSet[]", IF(Q14="○", ", notExistCardSets: ['na-s2', 'na-s3', 'na-s4', 'na-s4-pre'] as CardSet[]", IF(R14="○", ", notExistCardSets: ['na-s2', 'na-s3', 'na-s4', 'na-s4-pre', 'na-s5'] as CardSet[]", IF(S14="○", ", notExistCardSets: ['na-s2', 'na-s3', 'na-s4', 'na-s4-pre', 'na-s5', 'na-s6', 'na-s6-2'] as CardSet[]", IF(T14="○", ", notExistCardSets: ['na-s2', 'na-s3', 'na-s4', 'na-s4-pre', 'na-s5', 'na-s6', 'na-s6-2', 'na-s7'] as CardSet[]", IF(U14="○", ", notExistCardSets: ['na-s2', 'na-s3', 'na-s4', 'na-s4-pre', 'na-s5', 'na-s6', 'na-s6-2', 'na-s7', 'na-s7-2'] as CardSet[]", ""))))))) &amp; ", tarotNo: '" &amp; L14 &amp; "'},"</x:f>
        <x:v>'oboro-a1': { name: '第三章オボロ', nameZh: '第三章胧', nameZhG13: '第三章胧', nameKo: '제3장 오보로', nameEn: 'Third Chapter Oboro', symbol: '戦略', symbolZh: '战略', symbolZhG13: '战略', symbolKo: '전략', symbolEn: 'Strategy', base: 'oboro', anotherID: 'A1', notExistCardSets: ['na-s2'] as CardSet[], tarotNo: '05'},</x:v>
      </x:c>
      <x:c r="W14" s="5"/>
      <x:c r="X14" s="5"/>
      <x:c r="Y14" s="5"/>
      <x:c r="Z14" s="5"/>
      <x:c r="AA14" s="5"/>
      <x:c r="AB14" s="5"/>
      <x:c r="AC14" s="5"/>
      <x:c r="AD14" s="5"/>
      <x:c r="AE14" s="5"/>
      <x:c r="AF14" s="5"/>
      <x:c r="AG14" s="5"/>
      <x:c r="AH14" s="5"/>
    </x:row>
    <x:row r="15" ht="12" hidden="0" customHeight="1">
      <x:c r="A15" s="2" t="s">
        <x:v>176</x:v>
      </x:c>
      <x:c r="B15" s="2" t="s">
        <x:v>177</x:v>
      </x:c>
      <x:c r="C15" s="2" t="s">
        <x:v>178</x:v>
      </x:c>
      <x:c r="D15" s="2" t="s">
        <x:v>178</x:v>
      </x:c>
      <x:c r="E15" s="2" t="s">
        <x:v>179</x:v>
      </x:c>
      <x:c r="F15" s="2" t="s">
        <x:v>180</x:v>
      </x:c>
      <x:c r="G15" s="2" t="s">
        <x:v>181</x:v>
      </x:c>
      <x:c r="H15" s="2" t="s">
        <x:v>182</x:v>
      </x:c>
      <x:c r="I15" s="7" t="s">
        <x:v>182</x:v>
      </x:c>
      <x:c r="J15" s="2" t="s">
        <x:v>183</x:v>
      </x:c>
      <x:c r="K15" s="2" t="s">
        <x:v>184</x:v>
      </x:c>
      <x:c r="L15" s="2" t="s">
        <x:v>185</x:v>
      </x:c>
      <x:c r="M15" s="2"/>
      <x:c r="N15" s="2"/>
      <x:c r="O15" s="2"/>
      <x:c r="P15" s="2"/>
      <x:c r="Q15" s="2"/>
      <x:c r="R15" s="2"/>
      <x:c r="S15" s="2"/>
      <x:c r="T15" s="2"/>
      <x:c r="U15" s="2"/>
      <x:c r="V15" s="69" t="str">
        <x:f aca="0">"'"&amp;A15&amp;"': { name: '"&amp;B15&amp;"', nameZh: '"&amp;C15&amp;"', nameZhG14: '"&amp;D15&amp;"', nameKo: '"&amp;E15&amp;"', nameEn: '"&amp;F15&amp;"', symbol: '"&amp;G15&amp;"', symbolZh: '"&amp;H15&amp;"', symbolZhG14: '"&amp;I15&amp;"', symbolKo: '"&amp;J15&amp;"', symbolEn: '"&amp;K15&amp;"'"&amp;IF(N15&lt;&gt;"",", base: '"&amp;M15&amp;"', anotherID: '"&amp;N15&amp;"'","")&amp;IF(O15="○", ", notExistCardSets: ['na-s2'] as CardSet[]", IF(P15="○", ", notExistCardSets: ['na-s2', 'na-s3'] as CardSet[]", IF(Q15="○", ", notExistCardSets: ['na-s2', 'na-s3', 'na-s4', 'na-s4-pre'] as CardSet[]", IF(R15="○", ", notExistCardSets: ['na-s2', 'na-s3', 'na-s4', 'na-s4-pre', 'na-s5'] as CardSet[]", IF(S15="○", ", notExistCardSets: ['na-s2', 'na-s3', 'na-s4', 'na-s4-pre', 'na-s5', 'na-s6', 'na-s6-2'] as CardSet[]", IF(T15="○", ", notExistCardSets: ['na-s2', 'na-s3', 'na-s4', 'na-s4-pre', 'na-s5', 'na-s6', 'na-s6-2', 'na-s7'] as CardSet[]", IF(U15="○", ", notExistCardSets: ['na-s2', 'na-s3', 'na-s4', 'na-s4-pre', 'na-s5', 'na-s6', 'na-s6-2', 'na-s7', 'na-s7-2'] as CardSet[]", ""))))))) &amp; ", tarotNo: '" &amp; L15 &amp; "'},"</x:f>
        <x:v>'yukihi': { name: 'ユキヒ', nameZh: '雪灯', nameZhG14: '雪灯', nameKo: '유키히', nameEn: 'Yukihi', symbol: '傘/簪', symbolZh: '伞/簪', symbolZhG14: '伞/簪', symbolKo: '우산/비녀', symbolEn: 'Umbrella/Hairpin', tarotNo: '06'},</x:v>
      </x:c>
      <x:c r="W15" s="5"/>
      <x:c r="X15" s="5"/>
      <x:c r="Y15" s="5"/>
      <x:c r="Z15" s="5"/>
      <x:c r="AA15" s="5"/>
      <x:c r="AB15" s="5"/>
      <x:c r="AC15" s="5"/>
      <x:c r="AD15" s="5"/>
      <x:c r="AE15" s="5"/>
      <x:c r="AF15" s="5"/>
      <x:c r="AG15" s="5"/>
      <x:c r="AH15" s="5"/>
    </x:row>
    <x:row r="16" s="63" customFormat="1" ht="12" hidden="0" customHeight="1">
      <x:c r="A16" s="2" t="s">
        <x:v>186</x:v>
      </x:c>
      <x:c r="B16" s="2" t="s">
        <x:v>187</x:v>
      </x:c>
      <x:c r="C16" s="2" t="s">
        <x:v>188</x:v>
      </x:c>
      <x:c r="D16" s="2" t="s">
        <x:v>188</x:v>
      </x:c>
      <x:c r="E16" s="2" t="s">
        <x:v>189</x:v>
      </x:c>
      <x:c r="F16" s="7" t="s">
        <x:v>190</x:v>
      </x:c>
      <x:c r="G16" s="2" t="s">
        <x:v>191</x:v>
      </x:c>
      <x:c r="H16" s="2" t="s">
        <x:v>191</x:v>
      </x:c>
      <x:c r="I16" s="7" t="s">
        <x:v>191</x:v>
      </x:c>
      <x:c r="J16" s="2" t="s">
        <x:v>192</x:v>
      </x:c>
      <x:c r="K16" s="7" t="s">
        <x:v>193</x:v>
      </x:c>
      <x:c r="L16" s="2" t="s">
        <x:v>185</x:v>
      </x:c>
      <x:c r="M16" s="2" t="s">
        <x:v>176</x:v>
      </x:c>
      <x:c r="N16" s="2" t="s">
        <x:v>76</x:v>
      </x:c>
      <x:c r="O16" s="2"/>
      <x:c r="P16" s="2"/>
      <x:c r="Q16" s="2" t="s">
        <x:v>86</x:v>
      </x:c>
      <x:c r="R16" s="2"/>
      <x:c r="S16" s="2"/>
      <x:c r="T16" s="2"/>
      <x:c r="U16" s="2"/>
      <x:c r="V16" s="69" t="str">
        <x:f aca="0">"'"&amp;A16&amp;"': { name: '"&amp;B16&amp;"', nameZh: '"&amp;C16&amp;"', nameZhG15: '"&amp;D16&amp;"', nameKo: '"&amp;E16&amp;"', nameEn: '"&amp;F16&amp;"', symbol: '"&amp;G16&amp;"', symbolZh: '"&amp;H16&amp;"', symbolZhG15: '"&amp;I16&amp;"', symbolKo: '"&amp;J16&amp;"', symbolEn: '"&amp;K16&amp;"'"&amp;IF(N16&lt;&gt;"",", base: '"&amp;M16&amp;"', anotherID: '"&amp;N16&amp;"'","")&amp;IF(O16="○", ", notExistCardSets: ['na-s2'] as CardSet[]", IF(P16="○", ", notExistCardSets: ['na-s2', 'na-s3'] as CardSet[]", IF(Q16="○", ", notExistCardSets: ['na-s2', 'na-s3', 'na-s4', 'na-s4-pre'] as CardSet[]", IF(R16="○", ", notExistCardSets: ['na-s2', 'na-s3', 'na-s4', 'na-s4-pre', 'na-s5'] as CardSet[]", IF(S16="○", ", notExistCardSets: ['na-s2', 'na-s3', 'na-s4', 'na-s4-pre', 'na-s5', 'na-s6', 'na-s6-2'] as CardSet[]", IF(T16="○", ", notExistCardSets: ['na-s2', 'na-s3', 'na-s4', 'na-s4-pre', 'na-s5', 'na-s6', 'na-s6-2', 'na-s7'] as CardSet[]", IF(U16="○", ", notExistCardSets: ['na-s2', 'na-s3', 'na-s4', 'na-s4-pre', 'na-s5', 'na-s6', 'na-s6-2', 'na-s7', 'na-s7-2'] as CardSet[]", ""))))))) &amp; ", tarotNo: '" &amp; L16 &amp; "'},"</x:f>
        <x:v>'yukihi-a1': { name: '社交界ユキヒ', nameZh: '社交界雪灯', nameZhG15: '社交界雪灯', nameKo: '사교계 유키히', nameEn: 'Society Yukihi', symbol: '社交', symbolZh: '社交', symbolZhG15: '社交', symbolKo: '사교', symbolEn: 'Society', base: 'yukihi', anotherID: 'A1', notExistCardSets: ['na-s2', 'na-s3', 'na-s4', 'na-s4-pre'] as CardSet[], tarotNo: '06'},</x:v>
      </x:c>
      <x:c r="W16" s="5"/>
      <x:c r="X16" s="5"/>
      <x:c r="Y16" s="5"/>
      <x:c r="Z16" s="5"/>
      <x:c r="AA16" s="5"/>
      <x:c r="AB16" s="5"/>
      <x:c r="AC16" s="5"/>
      <x:c r="AD16" s="5"/>
      <x:c r="AE16" s="5"/>
      <x:c r="AF16" s="5"/>
      <x:c r="AG16" s="5"/>
      <x:c r="AH16" s="5"/>
    </x:row>
    <x:row r="17" ht="12" hidden="0" customHeight="1">
      <x:c r="A17" s="2" t="s">
        <x:v>194</x:v>
      </x:c>
      <x:c r="B17" s="2" t="s">
        <x:v>195</x:v>
      </x:c>
      <x:c r="C17" s="2" t="s">
        <x:v>196</x:v>
      </x:c>
      <x:c r="D17" s="2" t="s">
        <x:v>196</x:v>
      </x:c>
      <x:c r="E17" s="2" t="s">
        <x:v>197</x:v>
      </x:c>
      <x:c r="F17" s="2" t="s">
        <x:v>198</x:v>
      </x:c>
      <x:c r="G17" s="2" t="s">
        <x:v>199</x:v>
      </x:c>
      <x:c r="H17" s="2" t="s">
        <x:v>200</x:v>
      </x:c>
      <x:c r="I17" s="7" t="s">
        <x:v>200</x:v>
      </x:c>
      <x:c r="J17" s="2" t="s">
        <x:v>201</x:v>
      </x:c>
      <x:c r="K17" s="2" t="s">
        <x:v>202</x:v>
      </x:c>
      <x:c r="L17" s="2" t="s">
        <x:v>203</x:v>
      </x:c>
      <x:c r="M17" s="2"/>
      <x:c r="N17" s="2"/>
      <x:c r="O17" s="2"/>
      <x:c r="P17" s="2"/>
      <x:c r="Q17" s="2"/>
      <x:c r="R17" s="2"/>
      <x:c r="S17" s="2"/>
      <x:c r="T17" s="2"/>
      <x:c r="U17" s="2"/>
      <x:c r="V17" s="69" t="str">
        <x:f aca="0">"'"&amp;A17&amp;"': { name: '"&amp;B17&amp;"', nameZh: '"&amp;C17&amp;"', nameZhG16: '"&amp;D17&amp;"', nameKo: '"&amp;E17&amp;"', nameEn: '"&amp;F17&amp;"', symbol: '"&amp;G17&amp;"', symbolZh: '"&amp;H17&amp;"', symbolZhG16: '"&amp;I17&amp;"', symbolKo: '"&amp;J17&amp;"', symbolEn: '"&amp;K17&amp;"'"&amp;IF(N17&lt;&gt;"",", base: '"&amp;M17&amp;"', anotherID: '"&amp;N17&amp;"'","")&amp;IF(O17="○", ", notExistCardSets: ['na-s2'] as CardSet[]", IF(P17="○", ", notExistCardSets: ['na-s2', 'na-s3'] as CardSet[]", IF(Q17="○", ", notExistCardSets: ['na-s2', 'na-s3', 'na-s4', 'na-s4-pre'] as CardSet[]", IF(R17="○", ", notExistCardSets: ['na-s2', 'na-s3', 'na-s4', 'na-s4-pre', 'na-s5'] as CardSet[]", IF(S17="○", ", notExistCardSets: ['na-s2', 'na-s3', 'na-s4', 'na-s4-pre', 'na-s5', 'na-s6', 'na-s6-2'] as CardSet[]", IF(T17="○", ", notExistCardSets: ['na-s2', 'na-s3', 'na-s4', 'na-s4-pre', 'na-s5', 'na-s6', 'na-s6-2', 'na-s7'] as CardSet[]", IF(U17="○", ", notExistCardSets: ['na-s2', 'na-s3', 'na-s4', 'na-s4-pre', 'na-s5', 'na-s6', 'na-s6-2', 'na-s7', 'na-s7-2'] as CardSet[]", ""))))))) &amp; ", tarotNo: '" &amp; L17 &amp; "'},"</x:f>
        <x:v>'shinra': { name: 'シンラ', nameZh: '森罗', nameZhG16: '森罗', nameKo: '신라', nameEn: 'Shinra', symbol: '書', symbolZh: '书', symbolZhG16: '书', symbolKo: '서책', symbolEn: 'Scroll', tarotNo: '07'},</x:v>
      </x:c>
      <x:c r="W17" s="5"/>
      <x:c r="X17" s="5"/>
      <x:c r="Y17" s="5"/>
      <x:c r="Z17" s="5"/>
      <x:c r="AA17" s="5"/>
      <x:c r="AB17" s="5"/>
      <x:c r="AC17" s="5"/>
      <x:c r="AD17" s="5"/>
      <x:c r="AE17" s="5"/>
      <x:c r="AF17" s="5"/>
      <x:c r="AG17" s="5"/>
      <x:c r="AH17" s="5"/>
    </x:row>
    <x:row r="18" ht="12" hidden="0" customHeight="1">
      <x:c r="A18" s="2" t="s">
        <x:v>204</x:v>
      </x:c>
      <x:c r="B18" s="2" t="s">
        <x:v>205</x:v>
      </x:c>
      <x:c r="C18" s="2" t="s">
        <x:v>206</x:v>
      </x:c>
      <x:c r="D18" s="2" t="s">
        <x:v>206</x:v>
      </x:c>
      <x:c r="E18" s="2" t="s">
        <x:v>207</x:v>
      </x:c>
      <x:c r="F18" s="7" t="s">
        <x:v>208</x:v>
      </x:c>
      <x:c r="G18" s="2" t="s">
        <x:v>209</x:v>
      </x:c>
      <x:c r="H18" s="2" t="s">
        <x:v>210</x:v>
      </x:c>
      <x:c r="I18" s="7" t="s">
        <x:v>211</x:v>
      </x:c>
      <x:c r="J18" s="2" t="s">
        <x:v>212</x:v>
      </x:c>
      <x:c r="K18" s="7" t="s">
        <x:v>213</x:v>
      </x:c>
      <x:c r="L18" s="2" t="s">
        <x:v>214</x:v>
      </x:c>
      <x:c r="M18" s="2" t="s">
        <x:v>194</x:v>
      </x:c>
      <x:c r="N18" s="2" t="s">
        <x:v>76</x:v>
      </x:c>
      <x:c r="O18" s="2"/>
      <x:c r="P18" s="2" t="s">
        <x:v>86</x:v>
      </x:c>
      <x:c r="Q18" s="2"/>
      <x:c r="R18" s="2"/>
      <x:c r="S18" s="2"/>
      <x:c r="T18" s="2"/>
      <x:c r="U18" s="2"/>
      <x:c r="V18" s="69" t="str">
        <x:f aca="0">"'"&amp;A18&amp;"': { name: '"&amp;B18&amp;"', nameZh: '"&amp;C18&amp;"', nameZhG17: '"&amp;D18&amp;"', nameKo: '"&amp;E18&amp;"', nameEn: '"&amp;F18&amp;"', symbol: '"&amp;G18&amp;"', symbolZh: '"&amp;H18&amp;"', symbolZhG17: '"&amp;I18&amp;"', symbolKo: '"&amp;J18&amp;"', symbolEn: '"&amp;K18&amp;"'"&amp;IF(N18&lt;&gt;"",", base: '"&amp;M18&amp;"', anotherID: '"&amp;N18&amp;"'","")&amp;IF(O18="○", ", notExistCardSets: ['na-s2'] as CardSet[]", IF(P18="○", ", notExistCardSets: ['na-s2', 'na-s3'] as CardSet[]", IF(Q18="○", ", notExistCardSets: ['na-s2', 'na-s3', 'na-s4', 'na-s4-pre'] as CardSet[]", IF(R18="○", ", notExistCardSets: ['na-s2', 'na-s3', 'na-s4', 'na-s4-pre', 'na-s5'] as CardSet[]", IF(S18="○", ", notExistCardSets: ['na-s2', 'na-s3', 'na-s4', 'na-s4-pre', 'na-s5', 'na-s6', 'na-s6-2'] as CardSet[]", IF(T18="○", ", notExistCardSets: ['na-s2', 'na-s3', 'na-s4', 'na-s4-pre', 'na-s5', 'na-s6', 'na-s6-2', 'na-s7'] as CardSet[]", IF(U18="○", ", notExistCardSets: ['na-s2', 'na-s3', 'na-s4', 'na-s4-pre', 'na-s5', 'na-s6', 'na-s6-2', 'na-s7', 'na-s7-2'] as CardSet[]", ""))))))) &amp; ", tarotNo: '" &amp; L18 &amp; "'},"</x:f>
        <x:v>'shinra-a1': { name: '教主シンラ', nameZh: '教主森罗', nameZhG17: '教主森罗', nameKo: '교주 신라', nameEn: 'Hierarch Shinra', symbol: '経典', symbolZh: '经卷', symbolZhG17: '经典', symbolKo: '경전', symbolEn: 'Classics', base: 'shinra', anotherID: 'A1', notExistCardSets: ['na-s2', 'na-s3'] as CardSet[], tarotNo: '08'},</x:v>
      </x:c>
      <x:c r="W18" s="5"/>
      <x:c r="X18" s="5"/>
      <x:c r="Y18" s="5"/>
      <x:c r="Z18" s="5"/>
      <x:c r="AA18" s="5"/>
      <x:c r="AB18" s="5"/>
      <x:c r="AC18" s="5"/>
      <x:c r="AD18" s="5"/>
      <x:c r="AE18" s="5"/>
      <x:c r="AF18" s="5"/>
      <x:c r="AG18" s="5"/>
      <x:c r="AH18" s="5"/>
    </x:row>
    <x:row r="19" ht="12" hidden="0" customHeight="1">
      <x:c r="A19" s="2" t="s">
        <x:v>215</x:v>
      </x:c>
      <x:c r="B19" s="2" t="s">
        <x:v>216</x:v>
      </x:c>
      <x:c r="C19" s="2" t="s">
        <x:v>217</x:v>
      </x:c>
      <x:c r="D19" s="2" t="s">
        <x:v>217</x:v>
      </x:c>
      <x:c r="E19" s="2" t="s">
        <x:v>218</x:v>
      </x:c>
      <x:c r="F19" s="2" t="s">
        <x:v>219</x:v>
      </x:c>
      <x:c r="G19" s="2" t="s">
        <x:v>220</x:v>
      </x:c>
      <x:c r="H19" s="2" t="s">
        <x:v>221</x:v>
      </x:c>
      <x:c r="I19" s="7" t="s">
        <x:v>221</x:v>
      </x:c>
      <x:c r="J19" s="2" t="s">
        <x:v>222</x:v>
      </x:c>
      <x:c r="K19" s="2" t="s">
        <x:v>223</x:v>
      </x:c>
      <x:c r="L19" s="2" t="s">
        <x:v>214</x:v>
      </x:c>
      <x:c r="M19" s="2"/>
      <x:c r="N19" s="2"/>
      <x:c r="O19" s="2"/>
      <x:c r="P19" s="2"/>
      <x:c r="Q19" s="2"/>
      <x:c r="R19" s="2"/>
      <x:c r="S19" s="2"/>
      <x:c r="T19" s="2"/>
      <x:c r="U19" s="2"/>
      <x:c r="V19" s="69" t="str">
        <x:f aca="0">"'"&amp;A19&amp;"': { name: '"&amp;B19&amp;"', nameZh: '"&amp;C19&amp;"', nameZhG18: '"&amp;D19&amp;"', nameKo: '"&amp;E19&amp;"', nameEn: '"&amp;F19&amp;"', symbol: '"&amp;G19&amp;"', symbolZh: '"&amp;H19&amp;"', symbolZhG18: '"&amp;I19&amp;"', symbolKo: '"&amp;J19&amp;"', symbolEn: '"&amp;K19&amp;"'"&amp;IF(N19&lt;&gt;"",", base: '"&amp;M19&amp;"', anotherID: '"&amp;N19&amp;"'","")&amp;IF(O19="○", ", notExistCardSets: ['na-s2'] as CardSet[]", IF(P19="○", ", notExistCardSets: ['na-s2', 'na-s3'] as CardSet[]", IF(Q19="○", ", notExistCardSets: ['na-s2', 'na-s3', 'na-s4', 'na-s4-pre'] as CardSet[]", IF(R19="○", ", notExistCardSets: ['na-s2', 'na-s3', 'na-s4', 'na-s4-pre', 'na-s5'] as CardSet[]", IF(S19="○", ", notExistCardSets: ['na-s2', 'na-s3', 'na-s4', 'na-s4-pre', 'na-s5', 'na-s6', 'na-s6-2'] as CardSet[]", IF(T19="○", ", notExistCardSets: ['na-s2', 'na-s3', 'na-s4', 'na-s4-pre', 'na-s5', 'na-s6', 'na-s6-2', 'na-s7'] as CardSet[]", IF(U19="○", ", notExistCardSets: ['na-s2', 'na-s3', 'na-s4', 'na-s4-pre', 'na-s5', 'na-s6', 'na-s6-2', 'na-s7', 'na-s7-2'] as CardSet[]", ""))))))) &amp; ", tarotNo: '" &amp; L19 &amp; "'},"</x:f>
        <x:v>'hagane': { name: 'ハガネ', nameZh: '破钟', nameZhG18: '破钟', nameKo: '하가네', nameEn: 'Hagane', symbol: '鎚', symbolZh: '锤', symbolZhG18: '锤', symbolKo: '망치', symbolEn: 'Hammer', tarotNo: '08'},</x:v>
      </x:c>
      <x:c r="W19" s="5"/>
      <x:c r="X19" s="5"/>
      <x:c r="Y19" s="5"/>
      <x:c r="Z19" s="5"/>
      <x:c r="AA19" s="5"/>
      <x:c r="AB19" s="5"/>
      <x:c r="AC19" s="5"/>
      <x:c r="AD19" s="5"/>
      <x:c r="AE19" s="5"/>
      <x:c r="AF19" s="5"/>
      <x:c r="AG19" s="5"/>
      <x:c r="AH19" s="5"/>
    </x:row>
    <x:row r="20" s="63" customFormat="1" ht="12" hidden="0" customHeight="1">
      <x:c r="A20" s="2" t="s">
        <x:v>224</x:v>
      </x:c>
      <x:c r="B20" s="2" t="s">
        <x:v>225</x:v>
      </x:c>
      <x:c r="C20" s="2" t="s">
        <x:v>226</x:v>
      </x:c>
      <x:c r="D20" s="2" t="s">
        <x:v>226</x:v>
      </x:c>
      <x:c r="E20" s="425" t="s">
        <x:v>227</x:v>
      </x:c>
      <x:c r="F20" s="195" t="s">
        <x:v>228</x:v>
      </x:c>
      <x:c r="G20" s="2" t="s">
        <x:v>229</x:v>
      </x:c>
      <x:c r="H20" s="2" t="s">
        <x:v>230</x:v>
      </x:c>
      <x:c r="I20" s="2" t="s">
        <x:v>230</x:v>
      </x:c>
      <x:c r="J20" s="426" t="s">
        <x:v>231</x:v>
      </x:c>
      <x:c r="K20" s="195" t="s">
        <x:v>232</x:v>
      </x:c>
      <x:c r="L20" s="2" t="s">
        <x:v>214</x:v>
      </x:c>
      <x:c r="M20" s="2" t="s">
        <x:v>215</x:v>
      </x:c>
      <x:c r="N20" s="427" t="s">
        <x:v>76</x:v>
      </x:c>
      <x:c r="O20" s="15"/>
      <x:c r="P20" s="15"/>
      <x:c r="Q20" s="2"/>
      <x:c r="R20" s="2" t="s">
        <x:v>86</x:v>
      </x:c>
      <x:c r="S20" s="2"/>
      <x:c r="T20" s="2"/>
      <x:c r="U20" s="2"/>
      <x:c r="V20" s="69" t="str">
        <x:f aca="0">"'"&amp;A20&amp;"': { name: '"&amp;B20&amp;"', nameZh: '"&amp;C20&amp;"', nameZhG19: '"&amp;D20&amp;"', nameKo: '"&amp;E20&amp;"', nameEn: '"&amp;F20&amp;"', symbol: '"&amp;G20&amp;"', symbolZh: '"&amp;H20&amp;"', symbolZhG19: '"&amp;I20&amp;"', symbolKo: '"&amp;J20&amp;"', symbolEn: '"&amp;K20&amp;"'"&amp;IF(N20&lt;&gt;"",", base: '"&amp;M20&amp;"', anotherID: '"&amp;N20&amp;"'","")&amp;IF(O20="○", ", notExistCardSets: ['na-s2'] as CardSet[]", IF(P20="○", ", notExistCardSets: ['na-s2', 'na-s3'] as CardSet[]", IF(Q20="○", ", notExistCardSets: ['na-s2', 'na-s3', 'na-s4', 'na-s4-pre'] as CardSet[]", IF(R20="○", ", notExistCardSets: ['na-s2', 'na-s3', 'na-s4', 'na-s4-pre', 'na-s5'] as CardSet[]", IF(S20="○", ", notExistCardSets: ['na-s2', 'na-s3', 'na-s4', 'na-s4-pre', 'na-s5', 'na-s6', 'na-s6-2'] as CardSet[]", IF(T20="○", ", notExistCardSets: ['na-s2', 'na-s3', 'na-s4', 'na-s4-pre', 'na-s5', 'na-s6', 'na-s6-2', 'na-s7'] as CardSet[]", IF(U20="○", ", notExistCardSets: ['na-s2', 'na-s3', 'na-s4', 'na-s4-pre', 'na-s5', 'na-s6', 'na-s6-2', 'na-s7', 'na-s7-2'] as CardSet[]", ""))))))) &amp; ", tarotNo: '" &amp; L20 &amp; "'},"</x:f>
        <x:v>'hagane-a1': { name: '鍛治師ハガネ', nameZh: '锻造师破钟', nameZhG19: '锻造师破钟', nameKo: '대장장이 하가네', nameEn: 'Blacksmith Hagane', symbol: '金床', symbolZh: '铁砧', symbolZhG19: '铁砧', symbolKo: '모루', symbolEn: 'Anvil', base: 'hagane', anotherID: 'A1', notExistCardSets: ['na-s2', 'na-s3', 'na-s4', 'na-s4-pre', 'na-s5'] as CardSet[], tarotNo: '08'},</x:v>
      </x:c>
      <x:c r="W20" s="5"/>
      <x:c r="X20" s="5"/>
      <x:c r="Y20" s="5"/>
      <x:c r="Z20" s="5"/>
      <x:c r="AA20" s="5"/>
      <x:c r="AB20" s="5"/>
      <x:c r="AC20" s="5"/>
      <x:c r="AD20" s="5"/>
      <x:c r="AE20" s="5"/>
      <x:c r="AF20" s="5"/>
      <x:c r="AG20" s="5"/>
      <x:c r="AH20" s="5"/>
    </x:row>
    <x:row r="21" ht="12" hidden="0" customHeight="1">
      <x:c r="A21" s="2" t="s">
        <x:v>233</x:v>
      </x:c>
      <x:c r="B21" s="2" t="s">
        <x:v>234</x:v>
      </x:c>
      <x:c r="C21" s="2" t="s">
        <x:v>235</x:v>
      </x:c>
      <x:c r="D21" s="2" t="s">
        <x:v>235</x:v>
      </x:c>
      <x:c r="E21" s="2" t="s">
        <x:v>236</x:v>
      </x:c>
      <x:c r="F21" s="2" t="s">
        <x:v>237</x:v>
      </x:c>
      <x:c r="G21" s="2" t="s">
        <x:v>16</x:v>
      </x:c>
      <x:c r="H21" s="2" t="s">
        <x:v>16</x:v>
      </x:c>
      <x:c r="I21" s="7" t="s">
        <x:v>16</x:v>
      </x:c>
      <x:c r="J21" s="2" t="s">
        <x:v>238</x:v>
      </x:c>
      <x:c r="K21" s="2" t="s">
        <x:v>239</x:v>
      </x:c>
      <x:c r="L21" s="2" t="s">
        <x:v>240</x:v>
      </x:c>
      <x:c r="M21" s="2"/>
      <x:c r="N21" s="2"/>
      <x:c r="O21" s="2"/>
      <x:c r="P21" s="2"/>
      <x:c r="Q21" s="2"/>
      <x:c r="R21" s="2"/>
      <x:c r="S21" s="2"/>
      <x:c r="T21" s="2"/>
      <x:c r="U21" s="2"/>
      <x:c r="V21" s="69" t="str">
        <x:f aca="0">"'"&amp;A21&amp;"': { name: '"&amp;B21&amp;"', nameZh: '"&amp;C21&amp;"', nameZhG20: '"&amp;D21&amp;"', nameKo: '"&amp;E21&amp;"', nameEn: '"&amp;F21&amp;"', symbol: '"&amp;G21&amp;"', symbolZh: '"&amp;H21&amp;"', symbolZhG20: '"&amp;I21&amp;"', symbolKo: '"&amp;J21&amp;"', symbolEn: '"&amp;K21&amp;"'"&amp;IF(N21&lt;&gt;"",", base: '"&amp;M21&amp;"', anotherID: '"&amp;N21&amp;"'","")&amp;IF(O21="○", ", notExistCardSets: ['na-s2'] as CardSet[]", IF(P21="○", ", notExistCardSets: ['na-s2', 'na-s3'] as CardSet[]", IF(Q21="○", ", notExistCardSets: ['na-s2', 'na-s3', 'na-s4', 'na-s4-pre'] as CardSet[]", IF(R21="○", ", notExistCardSets: ['na-s2', 'na-s3', 'na-s4', 'na-s4-pre', 'na-s5'] as CardSet[]", IF(S21="○", ", notExistCardSets: ['na-s2', 'na-s3', 'na-s4', 'na-s4-pre', 'na-s5', 'na-s6', 'na-s6-2'] as CardSet[]", IF(T21="○", ", notExistCardSets: ['na-s2', 'na-s3', 'na-s4', 'na-s4-pre', 'na-s5', 'na-s6', 'na-s6-2', 'na-s7'] as CardSet[]", IF(U21="○", ", notExistCardSets: ['na-s2', 'na-s3', 'na-s4', 'na-s4-pre', 'na-s5', 'na-s6', 'na-s6-2', 'na-s7', 'na-s7-2'] as CardSet[]", ""))))))) &amp; ", tarotNo: '" &amp; L21 &amp; "'},"</x:f>
        <x:v>'chikage': { name: 'チカゲ', nameZh: '千影', nameZhG20: '千影', nameKo: '치카게', nameEn: 'Chikage', symbol: '毒', symbolZh: '毒', symbolZhG20: '毒', symbolKo: '독', symbolEn: 'Poison', tarotNo: '09'},</x:v>
      </x:c>
      <x:c r="W21" s="5"/>
      <x:c r="X21" s="5"/>
      <x:c r="Y21" s="5"/>
      <x:c r="Z21" s="5"/>
      <x:c r="AA21" s="5"/>
      <x:c r="AB21" s="5"/>
      <x:c r="AC21" s="5"/>
      <x:c r="AD21" s="5"/>
      <x:c r="AE21" s="5"/>
      <x:c r="AF21" s="5"/>
      <x:c r="AG21" s="5"/>
      <x:c r="AH21" s="5"/>
    </x:row>
    <x:row r="22" ht="12" hidden="0" customHeight="1">
      <x:c r="A22" s="2" t="s">
        <x:v>241</x:v>
      </x:c>
      <x:c r="B22" s="2" t="s">
        <x:v>242</x:v>
      </x:c>
      <x:c r="C22" s="2" t="s">
        <x:v>243</x:v>
      </x:c>
      <x:c r="D22" s="2" t="s">
        <x:v>243</x:v>
      </x:c>
      <x:c r="E22" s="2" t="s">
        <x:v>244</x:v>
      </x:c>
      <x:c r="F22" s="2" t="s">
        <x:v>245</x:v>
      </x:c>
      <x:c r="G22" s="2" t="s">
        <x:v>246</x:v>
      </x:c>
      <x:c r="H22" s="2" t="s">
        <x:v>247</x:v>
      </x:c>
      <x:c r="I22" s="7" t="s">
        <x:v>247</x:v>
      </x:c>
      <x:c r="J22" s="2" t="s">
        <x:v>248</x:v>
      </x:c>
      <x:c r="K22" s="2" t="s">
        <x:v>249</x:v>
      </x:c>
      <x:c r="L22" s="2" t="s">
        <x:v>240</x:v>
      </x:c>
      <x:c r="M22" s="2" t="s">
        <x:v>233</x:v>
      </x:c>
      <x:c r="N22" s="2" t="s">
        <x:v>76</x:v>
      </x:c>
      <x:c r="O22" s="2" t="s">
        <x:v>86</x:v>
      </x:c>
      <x:c r="P22" s="2"/>
      <x:c r="Q22" s="2"/>
      <x:c r="R22" s="2"/>
      <x:c r="S22" s="2"/>
      <x:c r="T22" s="2"/>
      <x:c r="U22" s="2"/>
      <x:c r="V22" s="69" t="str">
        <x:f aca="0">"'"&amp;A22&amp;"': { name: '"&amp;B22&amp;"', nameZh: '"&amp;C22&amp;"', nameZhG21: '"&amp;D22&amp;"', nameKo: '"&amp;E22&amp;"', nameEn: '"&amp;F22&amp;"', symbol: '"&amp;G22&amp;"', symbolZh: '"&amp;H22&amp;"', symbolZhG21: '"&amp;I22&amp;"', symbolKo: '"&amp;J22&amp;"', symbolEn: '"&amp;K22&amp;"'"&amp;IF(N22&lt;&gt;"",", base: '"&amp;M22&amp;"', anotherID: '"&amp;N22&amp;"'","")&amp;IF(O22="○", ", notExistCardSets: ['na-s2'] as CardSet[]", IF(P22="○", ", notExistCardSets: ['na-s2', 'na-s3'] as CardSet[]", IF(Q22="○", ", notExistCardSets: ['na-s2', 'na-s3', 'na-s4', 'na-s4-pre'] as CardSet[]", IF(R22="○", ", notExistCardSets: ['na-s2', 'na-s3', 'na-s4', 'na-s4-pre', 'na-s5'] as CardSet[]", IF(S22="○", ", notExistCardSets: ['na-s2', 'na-s3', 'na-s4', 'na-s4-pre', 'na-s5', 'na-s6', 'na-s6-2'] as CardSet[]", IF(T22="○", ", notExistCardSets: ['na-s2', 'na-s3', 'na-s4', 'na-s4-pre', 'na-s5', 'na-s6', 'na-s6-2', 'na-s7'] as CardSet[]", IF(U22="○", ", notExistCardSets: ['na-s2', 'na-s3', 'na-s4', 'na-s4-pre', 'na-s5', 'na-s6', 'na-s6-2', 'na-s7', 'na-s7-2'] as CardSet[]", ""))))))) &amp; ", tarotNo: '" &amp; L22 &amp; "'},"</x:f>
        <x:v>'chikage-a1': { name: '第四章チカゲ', nameZh: '第四章千影', nameZhG21: '第四章千影', nameKo: '제4장 치카게', nameEn: 'Fourth Chapter Chikage', symbol: '絆', symbolZh: '绊', symbolZhG21: '绊', symbolKo: '인연', symbolEn: 'Kizuna', base: 'chikage', anotherID: 'A1', notExistCardSets: ['na-s2'] as CardSet[], tarotNo: '09'},</x:v>
      </x:c>
      <x:c r="W22" s="5"/>
      <x:c r="X22" s="5"/>
      <x:c r="Y22" s="5"/>
      <x:c r="Z22" s="5"/>
      <x:c r="AA22" s="5"/>
      <x:c r="AB22" s="5"/>
      <x:c r="AC22" s="5"/>
      <x:c r="AD22" s="5"/>
      <x:c r="AE22" s="5"/>
      <x:c r="AF22" s="5"/>
      <x:c r="AG22" s="5"/>
      <x:c r="AH22" s="5"/>
    </x:row>
    <x:row r="23" ht="12" hidden="0" customHeight="1">
      <x:c r="A23" s="2" t="s">
        <x:v>250</x:v>
      </x:c>
      <x:c r="B23" s="2" t="s">
        <x:v>251</x:v>
      </x:c>
      <x:c r="C23" s="2" t="s">
        <x:v>252</x:v>
      </x:c>
      <x:c r="D23" s="2" t="s">
        <x:v>252</x:v>
      </x:c>
      <x:c r="E23" s="2" t="s">
        <x:v>253</x:v>
      </x:c>
      <x:c r="F23" s="2" t="s">
        <x:v>254</x:v>
      </x:c>
      <x:c r="G23" s="2" t="s">
        <x:v>255</x:v>
      </x:c>
      <x:c r="H23" s="2" t="s">
        <x:v>256</x:v>
      </x:c>
      <x:c r="I23" s="7" t="s">
        <x:v>257</x:v>
      </x:c>
      <x:c r="J23" s="2" t="s">
        <x:v>258</x:v>
      </x:c>
      <x:c r="K23" s="2" t="s">
        <x:v>259</x:v>
      </x:c>
      <x:c r="L23" s="2" t="s">
        <x:v>260</x:v>
      </x:c>
      <x:c r="M23" s="2"/>
      <x:c r="N23" s="2"/>
      <x:c r="O23" s="2"/>
      <x:c r="P23" s="2"/>
      <x:c r="Q23" s="2"/>
      <x:c r="R23" s="2"/>
      <x:c r="S23" s="2"/>
      <x:c r="T23" s="2"/>
      <x:c r="U23" s="2"/>
      <x:c r="V23" s="69" t="str">
        <x:f aca="0">"'"&amp;A23&amp;"': { name: '"&amp;B23&amp;"', nameZh: '"&amp;C23&amp;"', nameZhG22: '"&amp;D23&amp;"', nameKo: '"&amp;E23&amp;"', nameEn: '"&amp;F23&amp;"', symbol: '"&amp;G23&amp;"', symbolZh: '"&amp;H23&amp;"', symbolZhG22: '"&amp;I23&amp;"', symbolKo: '"&amp;J23&amp;"', symbolEn: '"&amp;K23&amp;"'"&amp;IF(N23&lt;&gt;"",", base: '"&amp;M23&amp;"', anotherID: '"&amp;N23&amp;"'","")&amp;IF(O23="○", ", notExistCardSets: ['na-s2'] as CardSet[]", IF(P23="○", ", notExistCardSets: ['na-s2', 'na-s3'] as CardSet[]", IF(Q23="○", ", notExistCardSets: ['na-s2', 'na-s3', 'na-s4', 'na-s4-pre'] as CardSet[]", IF(R23="○", ", notExistCardSets: ['na-s2', 'na-s3', 'na-s4', 'na-s4-pre', 'na-s5'] as CardSet[]", IF(S23="○", ", notExistCardSets: ['na-s2', 'na-s3', 'na-s4', 'na-s4-pre', 'na-s5', 'na-s6', 'na-s6-2'] as CardSet[]", IF(T23="○", ", notExistCardSets: ['na-s2', 'na-s3', 'na-s4', 'na-s4-pre', 'na-s5', 'na-s6', 'na-s6-2', 'na-s7'] as CardSet[]", IF(U23="○", ", notExistCardSets: ['na-s2', 'na-s3', 'na-s4', 'na-s4-pre', 'na-s5', 'na-s6', 'na-s6-2', 'na-s7', 'na-s7-2'] as CardSet[]", ""))))))) &amp; ", tarotNo: '" &amp; L23 &amp; "'},"</x:f>
        <x:v>'kururu': { name: 'クルル', nameZh: '枢', nameZhG22: '枢', nameKo: '쿠루루', nameEn: 'Kururu', symbol: '絡繰', symbolZh: '机关', symbolZhG22: '机巧', symbolKo: '자동장치', symbolEn: 'Karakuri', tarotNo: '10'},</x:v>
      </x:c>
      <x:c r="W23" s="5"/>
      <x:c r="X23" s="5"/>
      <x:c r="Y23" s="5"/>
      <x:c r="Z23" s="5"/>
      <x:c r="AA23" s="5"/>
      <x:c r="AB23" s="5"/>
      <x:c r="AC23" s="5"/>
      <x:c r="AD23" s="5"/>
      <x:c r="AE23" s="5"/>
      <x:c r="AF23" s="5"/>
      <x:c r="AG23" s="5"/>
      <x:c r="AH23" s="5"/>
    </x:row>
    <x:row r="24" ht="12" hidden="0" customHeight="1">
      <x:c r="A24" s="2" t="s">
        <x:v>261</x:v>
      </x:c>
      <x:c r="B24" s="2" t="s">
        <x:v>262</x:v>
      </x:c>
      <x:c r="C24" s="2" t="s">
        <x:v>263</x:v>
      </x:c>
      <x:c r="D24" s="2" t="s">
        <x:v>263</x:v>
      </x:c>
      <x:c r="E24" s="2" t="s">
        <x:v>264</x:v>
      </x:c>
      <x:c r="F24" s="7" t="s">
        <x:v>265</x:v>
      </x:c>
      <x:c r="G24" s="2" t="s">
        <x:v>266</x:v>
      </x:c>
      <x:c r="H24" s="2" t="s">
        <x:v>267</x:v>
      </x:c>
      <x:c r="I24" s="7" t="s">
        <x:v>267</x:v>
      </x:c>
      <x:c r="J24" s="2" t="s">
        <x:v>268</x:v>
      </x:c>
      <x:c r="K24" s="7" t="s">
        <x:v>269</x:v>
      </x:c>
      <x:c r="L24" s="2" t="s">
        <x:v>260</x:v>
      </x:c>
      <x:c r="M24" s="2" t="s">
        <x:v>250</x:v>
      </x:c>
      <x:c r="N24" s="2" t="s">
        <x:v>76</x:v>
      </x:c>
      <x:c r="O24" s="2"/>
      <x:c r="P24" s="2" t="s">
        <x:v>86</x:v>
      </x:c>
      <x:c r="Q24" s="2"/>
      <x:c r="R24" s="2"/>
      <x:c r="S24" s="2"/>
      <x:c r="T24" s="2"/>
      <x:c r="U24" s="2"/>
      <x:c r="V24" s="69" t="str">
        <x:f aca="0">"'"&amp;A24&amp;"': { name: '"&amp;B24&amp;"', nameZh: '"&amp;C24&amp;"', nameZhG23: '"&amp;D24&amp;"', nameKo: '"&amp;E24&amp;"', nameEn: '"&amp;F24&amp;"', symbol: '"&amp;G24&amp;"', symbolZh: '"&amp;H24&amp;"', symbolZhG23: '"&amp;I24&amp;"', symbolKo: '"&amp;J24&amp;"', symbolEn: '"&amp;K24&amp;"'"&amp;IF(N24&lt;&gt;"",", base: '"&amp;M24&amp;"', anotherID: '"&amp;N24&amp;"'","")&amp;IF(O24="○", ", notExistCardSets: ['na-s2'] as CardSet[]", IF(P24="○", ", notExistCardSets: ['na-s2', 'na-s3'] as CardSet[]", IF(Q24="○", ", notExistCardSets: ['na-s2', 'na-s3', 'na-s4', 'na-s4-pre'] as CardSet[]", IF(R24="○", ", notExistCardSets: ['na-s2', 'na-s3', 'na-s4', 'na-s4-pre', 'na-s5'] as CardSet[]", IF(S24="○", ", notExistCardSets: ['na-s2', 'na-s3', 'na-s4', 'na-s4-pre', 'na-s5', 'na-s6', 'na-s6-2'] as CardSet[]", IF(T24="○", ", notExistCardSets: ['na-s2', 'na-s3', 'na-s4', 'na-s4-pre', 'na-s5', 'na-s6', 'na-s6-2', 'na-s7'] as CardSet[]", IF(U24="○", ", notExistCardSets: ['na-s2', 'na-s3', 'na-s4', 'na-s4-pre', 'na-s5', 'na-s6', 'na-s6-2', 'na-s7', 'na-s7-2'] as CardSet[]", ""))))))) &amp; ", tarotNo: '" &amp; L24 &amp; "'},"</x:f>
        <x:v>'kururu-a1': { name: '探索者クルル', nameZh: '探索者枢', nameZhG23: '探索者枢', nameKo: '탐색자 쿠루루', nameEn: 'Explorer Kururu', symbol: '機器', symbolZh: '机器', symbolZhG23: '机器', symbolKo: '기계', symbolEn: 'Machanism', base: 'kururu', anotherID: 'A1', notExistCardSets: ['na-s2', 'na-s3'] as CardSet[], tarotNo: '10'},</x:v>
      </x:c>
      <x:c r="W24" s="5"/>
      <x:c r="X24" s="5"/>
      <x:c r="Y24" s="5"/>
      <x:c r="Z24" s="5"/>
      <x:c r="AA24" s="5"/>
      <x:c r="AB24" s="5"/>
      <x:c r="AC24" s="5"/>
      <x:c r="AD24" s="5"/>
      <x:c r="AE24" s="5"/>
      <x:c r="AF24" s="5"/>
      <x:c r="AG24" s="5"/>
      <x:c r="AH24" s="5"/>
    </x:row>
    <x:row r="25" s="63" customFormat="1" ht="12" hidden="0" customHeight="1">
      <x:c r="A25" s="2" t="s">
        <x:v>270</x:v>
      </x:c>
      <x:c r="B25" s="2" t="s">
        <x:v>271</x:v>
      </x:c>
      <x:c r="C25" s="2" t="s">
        <x:v>272</x:v>
      </x:c>
      <x:c r="D25" s="2" t="s">
        <x:v>272</x:v>
      </x:c>
      <x:c r="E25" s="425" t="s">
        <x:v>273</x:v>
      </x:c>
      <x:c r="F25" s="7" t="s">
        <x:v>274</x:v>
      </x:c>
      <x:c r="G25" s="2" t="s">
        <x:v>275</x:v>
      </x:c>
      <x:c r="H25" s="2" t="s">
        <x:v>275</x:v>
      </x:c>
      <x:c r="I25" s="2" t="s">
        <x:v>275</x:v>
      </x:c>
      <x:c r="J25" s="426" t="s">
        <x:v>276</x:v>
      </x:c>
      <x:c r="K25" s="195" t="s">
        <x:v>277</x:v>
      </x:c>
      <x:c r="L25" s="2" t="s">
        <x:v>260</x:v>
      </x:c>
      <x:c r="M25" s="2" t="s">
        <x:v>250</x:v>
      </x:c>
      <x:c r="N25" s="427" t="s">
        <x:v>85</x:v>
      </x:c>
      <x:c r="O25" s="15"/>
      <x:c r="P25" s="15"/>
      <x:c r="Q25" s="2"/>
      <x:c r="R25" s="2"/>
      <x:c r="S25" s="2" t="s">
        <x:v>86</x:v>
      </x:c>
      <x:c r="T25" s="2"/>
      <x:c r="U25" s="2"/>
      <x:c r="V25" s="69" t="str">
        <x:f aca="0">"'"&amp;A25&amp;"': { name: '"&amp;B25&amp;"', nameZh: '"&amp;C25&amp;"', nameZhG24: '"&amp;D25&amp;"', nameKo: '"&amp;E25&amp;"', nameEn: '"&amp;F25&amp;"', symbol: '"&amp;G25&amp;"', symbolZh: '"&amp;H25&amp;"', symbolZhG24: '"&amp;I25&amp;"', symbolKo: '"&amp;J25&amp;"', symbolEn: '"&amp;K25&amp;"'"&amp;IF(N25&lt;&gt;"",", base: '"&amp;M25&amp;"', anotherID: '"&amp;N25&amp;"'","")&amp;IF(O25="○", ", notExistCardSets: ['na-s2'] as CardSet[]", IF(P25="○", ", notExistCardSets: ['na-s2', 'na-s3'] as CardSet[]", IF(Q25="○", ", notExistCardSets: ['na-s2', 'na-s3', 'na-s4', 'na-s4-pre'] as CardSet[]", IF(R25="○", ", notExistCardSets: ['na-s2', 'na-s3', 'na-s4', 'na-s4-pre', 'na-s5'] as CardSet[]", IF(S25="○", ", notExistCardSets: ['na-s2', 'na-s3', 'na-s4', 'na-s4-pre', 'na-s5', 'na-s6', 'na-s6-2'] as CardSet[]", IF(T25="○", ", notExistCardSets: ['na-s2', 'na-s3', 'na-s4', 'na-s4-pre', 'na-s5', 'na-s6', 'na-s6-2', 'na-s7'] as CardSet[]", IF(U25="○", ", notExistCardSets: ['na-s2', 'na-s3', 'na-s4', 'na-s4-pre', 'na-s5', 'na-s6', 'na-s6-2', 'na-s7', 'na-s7-2'] as CardSet[]", ""))))))) &amp; ", tarotNo: '" &amp; L25 &amp; "'},"</x:f>
        <x:v>'kururu-a2': { name: '徒神クルル', nameZh: '徒神枢', nameZhG24: '徒神枢', nameKo: '허무신 쿠루루', nameEn: 'Adagami Kururu', symbol: '友情', symbolZh: '友情', symbolZhG24: '友情', symbolKo: '우정', symbolEn: 'Friendship', base: 'kururu', anotherID: 'A2', notExistCardSets: ['na-s2', 'na-s3', 'na-s4', 'na-s4-pre', 'na-s5', 'na-s6', 'na-s6-2'] as CardSet[], tarotNo: '10'},</x:v>
      </x:c>
      <x:c r="W25" s="5"/>
      <x:c r="X25" s="5"/>
      <x:c r="Y25" s="5"/>
      <x:c r="Z25" s="5"/>
      <x:c r="AA25" s="5"/>
      <x:c r="AB25" s="5"/>
      <x:c r="AC25" s="5"/>
      <x:c r="AD25" s="5"/>
      <x:c r="AE25" s="5"/>
      <x:c r="AF25" s="5"/>
      <x:c r="AG25" s="5"/>
      <x:c r="AH25" s="5"/>
    </x:row>
    <x:row r="26" ht="12" hidden="0" customHeight="1">
      <x:c r="A26" s="2" t="s">
        <x:v>278</x:v>
      </x:c>
      <x:c r="B26" s="2" t="s">
        <x:v>279</x:v>
      </x:c>
      <x:c r="C26" s="428" t="s">
        <x:v>280</x:v>
      </x:c>
      <x:c r="D26" s="2" t="s">
        <x:v>280</x:v>
      </x:c>
      <x:c r="E26" s="2" t="s">
        <x:v>281</x:v>
      </x:c>
      <x:c r="F26" s="2" t="s">
        <x:v>282</x:v>
      </x:c>
      <x:c r="G26" s="2" t="s">
        <x:v>283</x:v>
      </x:c>
      <x:c r="H26" s="2" t="s">
        <x:v>284</x:v>
      </x:c>
      <x:c r="I26" s="7" t="s">
        <x:v>285</x:v>
      </x:c>
      <x:c r="J26" s="2" t="s">
        <x:v>286</x:v>
      </x:c>
      <x:c r="K26" s="2" t="s">
        <x:v>287</x:v>
      </x:c>
      <x:c r="L26" s="2" t="s">
        <x:v>288</x:v>
      </x:c>
      <x:c r="M26" s="2"/>
      <x:c r="N26" s="2"/>
      <x:c r="O26" s="2"/>
      <x:c r="P26" s="2"/>
      <x:c r="Q26" s="2"/>
      <x:c r="R26" s="2"/>
      <x:c r="S26" s="2"/>
      <x:c r="T26" s="2"/>
      <x:c r="U26" s="2"/>
      <x:c r="V26" s="69" t="str">
        <x:f aca="0">"'"&amp;A26&amp;"': { name: '"&amp;B26&amp;"', nameZh: '"&amp;C26&amp;"', nameZhG25: '"&amp;D26&amp;"', nameKo: '"&amp;E26&amp;"', nameEn: '"&amp;F26&amp;"', symbol: '"&amp;G26&amp;"', symbolZh: '"&amp;H26&amp;"', symbolZhG25: '"&amp;I26&amp;"', symbolKo: '"&amp;J26&amp;"', symbolEn: '"&amp;K26&amp;"'"&amp;IF(N26&lt;&gt;"",", base: '"&amp;M26&amp;"', anotherID: '"&amp;N26&amp;"'","")&amp;IF(O26="○", ", notExistCardSets: ['na-s2'] as CardSet[]", IF(P26="○", ", notExistCardSets: ['na-s2', 'na-s3'] as CardSet[]", IF(Q26="○", ", notExistCardSets: ['na-s2', 'na-s3', 'na-s4', 'na-s4-pre'] as CardSet[]", IF(R26="○", ", notExistCardSets: ['na-s2', 'na-s3', 'na-s4', 'na-s4-pre', 'na-s5'] as CardSet[]", IF(S26="○", ", notExistCardSets: ['na-s2', 'na-s3', 'na-s4', 'na-s4-pre', 'na-s5', 'na-s6', 'na-s6-2'] as CardSet[]", IF(T26="○", ", notExistCardSets: ['na-s2', 'na-s3', 'na-s4', 'na-s4-pre', 'na-s5', 'na-s6', 'na-s6-2', 'na-s7'] as CardSet[]", IF(U26="○", ", notExistCardSets: ['na-s2', 'na-s3', 'na-s4', 'na-s4-pre', 'na-s5', 'na-s6', 'na-s6-2', 'na-s7', 'na-s7-2'] as CardSet[]", ""))))))) &amp; ", tarotNo: '" &amp; L26 &amp; "'},"</x:f>
        <x:v>'thallya': { name: 'サリヤ', nameZh: '萨莉娅', nameZhG25: '萨莉娅', nameKo: '탈리야', nameEn: 'Thallya', symbol: '乗騎', symbolZh: '骑', symbolZhG25: '车', symbolKo: '기승', symbolEn: 'Mount', tarotNo: '11'},</x:v>
      </x:c>
      <x:c r="W26" s="5"/>
      <x:c r="X26" s="5"/>
      <x:c r="Y26" s="5"/>
      <x:c r="Z26" s="5"/>
      <x:c r="AA26" s="5"/>
      <x:c r="AB26" s="5"/>
      <x:c r="AC26" s="5"/>
      <x:c r="AD26" s="5"/>
      <x:c r="AE26" s="5"/>
      <x:c r="AF26" s="5"/>
      <x:c r="AG26" s="5"/>
      <x:c r="AH26" s="5"/>
    </x:row>
    <x:row r="27" s="63" customFormat="1" ht="12" hidden="0" customHeight="1">
      <x:c r="A27" s="2" t="s">
        <x:v>289</x:v>
      </x:c>
      <x:c r="B27" s="2" t="s">
        <x:v>290</x:v>
      </x:c>
      <x:c r="C27" s="2" t="s">
        <x:v>291</x:v>
      </x:c>
      <x:c r="D27" s="428" t="s">
        <x:v>292</x:v>
      </x:c>
      <x:c r="E27" s="2" t="s">
        <x:v>293</x:v>
      </x:c>
      <x:c r="F27" s="7" t="s">
        <x:v>294</x:v>
      </x:c>
      <x:c r="G27" s="2" t="s">
        <x:v>295</x:v>
      </x:c>
      <x:c r="H27" s="2" t="s">
        <x:v>295</x:v>
      </x:c>
      <x:c r="I27" s="7" t="s">
        <x:v>295</x:v>
      </x:c>
      <x:c r="J27" s="2" t="s">
        <x:v>296</x:v>
      </x:c>
      <x:c r="K27" s="7" t="s">
        <x:v>297</x:v>
      </x:c>
      <x:c r="L27" s="2" t="s">
        <x:v>288</x:v>
      </x:c>
      <x:c r="M27" s="2" t="s">
        <x:v>278</x:v>
      </x:c>
      <x:c r="N27" s="2" t="s">
        <x:v>76</x:v>
      </x:c>
      <x:c r="O27" s="2"/>
      <x:c r="P27" s="2"/>
      <x:c r="Q27" s="2" t="s">
        <x:v>86</x:v>
      </x:c>
      <x:c r="R27" s="2"/>
      <x:c r="S27" s="2"/>
      <x:c r="T27" s="2"/>
      <x:c r="U27" s="2"/>
      <x:c r="V27" s="69" t="str">
        <x:f aca="0">"'"&amp;A27&amp;"': { name: '"&amp;B27&amp;"', nameZh: '"&amp;C27&amp;"', nameZhG26: '"&amp;D27&amp;"', nameKo: '"&amp;E27&amp;"', nameEn: '"&amp;F27&amp;"', symbol: '"&amp;G27&amp;"', symbolZh: '"&amp;H27&amp;"', symbolZhG26: '"&amp;I27&amp;"', symbolKo: '"&amp;J27&amp;"', symbolEn: '"&amp;K27&amp;"'"&amp;IF(N27&lt;&gt;"",", base: '"&amp;M27&amp;"', anotherID: '"&amp;N27&amp;"'","")&amp;IF(O27="○", ", notExistCardSets: ['na-s2'] as CardSet[]", IF(P27="○", ", notExistCardSets: ['na-s2', 'na-s3'] as CardSet[]", IF(Q27="○", ", notExistCardSets: ['na-s2', 'na-s3', 'na-s4', 'na-s4-pre'] as CardSet[]", IF(R27="○", ", notExistCardSets: ['na-s2', 'na-s3', 'na-s4', 'na-s4-pre', 'na-s5'] as CardSet[]", IF(S27="○", ", notExistCardSets: ['na-s2', 'na-s3', 'na-s4', 'na-s4-pre', 'na-s5', 'na-s6', 'na-s6-2'] as CardSet[]", IF(T27="○", ", notExistCardSets: ['na-s2', 'na-s3', 'na-s4', 'na-s4-pre', 'na-s5', 'na-s6', 'na-s6-2', 'na-s7'] as CardSet[]", IF(U27="○", ", notExistCardSets: ['na-s2', 'na-s3', 'na-s4', 'na-s4-pre', 'na-s5', 'na-s6', 'na-s6-2', 'na-s7', 'na-s7-2'] as CardSet[]", ""))))))) &amp; ", tarotNo: '" &amp; L27 &amp; "'},"</x:f>
        <x:v>'thallya-a1': { name: '帰還サリヤ', nameZh: '回返萨莉娅', nameZhG26: '归还萨莉娅', nameKo: '귀환 탈리야', nameEn: 'Return Thallya', symbol: '新型', symbolZh: '新型', symbolZhG26: '新型', symbolKo: '신형', symbolEn: 'New Form', base: 'thallya', anotherID: 'A1', notExistCardSets: ['na-s2', 'na-s3', 'na-s4', 'na-s4-pre'] as CardSet[], tarotNo: '11'},</x:v>
      </x:c>
      <x:c r="W27" s="5"/>
      <x:c r="X27" s="5"/>
      <x:c r="Y27" s="5"/>
      <x:c r="Z27" s="5"/>
      <x:c r="AA27" s="5"/>
      <x:c r="AB27" s="5"/>
      <x:c r="AC27" s="5"/>
      <x:c r="AD27" s="5"/>
      <x:c r="AE27" s="5"/>
      <x:c r="AF27" s="5"/>
      <x:c r="AG27" s="5"/>
      <x:c r="AH27" s="5"/>
    </x:row>
    <x:row r="28" ht="12" hidden="0" customHeight="1">
      <x:c r="A28" s="2" t="s">
        <x:v>298</x:v>
      </x:c>
      <x:c r="B28" s="2" t="s">
        <x:v>299</x:v>
      </x:c>
      <x:c r="C28" s="2" t="s">
        <x:v>300</x:v>
      </x:c>
      <x:c r="D28" s="2" t="s">
        <x:v>300</x:v>
      </x:c>
      <x:c r="E28" s="2" t="s">
        <x:v>301</x:v>
      </x:c>
      <x:c r="F28" s="2" t="s">
        <x:v>302</x:v>
      </x:c>
      <x:c r="G28" s="2" t="s">
        <x:v>303</x:v>
      </x:c>
      <x:c r="H28" s="2" t="s">
        <x:v>303</x:v>
      </x:c>
      <x:c r="I28" s="7" t="s">
        <x:v>303</x:v>
      </x:c>
      <x:c r="J28" s="2" t="s">
        <x:v>304</x:v>
      </x:c>
      <x:c r="K28" s="2" t="s">
        <x:v>305</x:v>
      </x:c>
      <x:c r="L28" s="2" t="s">
        <x:v>306</x:v>
      </x:c>
      <x:c r="M28" s="2"/>
      <x:c r="N28" s="2"/>
      <x:c r="O28" s="2"/>
      <x:c r="P28" s="2"/>
      <x:c r="Q28" s="2"/>
      <x:c r="R28" s="2"/>
      <x:c r="S28" s="2"/>
      <x:c r="T28" s="2"/>
      <x:c r="U28" s="2"/>
      <x:c r="V28" s="69" t="str">
        <x:f aca="0">"'"&amp;A28&amp;"': { name: '"&amp;B28&amp;"', nameZh: '"&amp;C28&amp;"', nameZhG27: '"&amp;D28&amp;"', nameKo: '"&amp;E28&amp;"', nameEn: '"&amp;F28&amp;"', symbol: '"&amp;G28&amp;"', symbolZh: '"&amp;H28&amp;"', symbolZhG27: '"&amp;I28&amp;"', symbolKo: '"&amp;J28&amp;"', symbolEn: '"&amp;K28&amp;"'"&amp;IF(N28&lt;&gt;"",", base: '"&amp;M28&amp;"', anotherID: '"&amp;N28&amp;"'","")&amp;IF(O28="○", ", notExistCardSets: ['na-s2'] as CardSet[]", IF(P28="○", ", notExistCardSets: ['na-s2', 'na-s3'] as CardSet[]", IF(Q28="○", ", notExistCardSets: ['na-s2', 'na-s3', 'na-s4', 'na-s4-pre'] as CardSet[]", IF(R28="○", ", notExistCardSets: ['na-s2', 'na-s3', 'na-s4', 'na-s4-pre', 'na-s5'] as CardSet[]", IF(S28="○", ", notExistCardSets: ['na-s2', 'na-s3', 'na-s4', 'na-s4-pre', 'na-s5', 'na-s6', 'na-s6-2'] as CardSet[]", IF(T28="○", ", notExistCardSets: ['na-s2', 'na-s3', 'na-s4', 'na-s4-pre', 'na-s5', 'na-s6', 'na-s6-2', 'na-s7'] as CardSet[]", IF(U28="○", ", notExistCardSets: ['na-s2', 'na-s3', 'na-s4', 'na-s4-pre', 'na-s5', 'na-s6', 'na-s6-2', 'na-s7', 'na-s7-2'] as CardSet[]", ""))))))) &amp; ", tarotNo: '" &amp; L28 &amp; "'},"</x:f>
        <x:v>'raira': { name: 'ライラ', nameZh: '雷螺', nameZhG27: '雷螺', nameKo: '라이라', nameEn: 'Raira', symbol: '爪', symbolZh: '爪', symbolZhG27: '爪', symbolKo: '손톱', symbolEn: 'Claw', tarotNo: '12'},</x:v>
      </x:c>
      <x:c r="W28" s="5"/>
      <x:c r="X28" s="5"/>
      <x:c r="Y28" s="5"/>
      <x:c r="Z28" s="5"/>
      <x:c r="AA28" s="5"/>
      <x:c r="AB28" s="5"/>
      <x:c r="AC28" s="5"/>
      <x:c r="AD28" s="5"/>
      <x:c r="AE28" s="5"/>
      <x:c r="AF28" s="5"/>
      <x:c r="AG28" s="5"/>
      <x:c r="AH28" s="5"/>
    </x:row>
    <x:row r="29" s="63" customFormat="1" ht="12" hidden="0" customHeight="1">
      <x:c r="A29" s="2" t="s">
        <x:v>307</x:v>
      </x:c>
      <x:c r="B29" s="2" t="s">
        <x:v>308</x:v>
      </x:c>
      <x:c r="C29" s="2" t="s">
        <x:v>309</x:v>
      </x:c>
      <x:c r="D29" s="2" t="s">
        <x:v>309</x:v>
      </x:c>
      <x:c r="E29" s="2" t="s">
        <x:v>310</x:v>
      </x:c>
      <x:c r="F29" s="2" t="s">
        <x:v>311</x:v>
      </x:c>
      <x:c r="G29" s="2" t="s">
        <x:v>312</x:v>
      </x:c>
      <x:c r="H29" s="2" t="s">
        <x:v>313</x:v>
      </x:c>
      <x:c r="I29" s="7" t="s">
        <x:v>314</x:v>
      </x:c>
      <x:c r="J29" s="2" t="s">
        <x:v>315</x:v>
      </x:c>
      <x:c r="K29" s="2" t="s">
        <x:v>316</x:v>
      </x:c>
      <x:c r="L29" s="2" t="s">
        <x:v>306</x:v>
      </x:c>
      <x:c r="M29" s="2" t="s">
        <x:v>298</x:v>
      </x:c>
      <x:c r="N29" s="2" t="s">
        <x:v>76</x:v>
      </x:c>
      <x:c r="O29" s="2"/>
      <x:c r="P29" s="2"/>
      <x:c r="Q29" s="2" t="s">
        <x:v>86</x:v>
      </x:c>
      <x:c r="R29" s="2"/>
      <x:c r="S29" s="2"/>
      <x:c r="T29" s="2"/>
      <x:c r="U29" s="2"/>
      <x:c r="V29" s="69" t="str">
        <x:f aca="0">"'"&amp;A29&amp;"': { name: '"&amp;B29&amp;"', nameZh: '"&amp;C29&amp;"', nameZhG28: '"&amp;D29&amp;"', nameKo: '"&amp;E29&amp;"', nameEn: '"&amp;F29&amp;"', symbol: '"&amp;G29&amp;"', symbolZh: '"&amp;H29&amp;"', symbolZhG28: '"&amp;I29&amp;"', symbolKo: '"&amp;J29&amp;"', symbolEn: '"&amp;K29&amp;"'"&amp;IF(N29&lt;&gt;"",", base: '"&amp;M29&amp;"', anotherID: '"&amp;N29&amp;"'","")&amp;IF(O29="○", ", notExistCardSets: ['na-s2'] as CardSet[]", IF(P29="○", ", notExistCardSets: ['na-s2', 'na-s3'] as CardSet[]", IF(Q29="○", ", notExistCardSets: ['na-s2', 'na-s3', 'na-s4', 'na-s4-pre'] as CardSet[]", IF(R29="○", ", notExistCardSets: ['na-s2', 'na-s3', 'na-s4', 'na-s4-pre', 'na-s5'] as CardSet[]", IF(S29="○", ", notExistCardSets: ['na-s2', 'na-s3', 'na-s4', 'na-s4-pre', 'na-s5', 'na-s6', 'na-s6-2'] as CardSet[]", IF(T29="○", ", notExistCardSets: ['na-s2', 'na-s3', 'na-s4', 'na-s4-pre', 'na-s5', 'na-s6', 'na-s6-2', 'na-s7'] as CardSet[]", IF(U29="○", ", notExistCardSets: ['na-s2', 'na-s3', 'na-s4', 'na-s4-pre', 'na-s5', 'na-s6', 'na-s6-2', 'na-s7', 'na-s7-2'] as CardSet[]", ""))))))) &amp; ", tarotNo: '" &amp; L29 &amp; "'},"</x:f>
        <x:v>'raira-a1': { name: '祈祷師ライラ', nameZh: '祈祷师雷螺', nameZhG28: '祈祷师雷螺', nameKo: '기도사 라이라', nameEn: 'Prayer Raira', symbol: '嵐', symbolZh: '飓', symbolZhG28: '岚', symbolKo: '폭풍', symbolEn: 'Storm', base: 'raira', anotherID: 'A1', notExistCardSets: ['na-s2', 'na-s3', 'na-s4', 'na-s4-pre'] as CardSet[], tarotNo: '12'},</x:v>
      </x:c>
      <x:c r="W29" s="5"/>
      <x:c r="X29" s="5"/>
      <x:c r="Y29" s="5"/>
      <x:c r="Z29" s="5"/>
      <x:c r="AA29" s="5"/>
      <x:c r="AB29" s="5"/>
      <x:c r="AC29" s="5"/>
      <x:c r="AD29" s="5"/>
      <x:c r="AE29" s="5"/>
      <x:c r="AF29" s="5"/>
      <x:c r="AG29" s="5"/>
      <x:c r="AH29" s="5"/>
    </x:row>
    <x:row r="30" ht="12" hidden="0" customHeight="1">
      <x:c r="A30" s="2" t="s">
        <x:v>317</x:v>
      </x:c>
      <x:c r="B30" s="2" t="s">
        <x:v>318</x:v>
      </x:c>
      <x:c r="C30" s="2" t="s">
        <x:v>319</x:v>
      </x:c>
      <x:c r="D30" s="2" t="s">
        <x:v>319</x:v>
      </x:c>
      <x:c r="E30" s="2" t="s">
        <x:v>320</x:v>
      </x:c>
      <x:c r="F30" s="2" t="s">
        <x:v>321</x:v>
      </x:c>
      <x:c r="G30" s="2" t="s">
        <x:v>322</x:v>
      </x:c>
      <x:c r="H30" s="2" t="s">
        <x:v>323</x:v>
      </x:c>
      <x:c r="I30" s="7" t="s">
        <x:v>323</x:v>
      </x:c>
      <x:c r="J30" s="2" t="s">
        <x:v>324</x:v>
      </x:c>
      <x:c r="K30" s="2" t="s">
        <x:v>325</x:v>
      </x:c>
      <x:c r="L30" s="2" t="s">
        <x:v>326</x:v>
      </x:c>
      <x:c r="M30" s="2"/>
      <x:c r="N30" s="2"/>
      <x:c r="O30" s="2"/>
      <x:c r="P30" s="2"/>
      <x:c r="Q30" s="2"/>
      <x:c r="R30" s="2"/>
      <x:c r="S30" s="2"/>
      <x:c r="T30" s="2"/>
      <x:c r="U30" s="2"/>
      <x:c r="V30" s="69" t="str">
        <x:f aca="0">"'"&amp;A30&amp;"': { name: '"&amp;B30&amp;"', nameZh: '"&amp;C30&amp;"', nameZhG29: '"&amp;D30&amp;"', nameKo: '"&amp;E30&amp;"', nameEn: '"&amp;F30&amp;"', symbol: '"&amp;G30&amp;"', symbolZh: '"&amp;H30&amp;"', symbolZhG29: '"&amp;I30&amp;"', symbolKo: '"&amp;J30&amp;"', symbolEn: '"&amp;K30&amp;"'"&amp;IF(N30&lt;&gt;"",", base: '"&amp;M30&amp;"', anotherID: '"&amp;N30&amp;"'","")&amp;IF(O30="○", ", notExistCardSets: ['na-s2'] as CardSet[]", IF(P30="○", ", notExistCardSets: ['na-s2', 'na-s3'] as CardSet[]", IF(Q30="○", ", notExistCardSets: ['na-s2', 'na-s3', 'na-s4', 'na-s4-pre'] as CardSet[]", IF(R30="○", ", notExistCardSets: ['na-s2', 'na-s3', 'na-s4', 'na-s4-pre', 'na-s5'] as CardSet[]", IF(S30="○", ", notExistCardSets: ['na-s2', 'na-s3', 'na-s4', 'na-s4-pre', 'na-s5', 'na-s6', 'na-s6-2'] as CardSet[]", IF(T30="○", ", notExistCardSets: ['na-s2', 'na-s3', 'na-s4', 'na-s4-pre', 'na-s5', 'na-s6', 'na-s6-2', 'na-s7'] as CardSet[]", IF(U30="○", ", notExistCardSets: ['na-s2', 'na-s3', 'na-s4', 'na-s4-pre', 'na-s5', 'na-s6', 'na-s6-2', 'na-s7', 'na-s7-2'] as CardSet[]", ""))))))) &amp; ", tarotNo: '" &amp; L30 &amp; "'},"</x:f>
        <x:v>'utsuro': { name: 'ウツロ', nameZh: '虚路', nameZhG29: '虚路', nameKo: '우츠로', nameEn: 'Utsuro', symbol: '鎌', symbolZh: '镰', symbolZhG29: '镰', symbolKo: '대낫', symbolEn: 'Scythe', tarotNo: '13'},</x:v>
      </x:c>
      <x:c r="W30" s="5"/>
      <x:c r="X30" s="5"/>
      <x:c r="Y30" s="5"/>
      <x:c r="Z30" s="5"/>
      <x:c r="AA30" s="5"/>
      <x:c r="AB30" s="5"/>
      <x:c r="AC30" s="5"/>
      <x:c r="AD30" s="5"/>
      <x:c r="AE30" s="5"/>
      <x:c r="AF30" s="5"/>
      <x:c r="AG30" s="5"/>
      <x:c r="AH30" s="5"/>
    </x:row>
    <x:row r="31" ht="12" hidden="0" customHeight="1">
      <x:c r="A31" s="2" t="s">
        <x:v>327</x:v>
      </x:c>
      <x:c r="B31" s="2" t="s">
        <x:v>328</x:v>
      </x:c>
      <x:c r="C31" s="2" t="s">
        <x:v>329</x:v>
      </x:c>
      <x:c r="D31" s="2" t="s">
        <x:v>329</x:v>
      </x:c>
      <x:c r="E31" s="2" t="s">
        <x:v>330</x:v>
      </x:c>
      <x:c r="F31" s="2" t="s">
        <x:v>331</x:v>
      </x:c>
      <x:c r="G31" s="2" t="s">
        <x:v>332</x:v>
      </x:c>
      <x:c r="H31" s="2" t="s">
        <x:v>333</x:v>
      </x:c>
      <x:c r="I31" s="7" t="s">
        <x:v>333</x:v>
      </x:c>
      <x:c r="J31" s="2" t="s">
        <x:v>334</x:v>
      </x:c>
      <x:c r="K31" s="2" t="s">
        <x:v>335</x:v>
      </x:c>
      <x:c r="L31" s="2" t="s">
        <x:v>326</x:v>
      </x:c>
      <x:c r="M31" s="2" t="s">
        <x:v>317</x:v>
      </x:c>
      <x:c r="N31" s="2" t="s">
        <x:v>76</x:v>
      </x:c>
      <x:c r="O31" s="2" t="s">
        <x:v>86</x:v>
      </x:c>
      <x:c r="P31" s="2"/>
      <x:c r="Q31" s="2"/>
      <x:c r="R31" s="2"/>
      <x:c r="S31" s="2"/>
      <x:c r="T31" s="2"/>
      <x:c r="U31" s="2"/>
      <x:c r="V31" s="69" t="str">
        <x:f aca="0">"'"&amp;A31&amp;"': { name: '"&amp;B31&amp;"', nameZh: '"&amp;C31&amp;"', nameZhG30: '"&amp;D31&amp;"', nameKo: '"&amp;E31&amp;"', nameEn: '"&amp;F31&amp;"', symbol: '"&amp;G31&amp;"', symbolZh: '"&amp;H31&amp;"', symbolZhG30: '"&amp;I31&amp;"', symbolKo: '"&amp;J31&amp;"', symbolEn: '"&amp;K31&amp;"'"&amp;IF(N31&lt;&gt;"",", base: '"&amp;M31&amp;"', anotherID: '"&amp;N31&amp;"'","")&amp;IF(O31="○", ", notExistCardSets: ['na-s2'] as CardSet[]", IF(P31="○", ", notExistCardSets: ['na-s2', 'na-s3'] as CardSet[]", IF(Q31="○", ", notExistCardSets: ['na-s2', 'na-s3', 'na-s4', 'na-s4-pre'] as CardSet[]", IF(R31="○", ", notExistCardSets: ['na-s2', 'na-s3', 'na-s4', 'na-s4-pre', 'na-s5'] as CardSet[]", IF(S31="○", ", notExistCardSets: ['na-s2', 'na-s3', 'na-s4', 'na-s4-pre', 'na-s5', 'na-s6', 'na-s6-2'] as CardSet[]", IF(T31="○", ", notExistCardSets: ['na-s2', 'na-s3', 'na-s4', 'na-s4-pre', 'na-s5', 'na-s6', 'na-s6-2', 'na-s7'] as CardSet[]", IF(U31="○", ", notExistCardSets: ['na-s2', 'na-s3', 'na-s4', 'na-s4-pre', 'na-s5', 'na-s6', 'na-s6-2', 'na-s7', 'na-s7-2'] as CardSet[]", ""))))))) &amp; ", tarotNo: '" &amp; L31 &amp; "'},"</x:f>
        <x:v>'utsuro-a1': { name: '終章ウツロ', nameZh: '终章虚路', nameZhG30: '终章虚路', nameKo: '종장 우츠로', nameEn: 'Final Chapter Utsuro', symbol: '塵', symbolZh: '尘', symbolZhG30: '尘', symbolKo: '먼지', symbolEn: 'Dust', base: 'utsuro', anotherID: 'A1', notExistCardSets: ['na-s2'] as CardSet[], tarotNo: '13'},</x:v>
      </x:c>
      <x:c r="W31" s="5"/>
      <x:c r="X31" s="5"/>
      <x:c r="Y31" s="5"/>
      <x:c r="Z31" s="5"/>
      <x:c r="AA31" s="5"/>
      <x:c r="AB31" s="5"/>
      <x:c r="AC31" s="5"/>
      <x:c r="AD31" s="5"/>
      <x:c r="AE31" s="5"/>
      <x:c r="AF31" s="5"/>
      <x:c r="AG31" s="5"/>
      <x:c r="AH31" s="5"/>
    </x:row>
    <x:row r="32" ht="12" hidden="0" customHeight="1">
      <x:c r="A32" s="2" t="s">
        <x:v>336</x:v>
      </x:c>
      <x:c r="B32" s="2" t="s">
        <x:v>337</x:v>
      </x:c>
      <x:c r="C32" s="2" t="s">
        <x:v>338</x:v>
      </x:c>
      <x:c r="D32" s="2" t="s">
        <x:v>338</x:v>
      </x:c>
      <x:c r="E32" s="2" t="s">
        <x:v>339</x:v>
      </x:c>
      <x:c r="F32" s="2" t="s">
        <x:v>340</x:v>
      </x:c>
      <x:c r="G32" s="2" t="s">
        <x:v>341</x:v>
      </x:c>
      <x:c r="H32" s="2" t="s">
        <x:v>341</x:v>
      </x:c>
      <x:c r="I32" s="7" t="s">
        <x:v>341</x:v>
      </x:c>
      <x:c r="J32" s="2" t="s">
        <x:v>342</x:v>
      </x:c>
      <x:c r="K32" s="2" t="s">
        <x:v>343</x:v>
      </x:c>
      <x:c r="L32" s="2" t="s">
        <x:v>344</x:v>
      </x:c>
      <x:c r="M32" s="2"/>
      <x:c r="N32" s="2"/>
      <x:c r="O32" s="2" t="s">
        <x:v>86</x:v>
      </x:c>
      <x:c r="P32" s="2"/>
      <x:c r="Q32" s="2"/>
      <x:c r="R32" s="2"/>
      <x:c r="S32" s="2"/>
      <x:c r="T32" s="2"/>
      <x:c r="U32" s="2"/>
      <x:c r="V32" s="69" t="str">
        <x:f aca="0">"'"&amp;A32&amp;"': { name: '"&amp;B32&amp;"', nameZh: '"&amp;C32&amp;"', nameZhG31: '"&amp;D32&amp;"', nameKo: '"&amp;E32&amp;"', nameEn: '"&amp;F32&amp;"', symbol: '"&amp;G32&amp;"', symbolZh: '"&amp;H32&amp;"', symbolZhG31: '"&amp;I32&amp;"', symbolKo: '"&amp;J32&amp;"', symbolEn: '"&amp;K32&amp;"'"&amp;IF(N32&lt;&gt;"",", base: '"&amp;M32&amp;"', anotherID: '"&amp;N32&amp;"'","")&amp;IF(O32="○", ", notExistCardSets: ['na-s2'] as CardSet[]", IF(P32="○", ", notExistCardSets: ['na-s2', 'na-s3'] as CardSet[]", IF(Q32="○", ", notExistCardSets: ['na-s2', 'na-s3', 'na-s4', 'na-s4-pre'] as CardSet[]", IF(R32="○", ", notExistCardSets: ['na-s2', 'na-s3', 'na-s4', 'na-s4-pre', 'na-s5'] as CardSet[]", IF(S32="○", ", notExistCardSets: ['na-s2', 'na-s3', 'na-s4', 'na-s4-pre', 'na-s5', 'na-s6', 'na-s6-2'] as CardSet[]", IF(T32="○", ", notExistCardSets: ['na-s2', 'na-s3', 'na-s4', 'na-s4-pre', 'na-s5', 'na-s6', 'na-s6-2', 'na-s7'] as CardSet[]", IF(U32="○", ", notExistCardSets: ['na-s2', 'na-s3', 'na-s4', 'na-s4-pre', 'na-s5', 'na-s6', 'na-s6-2', 'na-s7', 'na-s7-2'] as CardSet[]", ""))))))) &amp; ", tarotNo: '" &amp; L32 &amp; "'},"</x:f>
        <x:v>'honoka': { name: 'ホノカ', nameZh: '仄佳', nameZhG31: '仄佳', nameKo: '호노카', nameEn: 'Honoka', symbol: '旗', symbolZh: '旗', symbolZhG31: '旗', symbolKo: '깃발', symbolEn: 'Flag', notExistCardSets: ['na-s2'] as CardSet[], tarotNo: '14'},</x:v>
      </x:c>
      <x:c r="W32" s="5"/>
      <x:c r="X32" s="5"/>
      <x:c r="Y32" s="5"/>
      <x:c r="Z32" s="5"/>
      <x:c r="AA32" s="5"/>
      <x:c r="AB32" s="5"/>
      <x:c r="AC32" s="5"/>
      <x:c r="AD32" s="5"/>
      <x:c r="AE32" s="5"/>
      <x:c r="AF32" s="5"/>
      <x:c r="AG32" s="5"/>
      <x:c r="AH32" s="5"/>
    </x:row>
    <x:row r="33" s="63" customFormat="1" ht="12" hidden="0" customHeight="1">
      <x:c r="A33" s="2" t="s">
        <x:v>345</x:v>
      </x:c>
      <x:c r="B33" s="2" t="s">
        <x:v>346</x:v>
      </x:c>
      <x:c r="C33" s="2" t="s">
        <x:v>347</x:v>
      </x:c>
      <x:c r="D33" s="2" t="s">
        <x:v>348</x:v>
      </x:c>
      <x:c r="E33" s="425" t="s">
        <x:v>349</x:v>
      </x:c>
      <x:c r="F33" s="195" t="s">
        <x:v>350</x:v>
      </x:c>
      <x:c r="G33" s="195" t="s">
        <x:v>351</x:v>
      </x:c>
      <x:c r="H33" s="2" t="s">
        <x:v>351</x:v>
      </x:c>
      <x:c r="I33" s="195" t="s">
        <x:v>351</x:v>
      </x:c>
      <x:c r="J33" s="195" t="s">
        <x:v>352</x:v>
      </x:c>
      <x:c r="K33" s="195" t="s">
        <x:v>353</x:v>
      </x:c>
      <x:c r="L33" s="2" t="s">
        <x:v>344</x:v>
      </x:c>
      <x:c r="M33" s="2" t="s">
        <x:v>336</x:v>
      </x:c>
      <x:c r="N33" s="427" t="s">
        <x:v>76</x:v>
      </x:c>
      <x:c r="O33" s="15"/>
      <x:c r="P33" s="15"/>
      <x:c r="Q33" s="2"/>
      <x:c r="R33" s="2" t="s">
        <x:v>86</x:v>
      </x:c>
      <x:c r="S33" s="2"/>
      <x:c r="T33" s="2"/>
      <x:c r="U33" s="2"/>
      <x:c r="V33" s="69" t="str">
        <x:f aca="0">"'"&amp;A33&amp;"': { name: '"&amp;B33&amp;"', nameZh: '"&amp;C33&amp;"', nameZhG32: '"&amp;D33&amp;"', nameKo: '"&amp;E33&amp;"', nameEn: '"&amp;F33&amp;"', symbol: '"&amp;G33&amp;"', symbolZh: '"&amp;H33&amp;"', symbolZhG32: '"&amp;I33&amp;"', symbolKo: '"&amp;J33&amp;"', symbolEn: '"&amp;K33&amp;"'"&amp;IF(N33&lt;&gt;"",", base: '"&amp;M33&amp;"', anotherID: '"&amp;N33&amp;"'","")&amp;IF(O33="○", ", notExistCardSets: ['na-s2'] as CardSet[]", IF(P33="○", ", notExistCardSets: ['na-s2', 'na-s3'] as CardSet[]", IF(Q33="○", ", notExistCardSets: ['na-s2', 'na-s3', 'na-s4', 'na-s4-pre'] as CardSet[]", IF(R33="○", ", notExistCardSets: ['na-s2', 'na-s3', 'na-s4', 'na-s4-pre', 'na-s5'] as CardSet[]", IF(S33="○", ", notExistCardSets: ['na-s2', 'na-s3', 'na-s4', 'na-s4-pre', 'na-s5', 'na-s6', 'na-s6-2'] as CardSet[]", IF(T33="○", ", notExistCardSets: ['na-s2', 'na-s3', 'na-s4', 'na-s4-pre', 'na-s5', 'na-s6', 'na-s6-2', 'na-s7'] as CardSet[]", IF(U33="○", ", notExistCardSets: ['na-s2', 'na-s3', 'na-s4', 'na-s4-pre', 'na-s5', 'na-s6', 'na-s6-2', 'na-s7', 'na-s7-2'] as CardSet[]", ""))))))) &amp; ", tarotNo: '" &amp; L33 &amp; "'},"</x:f>
        <x:v>'honoka-a1': { name: '桜花拝ホノカ', nameZh: '拜樱仄佳', nameZhG32: '樱花拜仄佳', nameKo: '오우카 호노카', nameEn: 'Sakuraist Honoka', symbol: '勾玉', symbolZh: '勾玉', symbolZhG32: '勾玉', symbolKo: '곡옥', symbolEn: 'Magatama', base: 'honoka', anotherID: 'A1', notExistCardSets: ['na-s2', 'na-s3', 'na-s4', 'na-s4-pre', 'na-s5'] as CardSet[], tarotNo: '14'},</x:v>
      </x:c>
      <x:c r="W33" s="5"/>
      <x:c r="X33" s="5"/>
      <x:c r="Y33" s="5"/>
      <x:c r="Z33" s="5"/>
      <x:c r="AA33" s="5"/>
      <x:c r="AB33" s="5"/>
      <x:c r="AC33" s="5"/>
      <x:c r="AD33" s="5"/>
      <x:c r="AE33" s="5"/>
      <x:c r="AF33" s="5"/>
      <x:c r="AG33" s="5"/>
      <x:c r="AH33" s="5"/>
    </x:row>
    <x:row r="34" ht="12" hidden="0" customHeight="1">
      <x:c r="A34" s="2" t="s">
        <x:v>354</x:v>
      </x:c>
      <x:c r="B34" s="2" t="s">
        <x:v>355</x:v>
      </x:c>
      <x:c r="C34" s="2" t="s">
        <x:v>356</x:v>
      </x:c>
      <x:c r="D34" s="2" t="s">
        <x:v>356</x:v>
      </x:c>
      <x:c r="E34" s="2" t="s">
        <x:v>357</x:v>
      </x:c>
      <x:c r="F34" s="7" t="s">
        <x:v>358</x:v>
      </x:c>
      <x:c r="G34" s="2" t="s">
        <x:v>359</x:v>
      </x:c>
      <x:c r="H34" s="2" t="s">
        <x:v>359</x:v>
      </x:c>
      <x:c r="I34" s="7" t="s">
        <x:v>359</x:v>
      </x:c>
      <x:c r="J34" s="2" t="s">
        <x:v>360</x:v>
      </x:c>
      <x:c r="K34" s="7" t="s">
        <x:v>361</x:v>
      </x:c>
      <x:c r="L34" s="2" t="s">
        <x:v>362</x:v>
      </x:c>
      <x:c r="M34" s="2"/>
      <x:c r="N34" s="2"/>
      <x:c r="O34" s="2"/>
      <x:c r="P34" s="2" t="s">
        <x:v>86</x:v>
      </x:c>
      <x:c r="Q34" s="2"/>
      <x:c r="R34" s="2"/>
      <x:c r="S34" s="2"/>
      <x:c r="T34" s="2"/>
      <x:c r="U34" s="2"/>
      <x:c r="V34" s="69" t="str">
        <x:f aca="0">"'"&amp;A34&amp;"': { name: '"&amp;B34&amp;"', nameZh: '"&amp;C34&amp;"', nameZhG33: '"&amp;D34&amp;"', nameKo: '"&amp;E34&amp;"', nameEn: '"&amp;F34&amp;"', symbol: '"&amp;G34&amp;"', symbolZh: '"&amp;H34&amp;"', symbolZhG33: '"&amp;I34&amp;"', symbolKo: '"&amp;J34&amp;"', symbolEn: '"&amp;K34&amp;"'"&amp;IF(N34&lt;&gt;"",", base: '"&amp;M34&amp;"', anotherID: '"&amp;N34&amp;"'","")&amp;IF(O34="○", ", notExistCardSets: ['na-s2'] as CardSet[]", IF(P34="○", ", notExistCardSets: ['na-s2', 'na-s3'] as CardSet[]", IF(Q34="○", ", notExistCardSets: ['na-s2', 'na-s3', 'na-s4', 'na-s4-pre'] as CardSet[]", IF(R34="○", ", notExistCardSets: ['na-s2', 'na-s3', 'na-s4', 'na-s4-pre', 'na-s5'] as CardSet[]", IF(S34="○", ", notExistCardSets: ['na-s2', 'na-s3', 'na-s4', 'na-s4-pre', 'na-s5', 'na-s6', 'na-s6-2'] as CardSet[]", IF(T34="○", ", notExistCardSets: ['na-s2', 'na-s3', 'na-s4', 'na-s4-pre', 'na-s5', 'na-s6', 'na-s6-2', 'na-s7'] as CardSet[]", IF(U34="○", ", notExistCardSets: ['na-s2', 'na-s3', 'na-s4', 'na-s4-pre', 'na-s5', 'na-s6', 'na-s6-2', 'na-s7', 'na-s7-2'] as CardSet[]", ""))))))) &amp; ", tarotNo: '" &amp; L34 &amp; "'},"</x:f>
        <x:v>'korunu': { name: 'コルヌ', nameZh: '凝努', nameZhG33: '凝努', nameKo: '코르누', nameEn: 'Korunu', symbol: '橇', symbolZh: '橇', symbolZhG33: '橇', symbolKo: '썰매날', symbolEn: 'Skate blade', notExistCardSets: ['na-s2', 'na-s3'] as CardSet[], tarotNo: '15'},</x:v>
      </x:c>
      <x:c r="W34" s="5"/>
      <x:c r="X34" s="5"/>
      <x:c r="Y34" s="5"/>
      <x:c r="Z34" s="5"/>
      <x:c r="AA34" s="5"/>
      <x:c r="AB34" s="5"/>
      <x:c r="AC34" s="5"/>
      <x:c r="AD34" s="5"/>
      <x:c r="AE34" s="5"/>
      <x:c r="AF34" s="5"/>
      <x:c r="AG34" s="5"/>
      <x:c r="AH34" s="5"/>
    </x:row>
    <x:row r="35" ht="12" hidden="0" customHeight="1">
      <x:c r="A35" s="2" t="str">
        <x:v>korunu-a1</x:v>
      </x:c>
      <x:c r="B35" s="2"/>
      <x:c r="C35" s="2"/>
      <x:c r="D35" s="2"/>
      <x:c r="E35" s="2"/>
      <x:c r="F35" s="7"/>
      <x:c r="G35" s="2"/>
      <x:c r="H35" s="2"/>
      <x:c r="I35" s="7"/>
      <x:c r="J35" s="2"/>
      <x:c r="K35" s="7"/>
      <x:c r="L35" s="2" t="str">
        <x:v>15</x:v>
      </x:c>
      <x:c r="M35" s="2" t="str">
        <x:v>korunu</x:v>
      </x:c>
      <x:c r="N35" s="2" t="str">
        <x:v>A1</x:v>
      </x:c>
      <x:c r="O35" s="2"/>
      <x:c r="P35" s="2"/>
      <x:c r="Q35" s="2"/>
      <x:c r="R35" s="2"/>
      <x:c r="S35" s="2"/>
      <x:c r="T35" s="2"/>
      <x:c r="U35" s="2"/>
      <x:c r="V35" s="69" t="str">
        <x:f aca="0">"'"&amp;A35&amp;"': { name: '"&amp;B35&amp;"', nameZh: '"&amp;C35&amp;"', nameZhG34: '"&amp;D35&amp;"', nameKo: '"&amp;E35&amp;"', nameEn: '"&amp;F35&amp;"', symbol: '"&amp;G35&amp;"', symbolZh: '"&amp;H35&amp;"', symbolZhG34: '"&amp;I35&amp;"', symbolKo: '"&amp;J35&amp;"', symbolEn: '"&amp;K35&amp;"'"&amp;IF(N35&lt;&gt;"",", base: '"&amp;M35&amp;"', anotherID: '"&amp;N35&amp;"'","")&amp;IF(O35="○", ", notExistCardSets: ['na-s2'] as CardSet[]", IF(P35="○", ", notExistCardSets: ['na-s2', 'na-s3'] as CardSet[]", IF(Q35="○", ", notExistCardSets: ['na-s2', 'na-s3', 'na-s4', 'na-s4-pre'] as CardSet[]", IF(R35="○", ", notExistCardSets: ['na-s2', 'na-s3', 'na-s4', 'na-s4-pre', 'na-s5'] as CardSet[]", IF(S35="○", ", notExistCardSets: ['na-s2', 'na-s3', 'na-s4', 'na-s4-pre', 'na-s5', 'na-s6', 'na-s6-2'] as CardSet[]", IF(T35="○", ", notExistCardSets: ['na-s2', 'na-s3', 'na-s4', 'na-s4-pre', 'na-s5', 'na-s6', 'na-s6-2', 'na-s7'] as CardSet[]", IF(U35="○", ", notExistCardSets: ['na-s2', 'na-s3', 'na-s4', 'na-s4-pre', 'na-s5', 'na-s6', 'na-s6-2', 'na-s7', 'na-s7-2'] as CardSet[]", ""))))))) &amp; ", tarotNo: '" &amp; L35 &amp; "'},"</x:f>
        <x:v>'korunu-a1': { name: '', nameZh: '', nameZhG34: '', nameKo: '', nameEn: '', symbol: '', symbolZh: '', symbolZhG34: '', symbolKo: '', symbolEn: '', base: 'korunu', anotherID: 'A1', tarotNo: '15'},</x:v>
      </x:c>
      <x:c r="W35" s="5"/>
      <x:c r="X35" s="5"/>
      <x:c r="Y35" s="5"/>
      <x:c r="Z35" s="5"/>
      <x:c r="AA35" s="5"/>
      <x:c r="AB35" s="5"/>
      <x:c r="AC35" s="5"/>
      <x:c r="AD35" s="5"/>
      <x:c r="AE35" s="5"/>
      <x:c r="AF35" s="5"/>
      <x:c r="AG35" s="5"/>
      <x:c r="AH35" s="5"/>
    </x:row>
    <x:row r="36" s="63" customFormat="1" ht="12" hidden="0" customHeight="1">
      <x:c r="A36" s="2" t="s">
        <x:v>363</x:v>
      </x:c>
      <x:c r="B36" s="2" t="s">
        <x:v>364</x:v>
      </x:c>
      <x:c r="C36" s="2" t="s">
        <x:v>365</x:v>
      </x:c>
      <x:c r="D36" s="2" t="s">
        <x:v>366</x:v>
      </x:c>
      <x:c r="E36" s="425" t="s">
        <x:v>367</x:v>
      </x:c>
      <x:c r="F36" s="195" t="s">
        <x:v>368</x:v>
      </x:c>
      <x:c r="G36" s="2" t="s">
        <x:v>369</x:v>
      </x:c>
      <x:c r="H36" s="2" t="s">
        <x:v>370</x:v>
      </x:c>
      <x:c r="I36" s="2" t="s">
        <x:v>370</x:v>
      </x:c>
      <x:c r="J36" s="426" t="s">
        <x:v>371</x:v>
      </x:c>
      <x:c r="K36" s="195" t="s">
        <x:v>372</x:v>
      </x:c>
      <x:c r="L36" s="2" t="s">
        <x:v>373</x:v>
      </x:c>
      <x:c r="M36" s="2"/>
      <x:c r="N36" s="427"/>
      <x:c r="O36" s="15"/>
      <x:c r="P36" s="15" t="s">
        <x:v>86</x:v>
      </x:c>
      <x:c r="Q36" s="2"/>
      <x:c r="R36" s="2"/>
      <x:c r="S36" s="2"/>
      <x:c r="T36" s="2"/>
      <x:c r="U36" s="2"/>
      <x:c r="V36" s="69" t="str">
        <x:f aca="0">"'"&amp;A36&amp;"': { name: '"&amp;B36&amp;"', nameZh: '"&amp;C36&amp;"', nameZhG35: '"&amp;D36&amp;"', nameKo: '"&amp;E36&amp;"', nameEn: '"&amp;F36&amp;"', symbol: '"&amp;G36&amp;"', symbolZh: '"&amp;H36&amp;"', symbolZhG35: '"&amp;I36&amp;"', symbolKo: '"&amp;J36&amp;"', symbolEn: '"&amp;K36&amp;"'"&amp;IF(N36&lt;&gt;"",", base: '"&amp;M36&amp;"', anotherID: '"&amp;N36&amp;"'","")&amp;IF(O36="○", ", notExistCardSets: ['na-s2'] as CardSet[]", IF(P36="○", ", notExistCardSets: ['na-s2', 'na-s3'] as CardSet[]", IF(Q36="○", ", notExistCardSets: ['na-s2', 'na-s3', 'na-s4', 'na-s4-pre'] as CardSet[]", IF(R36="○", ", notExistCardSets: ['na-s2', 'na-s3', 'na-s4', 'na-s4-pre', 'na-s5'] as CardSet[]", IF(S36="○", ", notExistCardSets: ['na-s2', 'na-s3', 'na-s4', 'na-s4-pre', 'na-s5', 'na-s6', 'na-s6-2'] as CardSet[]", IF(T36="○", ", notExistCardSets: ['na-s2', 'na-s3', 'na-s4', 'na-s4-pre', 'na-s5', 'na-s6', 'na-s6-2', 'na-s7'] as CardSet[]", IF(U36="○", ", notExistCardSets: ['na-s2', 'na-s3', 'na-s4', 'na-s4-pre', 'na-s5', 'na-s6', 'na-s6-2', 'na-s7', 'na-s7-2'] as CardSet[]", ""))))))) &amp; ", tarotNo: '" &amp; L36 &amp; "'},"</x:f>
        <x:v>'yatsuha': { name: 'ヤツハ', nameZh: '完全态八叶', nameZhG35: '八叶', nameKo: '야츠하', nameEn: 'Yatsuha', symbol: '鏡', symbolZh: '镜', symbolZhG35: '镜', symbolKo: '거울', symbolEn: 'Mirror', notExistCardSets: ['na-s2', 'na-s3'] as CardSet[], tarotNo: '16'},</x:v>
      </x:c>
      <x:c r="W36" s="5"/>
      <x:c r="X36" s="5"/>
      <x:c r="Y36" s="5"/>
      <x:c r="Z36" s="5"/>
      <x:c r="AA36" s="5"/>
      <x:c r="AB36" s="5"/>
      <x:c r="AC36" s="5"/>
      <x:c r="AD36" s="5"/>
      <x:c r="AE36" s="5"/>
      <x:c r="AF36" s="5"/>
      <x:c r="AG36" s="5"/>
      <x:c r="AH36" s="5"/>
    </x:row>
    <x:row r="37" s="63" customFormat="1" ht="12" hidden="0" customHeight="1">
      <x:c r="A37" s="2" t="s">
        <x:v>374</x:v>
      </x:c>
      <x:c r="B37" s="2" t="s">
        <x:v>375</x:v>
      </x:c>
      <x:c r="C37" s="422" t="s">
        <x:v>376</x:v>
      </x:c>
      <x:c r="D37" s="422" t="s">
        <x:v>376</x:v>
      </x:c>
      <x:c r="E37" s="423" t="s">
        <x:v>377</x:v>
      </x:c>
      <x:c r="F37" s="424" t="s">
        <x:v>378</x:v>
      </x:c>
      <x:c r="G37" s="2" t="s">
        <x:v>379</x:v>
      </x:c>
      <x:c r="H37" s="422" t="s">
        <x:v>379</x:v>
      </x:c>
      <x:c r="I37" s="422" t="s">
        <x:v>379</x:v>
      </x:c>
      <x:c r="J37" s="423" t="s">
        <x:v>380</x:v>
      </x:c>
      <x:c r="K37" s="424" t="s">
        <x:v>381</x:v>
      </x:c>
      <x:c r="L37" s="2" t="s">
        <x:v>373</x:v>
      </x:c>
      <x:c r="M37" s="2" t="s">
        <x:v>363</x:v>
      </x:c>
      <x:c r="N37" s="427" t="s">
        <x:v>76</x:v>
      </x:c>
      <x:c r="O37" s="15"/>
      <x:c r="P37" s="15"/>
      <x:c r="Q37" s="2"/>
      <x:c r="R37" s="2"/>
      <x:c r="S37" s="2" t="s">
        <x:v>86</x:v>
      </x:c>
      <x:c r="T37" s="2"/>
      <x:c r="U37" s="2"/>
      <x:c r="V37" s="69" t="str">
        <x:f aca="0">"'"&amp;A37&amp;"': { name: '"&amp;B37&amp;"', nameZh: '"&amp;C37&amp;"', nameZhG36: '"&amp;D37&amp;"', nameKo: '"&amp;E37&amp;"', nameEn: '"&amp;F37&amp;"', symbol: '"&amp;G37&amp;"', symbolZh: '"&amp;H37&amp;"', symbolZhG36: '"&amp;I37&amp;"', symbolKo: '"&amp;J37&amp;"', symbolEn: '"&amp;K37&amp;"'"&amp;IF(N37&lt;&gt;"",", base: '"&amp;M37&amp;"', anotherID: '"&amp;N37&amp;"'","")&amp;IF(O37="○", ", notExistCardSets: ['na-s2'] as CardSet[]", IF(P37="○", ", notExistCardSets: ['na-s2', 'na-s3'] as CardSet[]", IF(Q37="○", ", notExistCardSets: ['na-s2', 'na-s3', 'na-s4', 'na-s4-pre'] as CardSet[]", IF(R37="○", ", notExistCardSets: ['na-s2', 'na-s3', 'na-s4', 'na-s4-pre', 'na-s5'] as CardSet[]", IF(S37="○", ", notExistCardSets: ['na-s2', 'na-s3', 'na-s4', 'na-s4-pre', 'na-s5', 'na-s6', 'na-s6-2'] as CardSet[]", IF(T37="○", ", notExistCardSets: ['na-s2', 'na-s3', 'na-s4', 'na-s4-pre', 'na-s5', 'na-s6', 'na-s6-2', 'na-s7'] as CardSet[]", IF(U37="○", ", notExistCardSets: ['na-s2', 'na-s3', 'na-s4', 'na-s4-pre', 'na-s5', 'na-s6', 'na-s6-2', 'na-s7', 'na-s7-2'] as CardSet[]", ""))))))) &amp; ", tarotNo: '" &amp; L37 &amp; "'},"</x:f>
        <x:v>'yatsuha-a1': { name: '完全態ヤツハ', nameZh: '完全态八叶', nameZhG36: '完全态八叶', nameKo: '자아 야츠하', nameEn: 'Perfect Yatsuha', symbol: '花', symbolZh: '花', symbolZhG36: '花', symbolKo: '꽃', symbolEn: 'Flowers', base: 'yatsuha', anotherID: 'A1', notExistCardSets: ['na-s2', 'na-s3', 'na-s4', 'na-s4-pre', 'na-s5', 'na-s6', 'na-s6-2'] as CardSet[], tarotNo: '16'},</x:v>
      </x:c>
      <x:c r="W37" s="5"/>
      <x:c r="X37" s="5"/>
      <x:c r="Y37" s="5"/>
      <x:c r="Z37" s="5"/>
      <x:c r="AA37" s="5"/>
      <x:c r="AB37" s="5"/>
      <x:c r="AC37" s="5"/>
      <x:c r="AD37" s="5"/>
      <x:c r="AE37" s="5"/>
      <x:c r="AF37" s="5"/>
      <x:c r="AG37" s="5"/>
      <x:c r="AH37" s="5"/>
    </x:row>
    <x:row r="38" s="63" customFormat="1" ht="12" hidden="0" customHeight="1">
      <x:c r="A38" s="2" t="s">
        <x:v>382</x:v>
      </x:c>
      <x:c r="B38" s="2" t="s">
        <x:v>383</x:v>
      </x:c>
      <x:c r="C38" s="2" t="s">
        <x:v>384</x:v>
      </x:c>
      <x:c r="D38" s="2" t="s">
        <x:v>384</x:v>
      </x:c>
      <x:c r="E38" s="2" t="s">
        <x:v>385</x:v>
      </x:c>
      <x:c r="F38" s="2" t="s">
        <x:v>386</x:v>
      </x:c>
      <x:c r="G38" s="2" t="s">
        <x:v>387</x:v>
      </x:c>
      <x:c r="H38" s="2" t="s">
        <x:v>387</x:v>
      </x:c>
      <x:c r="I38" s="7" t="s">
        <x:v>387</x:v>
      </x:c>
      <x:c r="J38" s="2" t="s">
        <x:v>388</x:v>
      </x:c>
      <x:c r="K38" s="2" t="s">
        <x:v>389</x:v>
      </x:c>
      <x:c r="L38" s="2" t="s">
        <x:v>373</x:v>
      </x:c>
      <x:c r="M38" s="2" t="s">
        <x:v>363</x:v>
      </x:c>
      <x:c r="N38" s="2" t="s">
        <x:v>390</x:v>
      </x:c>
      <x:c r="O38" s="2"/>
      <x:c r="P38" s="2"/>
      <x:c r="Q38" s="2"/>
      <x:c r="R38" s="2"/>
      <x:c r="S38" s="2"/>
      <x:c r="T38" s="2" t="s">
        <x:v>86</x:v>
      </x:c>
      <x:c r="U38" s="2"/>
      <x:c r="V38" s="69" t="str">
        <x:f aca="0">"'"&amp;A38&amp;"': { name: '"&amp;B38&amp;"', nameZh: '"&amp;C38&amp;"', nameZhG37: '"&amp;D38&amp;"', nameKo: '"&amp;E38&amp;"', nameEn: '"&amp;F38&amp;"', symbol: '"&amp;G38&amp;"', symbolZh: '"&amp;H38&amp;"', symbolZhG37: '"&amp;I38&amp;"', symbolKo: '"&amp;J38&amp;"', symbolEn: '"&amp;K38&amp;"'"&amp;IF(N38&lt;&gt;"",", base: '"&amp;M38&amp;"', anotherID: '"&amp;N38&amp;"'","")&amp;IF(O38="○", ", notExistCardSets: ['na-s2'] as CardSet[]", IF(P38="○", ", notExistCardSets: ['na-s2', 'na-s3'] as CardSet[]", IF(Q38="○", ", notExistCardSets: ['na-s2', 'na-s3', 'na-s4', 'na-s4-pre'] as CardSet[]", IF(R38="○", ", notExistCardSets: ['na-s2', 'na-s3', 'na-s4', 'na-s4-pre', 'na-s5'] as CardSet[]", IF(S38="○", ", notExistCardSets: ['na-s2', 'na-s3', 'na-s4', 'na-s4-pre', 'na-s5', 'na-s6', 'na-s6-2'] as CardSet[]", IF(T38="○", ", notExistCardSets: ['na-s2', 'na-s3', 'na-s4', 'na-s4-pre', 'na-s5', 'na-s6', 'na-s6-2', 'na-s7'] as CardSet[]", IF(U38="○", ", notExistCardSets: ['na-s2', 'na-s3', 'na-s4', 'na-s4-pre', 'na-s5', 'na-s6', 'na-s6-2', 'na-s7', 'na-s7-2'] as CardSet[]", ""))))))) &amp; ", tarotNo: '" &amp; L38 &amp; "'},"</x:f>
        <x:v>'yatsuha-aa1': { name: '自我ヤツハ', nameZh: '自我八叶', nameZhG37: '自我八叶', nameKo: '자아 야츠하', nameEn: 'Yatsuha Realized', symbol: '魂', symbolZh: '魂', symbolZhG37: '魂', symbolKo: '혼', symbolEn: 'Soul', base: 'yatsuha', anotherID: 'AA1', notExistCardSets: ['na-s2', 'na-s3', 'na-s4', 'na-s4-pre', 'na-s5', 'na-s6', 'na-s6-2', 'na-s7'] as CardSet[], tarotNo: '16'},</x:v>
      </x:c>
      <x:c r="W38" s="5"/>
      <x:c r="X38" s="5"/>
      <x:c r="Y38" s="5"/>
      <x:c r="Z38" s="5"/>
      <x:c r="AA38" s="5"/>
      <x:c r="AB38" s="5"/>
      <x:c r="AC38" s="5"/>
      <x:c r="AD38" s="5"/>
      <x:c r="AE38" s="5"/>
      <x:c r="AF38" s="5"/>
      <x:c r="AG38" s="5"/>
      <x:c r="AH38" s="5"/>
    </x:row>
    <x:row r="39" s="63" customFormat="1" ht="12" hidden="0" customHeight="1">
      <x:c r="A39" s="2" t="s">
        <x:v>391</x:v>
      </x:c>
      <x:c r="B39" s="2" t="s">
        <x:v>392</x:v>
      </x:c>
      <x:c r="C39" s="2" t="s">
        <x:v>393</x:v>
      </x:c>
      <x:c r="D39" s="2" t="s">
        <x:v>393</x:v>
      </x:c>
      <x:c r="E39" s="425" t="s">
        <x:v>394</x:v>
      </x:c>
      <x:c r="F39" s="7" t="s">
        <x:v>395</x:v>
      </x:c>
      <x:c r="G39" s="195" t="s">
        <x:v>396</x:v>
      </x:c>
      <x:c r="H39" s="2" t="s">
        <x:v>397</x:v>
      </x:c>
      <x:c r="I39" s="195" t="s">
        <x:v>398</x:v>
      </x:c>
      <x:c r="J39" s="195" t="s">
        <x:v>399</x:v>
      </x:c>
      <x:c r="K39" s="195" t="s">
        <x:v>400</x:v>
      </x:c>
      <x:c r="L39" s="2" t="s">
        <x:v>401</x:v>
      </x:c>
      <x:c r="M39" s="2"/>
      <x:c r="N39" s="427"/>
      <x:c r="O39" s="15"/>
      <x:c r="P39" s="15"/>
      <x:c r="Q39" s="2" t="s">
        <x:v>86</x:v>
      </x:c>
      <x:c r="R39" s="2"/>
      <x:c r="S39" s="2"/>
      <x:c r="T39" s="2"/>
      <x:c r="U39" s="2"/>
      <x:c r="V39" s="69" t="str">
        <x:f aca="0">"'"&amp;A39&amp;"': { name: '"&amp;B39&amp;"', nameZh: '"&amp;C39&amp;"', nameZhG38: '"&amp;D39&amp;"', nameKo: '"&amp;E39&amp;"', nameEn: '"&amp;F39&amp;"', symbol: '"&amp;G39&amp;"', symbolZh: '"&amp;H39&amp;"', symbolZhG38: '"&amp;I39&amp;"', symbolKo: '"&amp;J39&amp;"', symbolEn: '"&amp;K39&amp;"'"&amp;IF(N39&lt;&gt;"",", base: '"&amp;M39&amp;"', anotherID: '"&amp;N39&amp;"'","")&amp;IF(O39="○", ", notExistCardSets: ['na-s2'] as CardSet[]", IF(P39="○", ", notExistCardSets: ['na-s2', 'na-s3'] as CardSet[]", IF(Q39="○", ", notExistCardSets: ['na-s2', 'na-s3', 'na-s4', 'na-s4-pre'] as CardSet[]", IF(R39="○", ", notExistCardSets: ['na-s2', 'na-s3', 'na-s4', 'na-s4-pre', 'na-s5'] as CardSet[]", IF(S39="○", ", notExistCardSets: ['na-s2', 'na-s3', 'na-s4', 'na-s4-pre', 'na-s5', 'na-s6', 'na-s6-2'] as CardSet[]", IF(T39="○", ", notExistCardSets: ['na-s2', 'na-s3', 'na-s4', 'na-s4-pre', 'na-s5', 'na-s6', 'na-s6-2', 'na-s7'] as CardSet[]", IF(U39="○", ", notExistCardSets: ['na-s2', 'na-s3', 'na-s4', 'na-s4-pre', 'na-s5', 'na-s6', 'na-s6-2', 'na-s7', 'na-s7-2'] as CardSet[]", ""))))))) &amp; ", tarotNo: '" &amp; L39 &amp; "'},"</x:f>
        <x:v>'hatsumi': { name: 'ハツミ', nameZh: '初海', nameZhG38: '初海', nameKo: '하츠미', nameEn: 'Hatsumi', symbol: '櫂', symbolZh: '桨', symbolZhG38: '棹', symbolKo: '노', symbolEn: 'Quant', notExistCardSets: ['na-s2', 'na-s3', 'na-s4', 'na-s4-pre'] as CardSet[], tarotNo: '17'},</x:v>
      </x:c>
      <x:c r="W39" s="5"/>
      <x:c r="X39" s="5"/>
      <x:c r="Y39" s="5"/>
      <x:c r="Z39" s="5"/>
      <x:c r="AA39" s="5"/>
      <x:c r="AB39" s="5"/>
      <x:c r="AC39" s="5"/>
      <x:c r="AD39" s="5"/>
      <x:c r="AE39" s="5"/>
      <x:c r="AF39" s="5"/>
      <x:c r="AG39" s="5"/>
      <x:c r="AH39" s="5"/>
    </x:row>
    <x:row r="40" s="63" customFormat="1" ht="12" hidden="0" customHeight="1">
      <x:c r="A40" s="2" t="s">
        <x:v>402</x:v>
      </x:c>
      <x:c r="B40" s="2" t="s">
        <x:v>403</x:v>
      </x:c>
      <x:c r="C40" s="2" t="s">
        <x:v>404</x:v>
      </x:c>
      <x:c r="D40" s="2" t="s">
        <x:v>404</x:v>
      </x:c>
      <x:c r="E40" s="2" t="s">
        <x:v>405</x:v>
      </x:c>
      <x:c r="F40" s="2" t="s">
        <x:v>406</x:v>
      </x:c>
      <x:c r="G40" s="2" t="s">
        <x:v>407</x:v>
      </x:c>
      <x:c r="H40" s="2" t="s">
        <x:v>408</x:v>
      </x:c>
      <x:c r="I40" s="7" t="s">
        <x:v>408</x:v>
      </x:c>
      <x:c r="J40" s="2" t="s">
        <x:v>409</x:v>
      </x:c>
      <x:c r="K40" s="2" t="s">
        <x:v>410</x:v>
      </x:c>
      <x:c r="L40" s="2" t="s">
        <x:v>401</x:v>
      </x:c>
      <x:c r="M40" s="2" t="s">
        <x:v>391</x:v>
      </x:c>
      <x:c r="N40" s="15" t="s">
        <x:v>76</x:v>
      </x:c>
      <x:c r="O40" s="15"/>
      <x:c r="P40" s="15"/>
      <x:c r="Q40" s="2"/>
      <x:c r="R40" s="2"/>
      <x:c r="S40" s="2" t="s">
        <x:v>86</x:v>
      </x:c>
      <x:c r="T40" s="2"/>
      <x:c r="U40" s="2"/>
      <x:c r="V40" s="69" t="str">
        <x:f aca="0">"'"&amp;A40&amp;"': { name: '"&amp;B40&amp;"', nameZh: '"&amp;C40&amp;"', nameZhG39: '"&amp;D40&amp;"', nameKo: '"&amp;E40&amp;"', nameEn: '"&amp;F40&amp;"', symbol: '"&amp;G40&amp;"', symbolZh: '"&amp;H40&amp;"', symbolZhG39: '"&amp;I40&amp;"', symbolKo: '"&amp;J40&amp;"', symbolEn: '"&amp;K40&amp;"'"&amp;IF(N40&lt;&gt;"",", base: '"&amp;M40&amp;"', anotherID: '"&amp;N40&amp;"'","")&amp;IF(O40="○", ", notExistCardSets: ['na-s2'] as CardSet[]", IF(P40="○", ", notExistCardSets: ['na-s2', 'na-s3'] as CardSet[]", IF(Q40="○", ", notExistCardSets: ['na-s2', 'na-s3', 'na-s4', 'na-s4-pre'] as CardSet[]", IF(R40="○", ", notExistCardSets: ['na-s2', 'na-s3', 'na-s4', 'na-s4-pre', 'na-s5'] as CardSet[]", IF(S40="○", ", notExistCardSets: ['na-s2', 'na-s3', 'na-s4', 'na-s4-pre', 'na-s5', 'na-s6', 'na-s6-2'] as CardSet[]", IF(T40="○", ", notExistCardSets: ['na-s2', 'na-s3', 'na-s4', 'na-s4-pre', 'na-s5', 'na-s6', 'na-s6-2', 'na-s7'] as CardSet[]", IF(U40="○", ", notExistCardSets: ['na-s2', 'na-s3', 'na-s4', 'na-s4-pre', 'na-s5', 'na-s6', 'na-s6-2', 'na-s7', 'na-s7-2'] as CardSet[]", ""))))))) &amp; ", tarotNo: '" &amp; L40 &amp; "'},"</x:f>
        <x:v>'hatsumi-a1': { name: '徒神ハツミ', nameZh: '徒神初海', nameZhG39: '徒神初海', nameKo: '허무신 하츠미', nameEn: 'Adagami Hatsumi', symbol: '信頼', symbolZh: '信赖', symbolZhG39: '信赖', symbolKo: '신뢰', symbolEn: 'Trust', base: 'hatsumi', anotherID: 'A1', notExistCardSets: ['na-s2', 'na-s3', 'na-s4', 'na-s4-pre', 'na-s5', 'na-s6', 'na-s6-2'] as CardSet[], tarotNo: '17'},</x:v>
      </x:c>
      <x:c r="W40" s="5"/>
      <x:c r="X40" s="5"/>
      <x:c r="Y40" s="5"/>
      <x:c r="Z40" s="5"/>
      <x:c r="AA40" s="5"/>
      <x:c r="AB40" s="5"/>
      <x:c r="AC40" s="5"/>
      <x:c r="AD40" s="5"/>
      <x:c r="AE40" s="5"/>
      <x:c r="AF40" s="5"/>
      <x:c r="AG40" s="5"/>
      <x:c r="AH40" s="5"/>
    </x:row>
    <x:row r="41" s="63" customFormat="1" ht="12" hidden="0" customHeight="1">
      <x:c r="A41" s="2" t="s">
        <x:v>411</x:v>
      </x:c>
      <x:c r="B41" s="2" t="s">
        <x:v>412</x:v>
      </x:c>
      <x:c r="C41" s="2" t="s">
        <x:v>413</x:v>
      </x:c>
      <x:c r="D41" s="2" t="s">
        <x:v>413</x:v>
      </x:c>
      <x:c r="E41" s="425" t="s">
        <x:v>414</x:v>
      </x:c>
      <x:c r="F41" s="195" t="s">
        <x:v>415</x:v>
      </x:c>
      <x:c r="G41" s="195" t="s">
        <x:v>416</x:v>
      </x:c>
      <x:c r="H41" s="195" t="s">
        <x:v>417</x:v>
      </x:c>
      <x:c r="I41" s="195" t="s">
        <x:v>416</x:v>
      </x:c>
      <x:c r="J41" s="195" t="s">
        <x:v>418</x:v>
      </x:c>
      <x:c r="K41" s="195" t="s">
        <x:v>419</x:v>
      </x:c>
      <x:c r="L41" s="2" t="s">
        <x:v>420</x:v>
      </x:c>
      <x:c r="M41" s="2"/>
      <x:c r="N41" s="15"/>
      <x:c r="O41" s="15"/>
      <x:c r="P41" s="15"/>
      <x:c r="Q41" s="2" t="s">
        <x:v>86</x:v>
      </x:c>
      <x:c r="R41" s="2"/>
      <x:c r="S41" s="2"/>
      <x:c r="T41" s="2"/>
      <x:c r="U41" s="2"/>
      <x:c r="V41" s="69" t="str">
        <x:f aca="0">"'"&amp;A41&amp;"': { name: '"&amp;B41&amp;"', nameZh: '"&amp;C41&amp;"', nameZhG40: '"&amp;D41&amp;"', nameKo: '"&amp;E41&amp;"', nameEn: '"&amp;F41&amp;"', symbol: '"&amp;G41&amp;"', symbolZh: '"&amp;H41&amp;"', symbolZhG40: '"&amp;I41&amp;"', symbolKo: '"&amp;J41&amp;"', symbolEn: '"&amp;K41&amp;"'"&amp;IF(N41&lt;&gt;"",", base: '"&amp;M41&amp;"', anotherID: '"&amp;N41&amp;"'","")&amp;IF(O41="○", ", notExistCardSets: ['na-s2'] as CardSet[]", IF(P41="○", ", notExistCardSets: ['na-s2', 'na-s3'] as CardSet[]", IF(Q41="○", ", notExistCardSets: ['na-s2', 'na-s3', 'na-s4', 'na-s4-pre'] as CardSet[]", IF(R41="○", ", notExistCardSets: ['na-s2', 'na-s3', 'na-s4', 'na-s4-pre', 'na-s5'] as CardSet[]", IF(S41="○", ", notExistCardSets: ['na-s2', 'na-s3', 'na-s4', 'na-s4-pre', 'na-s5', 'na-s6', 'na-s6-2'] as CardSet[]", IF(T41="○", ", notExistCardSets: ['na-s2', 'na-s3', 'na-s4', 'na-s4-pre', 'na-s5', 'na-s6', 'na-s6-2', 'na-s7'] as CardSet[]", IF(U41="○", ", notExistCardSets: ['na-s2', 'na-s3', 'na-s4', 'na-s4-pre', 'na-s5', 'na-s6', 'na-s6-2', 'na-s7', 'na-s7-2'] as CardSet[]", ""))))))) &amp; ", tarotNo: '" &amp; L41 &amp; "'},"</x:f>
        <x:v>'mizuki': { name: 'ミズキ', nameZh: '水津城', nameZhG40: '水津城', nameKo: '미즈키', nameEn: 'Mizuki', symbol: '兜', symbolZh: '盔', symbolZhG40: '兜', symbolKo: '투구', symbolEn: 'Armet', notExistCardSets: ['na-s2', 'na-s3', 'na-s4', 'na-s4-pre'] as CardSet[], tarotNo: '18'},</x:v>
      </x:c>
      <x:c r="W41" s="5"/>
      <x:c r="X41" s="5"/>
      <x:c r="Y41" s="5"/>
      <x:c r="Z41" s="5"/>
      <x:c r="AA41" s="5"/>
      <x:c r="AB41" s="5"/>
      <x:c r="AC41" s="5"/>
      <x:c r="AD41" s="5"/>
      <x:c r="AE41" s="5"/>
      <x:c r="AF41" s="5"/>
      <x:c r="AG41" s="5"/>
      <x:c r="AH41" s="5"/>
    </x:row>
    <x:row r="42" s="63" customFormat="1" ht="12" hidden="0" customHeight="1">
      <x:c r="A42" s="2" t="s">
        <x:v>421</x:v>
      </x:c>
      <x:c r="B42" s="2" t="s">
        <x:v>422</x:v>
      </x:c>
      <x:c r="C42" s="2" t="s">
        <x:v>423</x:v>
      </x:c>
      <x:c r="D42" s="2" t="s">
        <x:v>423</x:v>
      </x:c>
      <x:c r="E42" s="425" t="s">
        <x:v>424</x:v>
      </x:c>
      <x:c r="F42" s="195" t="s">
        <x:v>425</x:v>
      </x:c>
      <x:c r="G42" s="195" t="s">
        <x:v>426</x:v>
      </x:c>
      <x:c r="H42" s="195" t="s">
        <x:v>427</x:v>
      </x:c>
      <x:c r="I42" s="195" t="s">
        <x:v>428</x:v>
      </x:c>
      <x:c r="J42" s="195" t="s">
        <x:v>429</x:v>
      </x:c>
      <x:c r="K42" s="195" t="s">
        <x:v>430</x:v>
      </x:c>
      <x:c r="L42" s="2" t="s">
        <x:v>431</x:v>
      </x:c>
      <x:c r="M42" s="2"/>
      <x:c r="N42" s="15"/>
      <x:c r="O42" s="15"/>
      <x:c r="P42" s="15"/>
      <x:c r="Q42" s="2"/>
      <x:c r="R42" s="2" t="s">
        <x:v>86</x:v>
      </x:c>
      <x:c r="S42" s="2"/>
      <x:c r="T42" s="2"/>
      <x:c r="U42" s="2"/>
      <x:c r="V42" s="69" t="str">
        <x:f aca="0">"'"&amp;A42&amp;"': { name: '"&amp;B42&amp;"', nameZh: '"&amp;C42&amp;"', nameZhG41: '"&amp;D42&amp;"', nameKo: '"&amp;E42&amp;"', nameEn: '"&amp;F42&amp;"', symbol: '"&amp;G42&amp;"', symbolZh: '"&amp;H42&amp;"', symbolZhG41: '"&amp;I42&amp;"', symbolKo: '"&amp;J42&amp;"', symbolEn: '"&amp;K42&amp;"'"&amp;IF(N42&lt;&gt;"",", base: '"&amp;M42&amp;"', anotherID: '"&amp;N42&amp;"'","")&amp;IF(O42="○", ", notExistCardSets: ['na-s2'] as CardSet[]", IF(P42="○", ", notExistCardSets: ['na-s2', 'na-s3'] as CardSet[]", IF(Q42="○", ", notExistCardSets: ['na-s2', 'na-s3', 'na-s4', 'na-s4-pre'] as CardSet[]", IF(R42="○", ", notExistCardSets: ['na-s2', 'na-s3', 'na-s4', 'na-s4-pre', 'na-s5'] as CardSet[]", IF(S42="○", ", notExistCardSets: ['na-s2', 'na-s3', 'na-s4', 'na-s4-pre', 'na-s5', 'na-s6', 'na-s6-2'] as CardSet[]", IF(T42="○", ", notExistCardSets: ['na-s2', 'na-s3', 'na-s4', 'na-s4-pre', 'na-s5', 'na-s6', 'na-s6-2', 'na-s7'] as CardSet[]", IF(U42="○", ", notExistCardSets: ['na-s2', 'na-s3', 'na-s4', 'na-s4-pre', 'na-s5', 'na-s6', 'na-s6-2', 'na-s7', 'na-s7-2'] as CardSet[]", ""))))))) &amp; ", tarotNo: '" &amp; L42 &amp; "'},"</x:f>
        <x:v>'megumi': { name: 'メグミ', nameZh: '希', nameZhG41: '希', nameKo: '메구미', nameEn: 'Megumi', symbol: '唐棹', symbolZh: '连枷', symbolZhG41: '梿枷', symbolKo: '도리깨', symbolEn: 'Flail', notExistCardSets: ['na-s2', 'na-s3', 'na-s4', 'na-s4-pre', 'na-s5'] as CardSet[], tarotNo: '19'},</x:v>
      </x:c>
      <x:c r="W42" s="5"/>
      <x:c r="X42" s="5"/>
      <x:c r="Y42" s="5"/>
      <x:c r="Z42" s="5"/>
      <x:c r="AA42" s="5"/>
      <x:c r="AB42" s="5"/>
      <x:c r="AC42" s="5"/>
      <x:c r="AD42" s="5"/>
      <x:c r="AE42" s="5"/>
      <x:c r="AF42" s="5"/>
      <x:c r="AG42" s="5"/>
      <x:c r="AH42" s="5"/>
    </x:row>
    <x:row r="43" s="63" customFormat="1" ht="12" hidden="0" customHeight="1">
      <x:c r="A43" s="2" t="str">
        <x:v>megumi-a1</x:v>
      </x:c>
      <x:c r="B43" s="2"/>
      <x:c r="C43" s="2"/>
      <x:c r="D43" s="2"/>
      <x:c r="E43" s="425"/>
      <x:c r="F43" s="195"/>
      <x:c r="G43" s="195"/>
      <x:c r="H43" s="195"/>
      <x:c r="I43" s="195"/>
      <x:c r="J43" s="195"/>
      <x:c r="K43" s="195"/>
      <x:c r="L43" s="2" t="str">
        <x:v>19</x:v>
      </x:c>
      <x:c r="M43" s="2" t="str">
        <x:v>megumi</x:v>
      </x:c>
      <x:c r="N43" s="15" t="str">
        <x:v>A1</x:v>
      </x:c>
      <x:c r="O43" s="15"/>
      <x:c r="P43" s="15"/>
      <x:c r="Q43" s="2"/>
      <x:c r="R43" s="2"/>
      <x:c r="S43" s="2"/>
      <x:c r="T43" s="2"/>
      <x:c r="U43" s="2"/>
      <x:c r="V43" s="69" t="str">
        <x:f aca="0">"'"&amp;A43&amp;"': { name: '"&amp;B43&amp;"', nameZh: '"&amp;C43&amp;"', nameZhG42: '"&amp;D43&amp;"', nameKo: '"&amp;E43&amp;"', nameEn: '"&amp;F43&amp;"', symbol: '"&amp;G43&amp;"', symbolZh: '"&amp;H43&amp;"', symbolZhG42: '"&amp;I43&amp;"', symbolKo: '"&amp;J43&amp;"', symbolEn: '"&amp;K43&amp;"'"&amp;IF(N43&lt;&gt;"",", base: '"&amp;M43&amp;"', anotherID: '"&amp;N43&amp;"'","")&amp;IF(O43="○", ", notExistCardSets: ['na-s2'] as CardSet[]", IF(P43="○", ", notExistCardSets: ['na-s2', 'na-s3'] as CardSet[]", IF(Q43="○", ", notExistCardSets: ['na-s2', 'na-s3', 'na-s4', 'na-s4-pre'] as CardSet[]", IF(R43="○", ", notExistCardSets: ['na-s2', 'na-s3', 'na-s4', 'na-s4-pre', 'na-s5'] as CardSet[]", IF(S43="○", ", notExistCardSets: ['na-s2', 'na-s3', 'na-s4', 'na-s4-pre', 'na-s5', 'na-s6', 'na-s6-2'] as CardSet[]", IF(T43="○", ", notExistCardSets: ['na-s2', 'na-s3', 'na-s4', 'na-s4-pre', 'na-s5', 'na-s6', 'na-s6-2', 'na-s7'] as CardSet[]", IF(U43="○", ", notExistCardSets: ['na-s2', 'na-s3', 'na-s4', 'na-s4-pre', 'na-s5', 'na-s6', 'na-s6-2', 'na-s7', 'na-s7-2'] as CardSet[]", ""))))))) &amp; ", tarotNo: '" &amp; L43 &amp; "'},"</x:f>
        <x:v>'megumi-a1': { name: '', nameZh: '', nameZhG42: '', nameKo: '', nameEn: '', symbol: '', symbolZh: '', symbolZhG42: '', symbolKo: '', symbolEn: '', base: 'megumi', anotherID: 'A1', tarotNo: '19'},</x:v>
      </x:c>
      <x:c r="W43" s="5"/>
      <x:c r="X43" s="5"/>
      <x:c r="Y43" s="5"/>
      <x:c r="Z43" s="5"/>
      <x:c r="AA43" s="5"/>
      <x:c r="AB43" s="5"/>
      <x:c r="AC43" s="5"/>
      <x:c r="AD43" s="5"/>
      <x:c r="AE43" s="5"/>
      <x:c r="AF43" s="5"/>
      <x:c r="AG43" s="5"/>
      <x:c r="AH43" s="5"/>
    </x:row>
    <x:row r="44" s="63" customFormat="1" ht="12" hidden="0" customHeight="1">
      <x:c r="A44" s="2" t="s">
        <x:v>432</x:v>
      </x:c>
      <x:c r="B44" s="2" t="s">
        <x:v>433</x:v>
      </x:c>
      <x:c r="C44" s="2" t="s">
        <x:v>434</x:v>
      </x:c>
      <x:c r="D44" s="2" t="s">
        <x:v>434</x:v>
      </x:c>
      <x:c r="E44" s="425" t="s">
        <x:v>435</x:v>
      </x:c>
      <x:c r="F44" s="195" t="s">
        <x:v>436</x:v>
      </x:c>
      <x:c r="G44" s="195" t="s">
        <x:v>437</x:v>
      </x:c>
      <x:c r="H44" s="195" t="s">
        <x:v>438</x:v>
      </x:c>
      <x:c r="I44" s="195" t="s">
        <x:v>439</x:v>
      </x:c>
      <x:c r="J44" s="195" t="s">
        <x:v>440</x:v>
      </x:c>
      <x:c r="K44" s="195" t="s">
        <x:v>441</x:v>
      </x:c>
      <x:c r="L44" s="2" t="s">
        <x:v>442</x:v>
      </x:c>
      <x:c r="M44" s="2"/>
      <x:c r="N44" s="15"/>
      <x:c r="O44" s="15"/>
      <x:c r="P44" s="15"/>
      <x:c r="Q44" s="2"/>
      <x:c r="R44" s="2" t="s">
        <x:v>86</x:v>
      </x:c>
      <x:c r="S44" s="2"/>
      <x:c r="T44" s="2"/>
      <x:c r="U44" s="2"/>
      <x:c r="V44" s="69" t="str">
        <x:f aca="0">"'"&amp;A44&amp;"': { name: '"&amp;B44&amp;"', nameZh: '"&amp;C44&amp;"', nameZhG43: '"&amp;D44&amp;"', nameKo: '"&amp;E44&amp;"', nameEn: '"&amp;F44&amp;"', symbol: '"&amp;G44&amp;"', symbolZh: '"&amp;H44&amp;"', symbolZhG43: '"&amp;I44&amp;"', symbolKo: '"&amp;J44&amp;"', symbolEn: '"&amp;K44&amp;"'"&amp;IF(N44&lt;&gt;"",", base: '"&amp;M44&amp;"', anotherID: '"&amp;N44&amp;"'","")&amp;IF(O44="○", ", notExistCardSets: ['na-s2'] as CardSet[]", IF(P44="○", ", notExistCardSets: ['na-s2', 'na-s3'] as CardSet[]", IF(Q44="○", ", notExistCardSets: ['na-s2', 'na-s3', 'na-s4', 'na-s4-pre'] as CardSet[]", IF(R44="○", ", notExistCardSets: ['na-s2', 'na-s3', 'na-s4', 'na-s4-pre', 'na-s5'] as CardSet[]", IF(S44="○", ", notExistCardSets: ['na-s2', 'na-s3', 'na-s4', 'na-s4-pre', 'na-s5', 'na-s6', 'na-s6-2'] as CardSet[]", IF(T44="○", ", notExistCardSets: ['na-s2', 'na-s3', 'na-s4', 'na-s4-pre', 'na-s5', 'na-s6', 'na-s6-2', 'na-s7'] as CardSet[]", IF(U44="○", ", notExistCardSets: ['na-s2', 'na-s3', 'na-s4', 'na-s4-pre', 'na-s5', 'na-s6', 'na-s6-2', 'na-s7', 'na-s7-2'] as CardSet[]", ""))))))) &amp; ", tarotNo: '" &amp; L44 &amp; "'},"</x:f>
        <x:v>'kanawe': { name: 'カナヱ', nameZh: '叶慧', nameZhG43: '叶慧', nameKo: '카나에', nameEn: 'Kanawe', symbol: '仮面', symbolZh: '假面', symbolZhG43: '面具', symbolKo: '가면', symbolEn: 'Masks', notExistCardSets: ['na-s2', 'na-s3', 'na-s4', 'na-s4-pre', 'na-s5'] as CardSet[], tarotNo: '20'},</x:v>
      </x:c>
      <x:c r="W44" s="5"/>
      <x:c r="X44" s="5"/>
      <x:c r="Y44" s="5"/>
      <x:c r="Z44" s="5"/>
      <x:c r="AA44" s="5"/>
      <x:c r="AB44" s="5"/>
      <x:c r="AC44" s="5"/>
      <x:c r="AD44" s="5"/>
      <x:c r="AE44" s="5"/>
      <x:c r="AF44" s="5"/>
      <x:c r="AG44" s="5"/>
      <x:c r="AH44" s="5"/>
    </x:row>
    <x:row r="45" ht="14.449999809265137" hidden="0" customHeight="1">
      <x:c r="A45" s="2" t="s">
        <x:v>443</x:v>
      </x:c>
      <x:c r="B45" s="2" t="s">
        <x:v>444</x:v>
      </x:c>
      <x:c r="C45" s="422" t="s">
        <x:v>445</x:v>
      </x:c>
      <x:c r="D45" s="422" t="s">
        <x:v>446</x:v>
      </x:c>
      <x:c r="E45" s="429" t="s">
        <x:v>447</x:v>
      </x:c>
      <x:c r="F45" s="424" t="s">
        <x:v>448</x:v>
      </x:c>
      <x:c r="G45" s="2" t="s">
        <x:v>449</x:v>
      </x:c>
      <x:c r="H45" s="422" t="s">
        <x:v>450</x:v>
      </x:c>
      <x:c r="I45" s="422" t="s">
        <x:v>450</x:v>
      </x:c>
      <x:c r="J45" s="423" t="s">
        <x:v>451</x:v>
      </x:c>
      <x:c r="K45" s="424" t="s">
        <x:v>452</x:v>
      </x:c>
      <x:c r="L45" s="2" t="s">
        <x:v>453</x:v>
      </x:c>
      <x:c r="M45" s="2"/>
      <x:c r="N45" s="2"/>
      <x:c r="O45" s="2"/>
      <x:c r="P45" s="2"/>
      <x:c r="Q45" s="2"/>
      <x:c r="R45" s="2"/>
      <x:c r="S45" s="2" t="s">
        <x:v>86</x:v>
      </x:c>
      <x:c r="T45" s="2"/>
      <x:c r="U45" s="2"/>
      <x:c r="V45" s="69" t="str">
        <x:f aca="0">"'"&amp;A45&amp;"': { name: '"&amp;B45&amp;"', nameZh: '"&amp;C45&amp;"', nameZhG44: '"&amp;D45&amp;"', nameKo: '"&amp;E45&amp;"', nameEn: '"&amp;F45&amp;"', symbol: '"&amp;G45&amp;"', symbolZh: '"&amp;H45&amp;"', symbolZhG44: '"&amp;I45&amp;"', symbolKo: '"&amp;J45&amp;"', symbolEn: '"&amp;K45&amp;"'"&amp;IF(N45&lt;&gt;"",", base: '"&amp;M45&amp;"', anotherID: '"&amp;N45&amp;"'","")&amp;IF(O45="○", ", notExistCardSets: ['na-s2'] as CardSet[]", IF(P45="○", ", notExistCardSets: ['na-s2', 'na-s3'] as CardSet[]", IF(Q45="○", ", notExistCardSets: ['na-s2', 'na-s3', 'na-s4', 'na-s4-pre'] as CardSet[]", IF(R45="○", ", notExistCardSets: ['na-s2', 'na-s3', 'na-s4', 'na-s4-pre', 'na-s5'] as CardSet[]", IF(S45="○", ", notExistCardSets: ['na-s2', 'na-s3', 'na-s4', 'na-s4-pre', 'na-s5', 'na-s6', 'na-s6-2'] as CardSet[]", IF(T45="○", ", notExistCardSets: ['na-s2', 'na-s3', 'na-s4', 'na-s4-pre', 'na-s5', 'na-s6', 'na-s6-2', 'na-s7'] as CardSet[]", IF(U45="○", ", notExistCardSets: ['na-s2', 'na-s3', 'na-s4', 'na-s4-pre', 'na-s5', 'na-s6', 'na-s6-2', 'na-s7', 'na-s7-2'] as CardSet[]", ""))))))) &amp; ", tarotNo: '" &amp; L45 &amp; "'},"</x:f>
        <x:v>'kamuwi': { name: 'カムヰ', nameZh: '神威', nameZhG44: '神居', nameKo: '카무이', nameEn: 'Kamuwi', symbol: '剣', symbolZh: '剑', symbolZhG44: '剑', symbolKo: '검', symbolEn: 'Sword', notExistCardSets: ['na-s2', 'na-s3', 'na-s4', 'na-s4-pre', 'na-s5', 'na-s6', 'na-s6-2'] as CardSet[], tarotNo: '21'},</x:v>
      </x:c>
      <x:c r="W45" s="5"/>
      <x:c r="X45" s="5"/>
      <x:c r="Y45" s="5"/>
      <x:c r="Z45" s="5"/>
      <x:c r="AA45" s="5"/>
      <x:c r="AB45" s="5"/>
      <x:c r="AC45" s="5"/>
      <x:c r="AD45" s="5"/>
      <x:c r="AE45" s="5"/>
      <x:c r="AF45" s="5"/>
      <x:c r="AG45" s="5"/>
      <x:c r="AH45" s="5"/>
    </x:row>
    <x:row r="46" ht="12" hidden="0" customHeight="1">
      <x:c r="A46" s="2" t="s">
        <x:v>454</x:v>
      </x:c>
      <x:c r="B46" s="2" t="s">
        <x:v>455</x:v>
      </x:c>
      <x:c r="C46" s="422" t="s">
        <x:v>456</x:v>
      </x:c>
      <x:c r="D46" s="422" t="s">
        <x:v>456</x:v>
      </x:c>
      <x:c r="E46" s="429" t="s">
        <x:v>457</x:v>
      </x:c>
      <x:c r="F46" s="424" t="s">
        <x:v>458</x:v>
      </x:c>
      <x:c r="G46" s="2" t="s">
        <x:v>459</x:v>
      </x:c>
      <x:c r="H46" s="422" t="s">
        <x:v>459</x:v>
      </x:c>
      <x:c r="I46" s="422" t="s">
        <x:v>459</x:v>
      </x:c>
      <x:c r="J46" s="423" t="s">
        <x:v>460</x:v>
      </x:c>
      <x:c r="K46" s="424" t="s">
        <x:v>461</x:v>
      </x:c>
      <x:c r="L46" s="2" t="s">
        <x:v>462</x:v>
      </x:c>
      <x:c r="M46" s="2"/>
      <x:c r="N46" s="2"/>
      <x:c r="O46" s="2"/>
      <x:c r="P46" s="2"/>
      <x:c r="Q46" s="2"/>
      <x:c r="R46" s="2"/>
      <x:c r="S46" s="2" t="s">
        <x:v>86</x:v>
      </x:c>
      <x:c r="T46" s="2"/>
      <x:c r="U46" s="2"/>
      <x:c r="V46" s="69" t="str">
        <x:f aca="0">"'"&amp;A46&amp;"': { name: '"&amp;B46&amp;"', nameZh: '"&amp;C46&amp;"', nameZhG45: '"&amp;D46&amp;"', nameKo: '"&amp;E46&amp;"', nameEn: '"&amp;F46&amp;"', symbol: '"&amp;G46&amp;"', symbolZh: '"&amp;H46&amp;"', symbolZhG45: '"&amp;I46&amp;"', symbolKo: '"&amp;J46&amp;"', symbolEn: '"&amp;K46&amp;"'"&amp;IF(N46&lt;&gt;"",", base: '"&amp;M46&amp;"', anotherID: '"&amp;N46&amp;"'","")&amp;IF(O46="○", ", notExistCardSets: ['na-s2'] as CardSet[]", IF(P46="○", ", notExistCardSets: ['na-s2', 'na-s3'] as CardSet[]", IF(Q46="○", ", notExistCardSets: ['na-s2', 'na-s3', 'na-s4', 'na-s4-pre'] as CardSet[]", IF(R46="○", ", notExistCardSets: ['na-s2', 'na-s3', 'na-s4', 'na-s4-pre', 'na-s5'] as CardSet[]", IF(S46="○", ", notExistCardSets: ['na-s2', 'na-s3', 'na-s4', 'na-s4-pre', 'na-s5', 'na-s6', 'na-s6-2'] as CardSet[]", IF(T46="○", ", notExistCardSets: ['na-s2', 'na-s3', 'na-s4', 'na-s4-pre', 'na-s5', 'na-s6', 'na-s6-2', 'na-s7'] as CardSet[]", IF(U46="○", ", notExistCardSets: ['na-s2', 'na-s3', 'na-s4', 'na-s4-pre', 'na-s5', 'na-s6', 'na-s6-2', 'na-s7', 'na-s7-2'] as CardSet[]", ""))))))) &amp; ", tarotNo: '" &amp; L46 &amp; "'},"</x:f>
        <x:v>'renri': { name: 'レンリ', nameZh: '恋离', nameZhG45: '恋离', nameKo: '렌리', nameEn: 'Renri', symbol: '衣', symbolZh: '衣', symbolZhG45: '衣', symbolKo: '옷', symbolEn: 'Robe', notExistCardSets: ['na-s2', 'na-s3', 'na-s4', 'na-s4-pre', 'na-s5', 'na-s6', 'na-s6-2'] as CardSet[], tarotNo: '22'},</x:v>
      </x:c>
      <x:c r="W46" s="5"/>
      <x:c r="X46" s="5"/>
      <x:c r="Y46" s="5"/>
      <x:c r="Z46" s="5"/>
      <x:c r="AA46" s="5"/>
      <x:c r="AB46" s="5"/>
      <x:c r="AC46" s="5"/>
      <x:c r="AD46" s="5"/>
      <x:c r="AE46" s="5"/>
      <x:c r="AF46" s="5"/>
      <x:c r="AG46" s="5"/>
      <x:c r="AH46" s="5"/>
    </x:row>
    <x:row r="47" ht="12" hidden="0" customHeight="1">
      <x:c r="A47" s="2" t="s">
        <x:v>463</x:v>
      </x:c>
      <x:c r="B47" s="2" t="s">
        <x:v>464</x:v>
      </x:c>
      <x:c r="C47" s="430" t="s">
        <x:v>465</x:v>
      </x:c>
      <x:c r="D47" s="2"/>
      <x:c r="E47" s="430" t="s">
        <x:v>466</x:v>
      </x:c>
      <x:c r="F47" s="431" t="s">
        <x:v>467</x:v>
      </x:c>
      <x:c r="G47" s="432" t="s">
        <x:v>468</x:v>
      </x:c>
      <x:c r="H47" s="433" t="s">
        <x:v>469</x:v>
      </x:c>
      <x:c r="I47" s="431"/>
      <x:c r="J47" s="195" t="s">
        <x:v>470</x:v>
      </x:c>
      <x:c r="K47" s="431" t="s">
        <x:v>471</x:v>
      </x:c>
      <x:c r="L47" s="2" t="s">
        <x:v>472</x:v>
      </x:c>
      <x:c r="M47" s="2"/>
      <x:c r="N47" s="2"/>
      <x:c r="O47" s="2"/>
      <x:c r="P47" s="2"/>
      <x:c r="Q47" s="2"/>
      <x:c r="R47" s="2"/>
      <x:c r="S47" s="2"/>
      <x:c r="T47" s="2"/>
      <x:c r="U47" s="2" t="s">
        <x:v>86</x:v>
      </x:c>
      <x:c r="V47" s="2" t="str">
        <x:f>"'"&amp;A47&amp;"': { name: '"&amp;B47&amp;"', nameZh: '"&amp;C47&amp;"', nameZhG46: '"&amp;D47&amp;"', nameKo: '"&amp;E47&amp;"', nameEn: '"&amp;F47&amp;"', symbol: '"&amp;G47&amp;"', symbolZh: '"&amp;H47&amp;"', symbolZhG46: '"&amp;I47&amp;"', symbolKo: '"&amp;J47&amp;"', symbolEn: '"&amp;K47&amp;"'"&amp;IF(N47&lt;&gt;"",", base: '"&amp;M47&amp;"', anotherID: '"&amp;N47&amp;"'","")&amp;IF(O47="○", ", notExistCardSets: ['na-s2'] as CardSet[]", IF(P47="○", ", notExistCardSets: ['na-s2', 'na-s3'] as CardSet[]", IF(Q47="○", ", notExistCardSets: ['na-s2', 'na-s3', 'na-s4', 'na-s4-pre'] as CardSet[]", IF(R47="○", ", notExistCardSets: ['na-s2', 'na-s3', 'na-s4', 'na-s4-pre', 'na-s5'] as CardSet[]", IF(S47="○", ", notExistCardSets: ['na-s2', 'na-s3', 'na-s4', 'na-s4-pre', 'na-s5', 'na-s6', 'na-s6-2'] as CardSet[]", IF(T47="○", ", notExistCardSets: ['na-s2', 'na-s3', 'na-s4', 'na-s4-pre', 'na-s5', 'na-s6', 'na-s6-2', 'na-s7'] as CardSet[]", IF(U47="○", ", notExistCardSets: ['na-s2', 'na-s3', 'na-s4', 'na-s4-pre', 'na-s5', 'na-s6', 'na-s6-2', 'na-s7', 'na-s7-2'] as CardSet[]", ""))))))) &amp; ", tarotNo: '" &amp; L47 &amp; "'},"</x:f>
        <x:v>'akina': { name: 'アキナ', nameZh: '安歧那', nameZhG46: '', nameKo: '아키나', nameEn: 'Akina', symbol: '算盤', symbolZh: '算盘', symbolZhG46: '', symbolKo: '주판', symbolEn: 'Abacus', notExistCardSets: ['na-s2', 'na-s3', 'na-s4', 'na-s4-pre', 'na-s5', 'na-s6', 'na-s6-2', 'na-s7', 'na-s7-2'] as CardSet[], tarotNo: '23'},</x:v>
      </x:c>
      <x:c r="W47" s="69" t="str">
        <x:f aca="0">"'"&amp;A47&amp;"': { name: '"&amp;B47&amp;"', nameZh: '"&amp;C47&amp;"', nameZhG1: '"&amp;D47&amp;"', nameKo: '"&amp;E47&amp;"', nameEn: '"&amp;F47&amp;"', symbol: '"&amp;G47&amp;"', symbolZh: '"&amp;H47&amp;"', symbolZhG1: '"&amp;I47&amp;"', symbolKo: '"&amp;J47&amp;"', symbolEn: '"&amp;K47&amp;"'"&amp;IF(N47&lt;&gt;"",", base: '"&amp;M47&amp;"', anotherID: '"&amp;N47&amp;"'","")&amp;IF(O47="○", ", notExistCardSets: ['na-s2'] as CardSet[]", IF(P47="○", ", notExistCardSets: ['na-s2', 'na-s3'] as CardSet[]", IF(Q47="○", ", notExistCardSets: ['na-s2', 'na-s3', 'na-s4', 'na-s4-pre'] as CardSet[]", IF(R47="○", ", notExistCardSets: ['na-s2', 'na-s3', 'na-s4', 'na-s4-pre', 'na-s5'] as CardSet[]", IF(S47="○", ", notExistCardSets: ['na-s2', 'na-s3', 'na-s4', 'na-s4-pre', 'na-s5', 'na-s6', 'na-s6-2'] as CardSet[]", IF(T47="○", ", notExistCardSets: ['na-s2', 'na-s3', 'na-s4', 'na-s4-pre', 'na-s5', 'na-s6', 'na-s6-2', 'na-s7'] as CardSet[]", IF(U47="○", ", notExistCardSets: ['na-s2', 'na-s3', 'na-s4', 'na-s4-pre', 'na-s5', 'na-s6', 'na-s6-2', 'na-s7', 'na-s7-2'] as CardSet[]", IF(V47="○", ", notExistCardSets: ['na-s2', 'na-s3', 'na-s4', 'na-s4-pre', 'na-s5', 'na-s6', 'na-s6-2', 'na-s7', 'na-s7-2', 'na-s8'] as CardSet[]", "")))))))) &amp; ", tarotNo: '" &amp; L47 &amp; "'},"</x:f>
        <x:v>'akina': { name: 'アキナ', nameZh: '安歧那', nameZhG1: '', nameKo: '아키나', nameEn: 'Akina', symbol: '算盤', symbolZh: '算盘', symbolZhG1: '', symbolKo: '주판', symbolEn: 'Abacus', notExistCardSets: ['na-s2', 'na-s3', 'na-s4', 'na-s4-pre', 'na-s5', 'na-s6', 'na-s6-2', 'na-s7', 'na-s7-2'] as CardSet[], tarotNo: '23'},</x:v>
      </x:c>
      <x:c r="X47" s="5"/>
      <x:c r="Y47" s="5"/>
      <x:c r="Z47" s="5"/>
      <x:c r="AA47" s="5"/>
      <x:c r="AB47" s="5"/>
      <x:c r="AC47" s="5"/>
      <x:c r="AD47" s="5"/>
      <x:c r="AE47" s="5"/>
      <x:c r="AF47" s="5"/>
      <x:c r="AG47" s="5"/>
      <x:c r="AH47" s="5"/>
      <x:c r="AI47" s="5"/>
      <x:c r="AML47" s="1"/>
    </x:row>
    <x:row r="48" ht="12" hidden="0" customHeight="1">
      <x:c r="A48" s="2" t="s">
        <x:v>473</x:v>
      </x:c>
      <x:c r="B48" s="2" t="s">
        <x:v>474</x:v>
      </x:c>
      <x:c r="C48" s="430" t="s">
        <x:v>475</x:v>
      </x:c>
      <x:c r="D48" s="2"/>
      <x:c r="E48" s="434" t="s">
        <x:v>476</x:v>
      </x:c>
      <x:c r="F48" s="431" t="s">
        <x:v>477</x:v>
      </x:c>
      <x:c r="G48" s="195" t="s">
        <x:v>478</x:v>
      </x:c>
      <x:c r="H48" s="431" t="s">
        <x:v>479</x:v>
      </x:c>
      <x:c r="I48" s="435"/>
      <x:c r="J48" s="431" t="s">
        <x:v>480</x:v>
      </x:c>
      <x:c r="K48" s="431" t="s">
        <x:v>481</x:v>
      </x:c>
      <x:c r="L48" s="2" t="s">
        <x:v>482</x:v>
      </x:c>
      <x:c r="M48" s="2"/>
      <x:c r="N48" s="2"/>
      <x:c r="O48" s="2"/>
      <x:c r="P48" s="2"/>
      <x:c r="Q48" s="2"/>
      <x:c r="R48" s="2"/>
      <x:c r="S48" s="2"/>
      <x:c r="T48" s="2"/>
      <x:c r="U48" s="2" t="s">
        <x:v>86</x:v>
      </x:c>
      <x:c r="V48" s="2" t="str">
        <x:f>"'"&amp;A48&amp;"': { name: '"&amp;B48&amp;"', nameZh: '"&amp;C48&amp;"', nameZhG47: '"&amp;D48&amp;"', nameKo: '"&amp;E48&amp;"', nameEn: '"&amp;F48&amp;"', symbol: '"&amp;G48&amp;"', symbolZh: '"&amp;H48&amp;"', symbolZhG47: '"&amp;I48&amp;"', symbolKo: '"&amp;J48&amp;"', symbolEn: '"&amp;K48&amp;"'"&amp;IF(N48&lt;&gt;"",", base: '"&amp;M48&amp;"', anotherID: '"&amp;N48&amp;"'","")&amp;IF(O48="○", ", notExistCardSets: ['na-s2'] as CardSet[]", IF(P48="○", ", notExistCardSets: ['na-s2', 'na-s3'] as CardSet[]", IF(Q48="○", ", notExistCardSets: ['na-s2', 'na-s3', 'na-s4', 'na-s4-pre'] as CardSet[]", IF(R48="○", ", notExistCardSets: ['na-s2', 'na-s3', 'na-s4', 'na-s4-pre', 'na-s5'] as CardSet[]", IF(S48="○", ", notExistCardSets: ['na-s2', 'na-s3', 'na-s4', 'na-s4-pre', 'na-s5', 'na-s6', 'na-s6-2'] as CardSet[]", IF(T48="○", ", notExistCardSets: ['na-s2', 'na-s3', 'na-s4', 'na-s4-pre', 'na-s5', 'na-s6', 'na-s6-2', 'na-s7'] as CardSet[]", IF(U48="○", ", notExistCardSets: ['na-s2', 'na-s3', 'na-s4', 'na-s4-pre', 'na-s5', 'na-s6', 'na-s6-2', 'na-s7', 'na-s7-2'] as CardSet[]", ""))))))) &amp; ", tarotNo: '" &amp; L48 &amp; "'},"</x:f>
        <x:v>'shisui': { name: 'シスイ', nameZh: '志水', nameZhG47: '', nameKo: '시스이', nameEn: 'Shisui', symbol: '鋸', symbolZh: '锯', symbolZhG47: '', symbolKo: '톱', symbolEn: 'Saw', notExistCardSets: ['na-s2', 'na-s3', 'na-s4', 'na-s4-pre', 'na-s5', 'na-s6', 'na-s6-2', 'na-s7', 'na-s7-2'] as CardSet[], tarotNo: '24'},</x:v>
      </x:c>
      <x:c r="W48" s="2"/>
      <x:c r="X48" s="2" t="s">
        <x:v>86</x:v>
      </x:c>
      <x:c r="Y48" s="69" t="str">
        <x:f aca="0">"'"&amp;A48&amp;"': { name: '"&amp;B48&amp;"', nameZh: '"&amp;C48&amp;"', nameZhG1: '"&amp;D48&amp;"', nameKo: '"&amp;E48&amp;"', nameEn: '"&amp;F48&amp;"', symbol: '"&amp;G48&amp;"', symbolZh: '"&amp;H48&amp;"', symbolZhG1: '"&amp;I48&amp;"', symbolKo: '"&amp;J48&amp;"', symbolEn: '"&amp;K48&amp;"'"&amp;IF(N48&lt;&gt;"",", base: '"&amp;M48&amp;"', anotherID: '"&amp;N48&amp;"'","")&amp;IF(O48="○", ", notExistCardSets: ['na-s2'] as CardSet[]", IF(P48="○", ", notExistCardSets: ['na-s2', 'na-s3'] as CardSet[]", IF(Q48="○", ", notExistCardSets: ['na-s2', 'na-s3', 'na-s4', 'na-s4-pre'] as CardSet[]", IF(R48="○", ", notExistCardSets: ['na-s2', 'na-s3', 'na-s4', 'na-s4-pre', 'na-s5'] as CardSet[]", IF(S48="○", ", notExistCardSets: ['na-s2', 'na-s3', 'na-s4', 'na-s4-pre', 'na-s5', 'na-s6', 'na-s6-2'] as CardSet[]", IF(T48="○", ", notExistCardSets: ['na-s2', 'na-s3', 'na-s4', 'na-s4-pre', 'na-s5', 'na-s6', 'na-s6-2', 'na-s7'] as CardSet[]", IF(U48="○", ", notExistCardSets: ['na-s2', 'na-s3', 'na-s4', 'na-s4-pre', 'na-s5', 'na-s6', 'na-s6-2', 'na-s7', 'na-s7-2'] as CardSet[]", IF(V48="○", ", notExistCardSets: ['na-s2', 'na-s3', 'na-s4', 'na-s4-pre', 'na-s5', 'na-s6', 'na-s6-2', 'na-s7', 'na-s7-2', 'na-s8'] as CardSet[]", IF(W48="○", ", notExistCardSets: ['na-s2', 'na-s3', 'na-s4', 'na-s4-pre', 'na-s5', 'na-s6', 'na-s6-2', 'na-s7', 'na-s7-2', 'na-s8', 'na-s8-2'] as CardSet[]", ""))))))))) &amp; ", tarotNo: '" &amp; L48 &amp; "'},"</x:f>
        <x:v>'shisui': { name: 'シスイ', nameZh: '志水', nameZhG1: '', nameKo: '시스이', nameEn: 'Shisui', symbol: '鋸', symbolZh: '锯', symbolZhG1: '', symbolKo: '톱', symbolEn: 'Saw', notExistCardSets: ['na-s2', 'na-s3', 'na-s4', 'na-s4-pre', 'na-s5', 'na-s6', 'na-s6-2', 'na-s7', 'na-s7-2'] as CardSet[], tarotNo: '24'},</x:v>
      </x:c>
      <x:c r="Z48" s="5"/>
      <x:c r="AA48" s="5"/>
      <x:c r="AB48" s="5"/>
      <x:c r="AC48" s="5"/>
      <x:c r="AD48" s="5"/>
      <x:c r="AE48" s="5"/>
      <x:c r="AF48" s="5"/>
      <x:c r="AG48" s="5"/>
      <x:c r="AH48" s="5"/>
      <x:c r="AI48" s="5"/>
      <x:c r="AJ48" s="5"/>
      <x:c r="AK48" s="5"/>
      <x:c r="AML48" s="1"/>
      <x:c r="AMM48" s="1"/>
      <x:c r="AMN48" s="1"/>
    </x:row>
    <x:row r="49" ht="12" hidden="0" customHeight="1">
      <x:c r="A49" s="2" t="s">
        <x:v>483</x:v>
      </x:c>
      <x:c r="B49" s="2" t="s">
        <x:v>484</x:v>
      </x:c>
      <x:c r="C49" s="430" t="s">
        <x:v>485</x:v>
      </x:c>
      <x:c r="D49" s="2"/>
      <x:c r="E49" s="434" t="s">
        <x:v>486</x:v>
      </x:c>
      <x:c r="F49" s="431" t="s">
        <x:v>487</x:v>
      </x:c>
      <x:c r="G49" s="195" t="s">
        <x:v>488</x:v>
      </x:c>
      <x:c r="H49" s="431" t="s">
        <x:v>488</x:v>
      </x:c>
      <x:c r="I49" s="435"/>
      <x:c r="J49" s="431" t="s">
        <x:v>489</x:v>
      </x:c>
      <x:c r="K49" s="431" t="s">
        <x:v>490</x:v>
      </x:c>
      <x:c r="L49" s="2" t="s">
        <x:v>462</x:v>
      </x:c>
      <x:c r="M49" s="2" t="s">
        <x:v>454</x:v>
      </x:c>
      <x:c r="N49" s="2" t="s">
        <x:v>76</x:v>
      </x:c>
      <x:c r="O49" s="2"/>
      <x:c r="P49" s="2"/>
      <x:c r="Q49" s="2"/>
      <x:c r="R49" s="2"/>
      <x:c r="S49" s="2"/>
      <x:c r="T49" s="2"/>
      <x:c r="U49" s="2"/>
      <x:c r="V49" s="2" t="str">
        <x:f>"'"&amp;A49&amp;"': { name: '"&amp;B49&amp;"', nameZh: '"&amp;C49&amp;"', nameZhG48: '"&amp;D49&amp;"', nameKo: '"&amp;E49&amp;"', nameEn: '"&amp;F49&amp;"', symbol: '"&amp;G49&amp;"', symbolZh: '"&amp;H49&amp;"', symbolZhG48: '"&amp;I49&amp;"', symbolKo: '"&amp;J49&amp;"', symbolEn: '"&amp;K49&amp;"'"&amp;IF(N49&lt;&gt;"",", base: '"&amp;M49&amp;"', anotherID: '"&amp;N49&amp;"'","")&amp;IF(O49="○", ", notExistCardSets: ['na-s2'] as CardSet[]", IF(P49="○", ", notExistCardSets: ['na-s2', 'na-s3'] as CardSet[]", IF(Q49="○", ", notExistCardSets: ['na-s2', 'na-s3', 'na-s4', 'na-s4-pre'] as CardSet[]", IF(R49="○", ", notExistCardSets: ['na-s2', 'na-s3', 'na-s4', 'na-s4-pre', 'na-s5'] as CardSet[]", IF(S49="○", ", notExistCardSets: ['na-s2', 'na-s3', 'na-s4', 'na-s4-pre', 'na-s5', 'na-s6', 'na-s6-2'] as CardSet[]", IF(T49="○", ", notExistCardSets: ['na-s2', 'na-s3', 'na-s4', 'na-s4-pre', 'na-s5', 'na-s6', 'na-s6-2', 'na-s7'] as CardSet[]", IF(U49="○", ", notExistCardSets: ['na-s2', 'na-s3', 'na-s4', 'na-s4-pre', 'na-s5', 'na-s6', 'na-s6-2', 'na-s7', 'na-s7-2'] as CardSet[]", ""))))))) &amp; ", tarotNo: '" &amp; L49 &amp; "'},"</x:f>
        <x:v>'renri-a1': { name: '歴史家レンリ', nameZh: '史学家恋离', nameZhG48: '', nameKo: '역사가 렌리', nameEn: 'Historian Renri', symbol: '遺物', symbolZh: '遺物', symbolZhG48: '', symbolKo: '유물', symbolEn: 'Relic', base: 'renri', anotherID: 'A1', tarotNo: '22'},</x:v>
      </x:c>
      <x:c r="W49" s="2"/>
      <x:c r="X49" s="2" t="s">
        <x:v>86</x:v>
      </x:c>
      <x:c r="Y49" s="69" t="str">
        <x:f aca="0">"'"&amp;A49&amp;"': { name: '"&amp;B49&amp;"', nameZh: '"&amp;C49&amp;"', nameZhG1: '"&amp;D49&amp;"', nameKo: '"&amp;E49&amp;"', nameEn: '"&amp;F49&amp;"', symbol: '"&amp;G49&amp;"', symbolZh: '"&amp;H49&amp;"', symbolZhG1: '"&amp;I49&amp;"', symbolKo: '"&amp;J49&amp;"', symbolEn: '"&amp;K49&amp;"'"&amp;IF(N49&lt;&gt;"",", base: '"&amp;M49&amp;"', anotherID: '"&amp;N49&amp;"'","")&amp;IF(O49="○", ", notExistCardSets: ['na-s2'] as CardSet[]", IF(P49="○", ", notExistCardSets: ['na-s2', 'na-s3'] as CardSet[]", IF(Q49="○", ", notExistCardSets: ['na-s2', 'na-s3', 'na-s4', 'na-s4-pre'] as CardSet[]", IF(R49="○", ", notExistCardSets: ['na-s2', 'na-s3', 'na-s4', 'na-s4-pre', 'na-s5'] as CardSet[]", IF(S49="○", ", notExistCardSets: ['na-s2', 'na-s3', 'na-s4', 'na-s4-pre', 'na-s5', 'na-s6', 'na-s6-2'] as CardSet[]", IF(T49="○", ", notExistCardSets: ['na-s2', 'na-s3', 'na-s4', 'na-s4-pre', 'na-s5', 'na-s6', 'na-s6-2', 'na-s7'] as CardSet[]", IF(U49="○", ", notExistCardSets: ['na-s2', 'na-s3', 'na-s4', 'na-s4-pre', 'na-s5', 'na-s6', 'na-s6-2', 'na-s7', 'na-s7-2'] as CardSet[]", IF(V49="○", ", notExistCardSets: ['na-s2', 'na-s3', 'na-s4', 'na-s4-pre', 'na-s5', 'na-s6', 'na-s6-2', 'na-s7', 'na-s7-2', 'na-s8'] as CardSet[]", IF(W49="○", ", notExistCardSets: ['na-s2', 'na-s3', 'na-s4', 'na-s4-pre', 'na-s5', 'na-s6', 'na-s6-2', 'na-s7', 'na-s7-2', 'na-s8', 'na-s8-2'] as CardSet[]", ""))))))))) &amp; ", tarotNo: '" &amp; L49 &amp; "'},"</x:f>
        <x:v>'renri-a1': { name: '歴史家レンリ', nameZh: '史学家恋离', nameZhG1: '', nameKo: '역사가 렌리', nameEn: 'Historian Renri', symbol: '遺物', symbolZh: '遺物', symbolZhG1: '', symbolKo: '유물', symbolEn: 'Relic', base: 'renri', anotherID: 'A1', tarotNo: '22'},</x:v>
      </x:c>
      <x:c r="Z49" s="5"/>
      <x:c r="AA49" s="5"/>
      <x:c r="AB49" s="5"/>
      <x:c r="AC49" s="5"/>
      <x:c r="AD49" s="5"/>
      <x:c r="AE49" s="5"/>
      <x:c r="AF49" s="5"/>
      <x:c r="AG49" s="5"/>
      <x:c r="AH49" s="5"/>
      <x:c r="AI49" s="5"/>
      <x:c r="AJ49" s="5"/>
      <x:c r="AK49" s="5"/>
      <x:c r="AML49" s="1"/>
      <x:c r="AMM49" s="1"/>
      <x:c r="AMN49" s="1"/>
    </x:row>
    <x:row r="50" ht="12" hidden="0" customHeight="1">
      <x:c r="A50" s="2" t="s">
        <x:v>491</x:v>
      </x:c>
      <x:c r="B50" s="2" t="s">
        <x:v>492</x:v>
      </x:c>
      <x:c r="C50" s="430" t="s">
        <x:v>493</x:v>
      </x:c>
      <x:c r="D50" s="2"/>
      <x:c r="E50" s="434" t="s">
        <x:v>494</x:v>
      </x:c>
      <x:c r="F50" s="431"/>
      <x:c r="G50" s="195" t="s">
        <x:v>495</x:v>
      </x:c>
      <x:c r="H50" s="431" t="s">
        <x:v>496</x:v>
      </x:c>
      <x:c r="I50" s="435"/>
      <x:c r="J50" s="431" t="s">
        <x:v>497</x:v>
      </x:c>
      <x:c r="K50" s="431"/>
      <x:c r="L50" s="2" t="s">
        <x:v>498</x:v>
      </x:c>
      <x:c r="M50" s="2" t="s">
        <x:v>499</x:v>
      </x:c>
      <x:c r="N50" s="2" t="s">
        <x:v>500</x:v>
      </x:c>
      <x:c r="O50" s="2"/>
      <x:c r="P50" s="2"/>
      <x:c r="Q50" s="2"/>
      <x:c r="R50" s="2"/>
      <x:c r="S50" s="2"/>
      <x:c r="T50" s="2"/>
      <x:c r="U50" s="2"/>
      <x:c r="V50" s="2" t="str">
        <x:f>"'"&amp;A50&amp;"': { name: '"&amp;B50&amp;"', nameZh: '"&amp;C50&amp;"', nameZhG49: '"&amp;D50&amp;"', nameKo: '"&amp;E50&amp;"', nameEn: '"&amp;F50&amp;"', symbol: '"&amp;G50&amp;"', symbolZh: '"&amp;H50&amp;"', symbolZhG49: '"&amp;I50&amp;"', symbolKo: '"&amp;J50&amp;"', symbolEn: '"&amp;K50&amp;"'"&amp;IF(N50&lt;&gt;"",", base: '"&amp;M50&amp;"', anotherID: '"&amp;N50&amp;"'","")&amp;IF(O50="○", ", notExistCardSets: ['na-s2'] as CardSet[]", IF(P50="○", ", notExistCardSets: ['na-s2', 'na-s3'] as CardSet[]", IF(Q50="○", ", notExistCardSets: ['na-s2', 'na-s3', 'na-s4', 'na-s4-pre'] as CardSet[]", IF(R50="○", ", notExistCardSets: ['na-s2', 'na-s3', 'na-s4', 'na-s4-pre', 'na-s5'] as CardSet[]", IF(S50="○", ", notExistCardSets: ['na-s2', 'na-s3', 'na-s4', 'na-s4-pre', 'na-s5', 'na-s6', 'na-s6-2'] as CardSet[]", IF(T50="○", ", notExistCardSets: ['na-s2', 'na-s3', 'na-s4', 'na-s4-pre', 'na-s5', 'na-s6', 'na-s6-2', 'na-s7'] as CardSet[]", IF(U50="○", ", notExistCardSets: ['na-s2', 'na-s3', 'na-s4', 'na-s4-pre', 'na-s5', 'na-s6', 'na-s6-2', 'na-s7', 'na-s7-2'] as CardSet[]", ""))))))) &amp; ", tarotNo: '" &amp; L50 &amp; "'},"</x:f>
        <x:v>'innealra-o1': { name: 'イニル・イヌル', nameZh: '造神·忆瑠', nameZhG49: '', nameKo: '이니르 이누르', nameEn: '', symbol: '過去', symbolZh: '过去', symbolZhG49: '', symbolKo: '과거', symbolEn: '', base: 'innealra', anotherID: 'O1', tarotNo: '26'},</x:v>
      </x:c>
      <x:c r="W50" s="2"/>
      <x:c r="X50" s="2" t="s">
        <x:v>86</x:v>
      </x:c>
      <x:c r="Y50" s="69" t="str">
        <x:f aca="0">"'"&amp;A50&amp;"': { name: '"&amp;B50&amp;"', nameZh: '"&amp;C50&amp;"', nameZhG1: '"&amp;D50&amp;"', nameKo: '"&amp;E50&amp;"', nameEn: '"&amp;F50&amp;"', symbol: '"&amp;G50&amp;"', symbolZh: '"&amp;H50&amp;"', symbolZhG1: '"&amp;I50&amp;"', symbolKo: '"&amp;J50&amp;"', symbolEn: '"&amp;K50&amp;"'"&amp;IF(N50&lt;&gt;"",", base: '"&amp;M50&amp;"', anotherID: '"&amp;N50&amp;"'","")&amp;IF(O50="○", ", notExistCardSets: ['na-s2'] as CardSet[]", IF(P50="○", ", notExistCardSets: ['na-s2', 'na-s3'] as CardSet[]", IF(Q50="○", ", notExistCardSets: ['na-s2', 'na-s3', 'na-s4', 'na-s4-pre'] as CardSet[]", IF(R50="○", ", notExistCardSets: ['na-s2', 'na-s3', 'na-s4', 'na-s4-pre', 'na-s5'] as CardSet[]", IF(S50="○", ", notExistCardSets: ['na-s2', 'na-s3', 'na-s4', 'na-s4-pre', 'na-s5', 'na-s6', 'na-s6-2'] as CardSet[]", IF(T50="○", ", notExistCardSets: ['na-s2', 'na-s3', 'na-s4', 'na-s4-pre', 'na-s5', 'na-s6', 'na-s6-2', 'na-s7'] as CardSet[]", IF(U50="○", ", notExistCardSets: ['na-s2', 'na-s3', 'na-s4', 'na-s4-pre', 'na-s5', 'na-s6', 'na-s6-2', 'na-s7', 'na-s7-2'] as CardSet[]", IF(V50="○", ", notExistCardSets: ['na-s2', 'na-s3', 'na-s4', 'na-s4-pre', 'na-s5', 'na-s6', 'na-s6-2', 'na-s7', 'na-s7-2', 'na-s8'] as CardSet[]", IF(W50="○", ", notExistCardSets: ['na-s2', 'na-s3', 'na-s4', 'na-s4-pre', 'na-s5', 'na-s6', 'na-s6-2', 'na-s7', 'na-s7-2', 'na-s8', 'na-s8-2'] as CardSet[]", ""))))))))) &amp; ", tarotNo: '" &amp; L50 &amp; "'},"</x:f>
        <x:v>'innealra-o1': { name: 'イニル・イヌル', nameZh: '造神·忆瑠', nameZhG1: '', nameKo: '이니르 이누르', nameEn: '', symbol: '過去', symbolZh: '过去', symbolZhG1: '', symbolKo: '과거', symbolEn: '', base: 'innealra', anotherID: 'O1', tarotNo: '26'},</x:v>
      </x:c>
      <x:c r="Z50" s="5"/>
      <x:c r="AA50" s="5"/>
      <x:c r="AB50" s="5"/>
      <x:c r="AC50" s="5"/>
      <x:c r="AD50" s="5"/>
      <x:c r="AE50" s="5"/>
      <x:c r="AF50" s="5"/>
      <x:c r="AG50" s="5"/>
      <x:c r="AH50" s="5"/>
      <x:c r="AI50" s="5"/>
      <x:c r="AJ50" s="5"/>
      <x:c r="AK50" s="5"/>
      <x:c r="AML50" s="1"/>
      <x:c r="AMM50" s="1"/>
      <x:c r="AMN50" s="1"/>
    </x:row>
    <x:row r="51" ht="12" hidden="0" customHeight="1">
      <x:c r="A51" s="2" t="s">
        <x:v>501</x:v>
      </x:c>
      <x:c r="B51" s="2" t="s">
        <x:v>502</x:v>
      </x:c>
      <x:c r="C51" s="2" t="s">
        <x:v>503</x:v>
      </x:c>
      <x:c r="D51" s="2"/>
      <x:c r="E51" s="2" t="s">
        <x:v>504</x:v>
      </x:c>
      <x:c r="F51" s="2"/>
      <x:c r="G51" s="2" t="s">
        <x:v>505</x:v>
      </x:c>
      <x:c r="H51" s="2" t="s">
        <x:v>506</x:v>
      </x:c>
      <x:c r="I51" s="7"/>
      <x:c r="J51" s="2" t="s">
        <x:v>507</x:v>
      </x:c>
      <x:c r="K51" s="63"/>
      <x:c r="L51" s="2" t="s">
        <x:v>498</x:v>
      </x:c>
      <x:c r="M51" s="2" t="s">
        <x:v>499</x:v>
      </x:c>
      <x:c r="N51" s="2" t="s">
        <x:v>508</x:v>
      </x:c>
      <x:c r="O51" s="2"/>
      <x:c r="P51" s="2"/>
      <x:c r="Q51" s="2"/>
      <x:c r="R51" s="2"/>
      <x:c r="S51" s="2"/>
      <x:c r="T51" s="2"/>
      <x:c r="U51" s="2"/>
      <x:c r="V51" s="5" t="str">
        <x:f>"'"&amp;A51&amp;"': { name: '"&amp;B51&amp;"', nameZh: '"&amp;C51&amp;"', nameZhG50: '"&amp;D51&amp;"', nameKo: '"&amp;E51&amp;"', nameEn: '"&amp;F51&amp;"', symbol: '"&amp;G51&amp;"', symbolZh: '"&amp;H51&amp;"', symbolZhG50: '"&amp;I51&amp;"', symbolKo: '"&amp;J51&amp;"', symbolEn: '"&amp;K51&amp;"'"&amp;IF(N51&lt;&gt;"",", base: '"&amp;M51&amp;"', anotherID: '"&amp;N51&amp;"'","")&amp;IF(O51="○", ", notExistCardSets: ['na-s2'] as CardSet[]", IF(P51="○", ", notExistCardSets: ['na-s2', 'na-s3'] as CardSet[]", IF(Q51="○", ", notExistCardSets: ['na-s2', 'na-s3', 'na-s4', 'na-s4-pre'] as CardSet[]", IF(R51="○", ", notExistCardSets: ['na-s2', 'na-s3', 'na-s4', 'na-s4-pre', 'na-s5'] as CardSet[]", IF(S51="○", ", notExistCardSets: ['na-s2', 'na-s3', 'na-s4', 'na-s4-pre', 'na-s5', 'na-s6', 'na-s6-2'] as CardSet[]", IF(T51="○", ", notExistCardSets: ['na-s2', 'na-s3', 'na-s4', 'na-s4-pre', 'na-s5', 'na-s6', 'na-s6-2', 'na-s7'] as CardSet[]", IF(U51="○", ", notExistCardSets: ['na-s2', 'na-s3', 'na-s4', 'na-s4-pre', 'na-s5', 'na-s6', 'na-s6-2', 'na-s7', 'na-s7-2'] as CardSet[]", ""))))))) &amp; ", tarotNo: '" &amp; L51 &amp; "'},"</x:f>
        <x:v>'innealra-o2': { name: 'イニル・マヒル', nameZh: '造神·真昼', nameZhG50: '', nameKo: '이니르 마히르', nameEn: '', symbol: '現在', symbolZh: '现在', symbolZhG50: '', symbolKo: '현재', symbolEn: '', base: 'innealra', anotherID: 'O2', tarotNo: '26'},</x:v>
      </x:c>
      <x:c r="W51" s="5"/>
      <x:c r="X51" s="5"/>
      <x:c r="Y51" s="5"/>
      <x:c r="Z51" s="5"/>
      <x:c r="AA51" s="5"/>
      <x:c r="AB51" s="5"/>
      <x:c r="AC51" s="5"/>
      <x:c r="AD51" s="5"/>
      <x:c r="AE51" s="5"/>
      <x:c r="AF51" s="5"/>
      <x:c r="AG51" s="5"/>
      <x:c r="AH51" s="5"/>
    </x:row>
    <x:row r="52" ht="12" hidden="0" customHeight="1">
      <x:c r="A52" s="2" t="s">
        <x:v>509</x:v>
      </x:c>
      <x:c r="B52" s="2" t="s">
        <x:v>510</x:v>
      </x:c>
      <x:c r="C52" s="2" t="s">
        <x:v>511</x:v>
      </x:c>
      <x:c r="D52" s="2"/>
      <x:c r="E52" s="2" t="s">
        <x:v>512</x:v>
      </x:c>
      <x:c r="F52" s="2"/>
      <x:c r="G52" s="2" t="s">
        <x:v>513</x:v>
      </x:c>
      <x:c r="H52" s="2" t="s">
        <x:v>513</x:v>
      </x:c>
      <x:c r="I52" s="7"/>
      <x:c r="J52" s="2" t="s">
        <x:v>514</x:v>
      </x:c>
      <x:c r="K52" s="2"/>
      <x:c r="L52" s="2" t="s">
        <x:v>498</x:v>
      </x:c>
      <x:c r="M52" s="2" t="s">
        <x:v>499</x:v>
      </x:c>
      <x:c r="N52" s="2" t="s">
        <x:v>515</x:v>
      </x:c>
      <x:c r="O52" s="2"/>
      <x:c r="P52" s="2"/>
      <x:c r="Q52" s="2"/>
      <x:c r="R52" s="2"/>
      <x:c r="S52" s="2"/>
      <x:c r="T52" s="2"/>
      <x:c r="U52" s="2"/>
      <x:c r="V52" s="5" t="str">
        <x:f>"'"&amp;A52&amp;"': { name: '"&amp;B52&amp;"', nameZh: '"&amp;C52&amp;"', nameZhG51: '"&amp;D52&amp;"', nameKo: '"&amp;E52&amp;"', nameEn: '"&amp;F52&amp;"', symbol: '"&amp;G52&amp;"', symbolZh: '"&amp;H52&amp;"', symbolZhG51: '"&amp;I52&amp;"', symbolKo: '"&amp;J52&amp;"', symbolEn: '"&amp;K52&amp;"'"&amp;IF(N52&lt;&gt;"",", base: '"&amp;M52&amp;"', anotherID: '"&amp;N52&amp;"'","")&amp;IF(O52="○", ", notExistCardSets: ['na-s2'] as CardSet[]", IF(P52="○", ", notExistCardSets: ['na-s2', 'na-s3'] as CardSet[]", IF(Q52="○", ", notExistCardSets: ['na-s2', 'na-s3', 'na-s4', 'na-s4-pre'] as CardSet[]", IF(R52="○", ", notExistCardSets: ['na-s2', 'na-s3', 'na-s4', 'na-s4-pre', 'na-s5'] as CardSet[]", IF(S52="○", ", notExistCardSets: ['na-s2', 'na-s3', 'na-s4', 'na-s4-pre', 'na-s5', 'na-s6', 'na-s6-2'] as CardSet[]", IF(T52="○", ", notExistCardSets: ['na-s2', 'na-s3', 'na-s4', 'na-s4-pre', 'na-s5', 'na-s6', 'na-s6-2', 'na-s7'] as CardSet[]", IF(U52="○", ", notExistCardSets: ['na-s2', 'na-s3', 'na-s4', 'na-s4-pre', 'na-s5', 'na-s6', 'na-s6-2', 'na-s7', 'na-s7-2'] as CardSet[]", ""))))))) &amp; ", tarotNo: '" &amp; L52 &amp; "'},"</x:f>
        <x:v>'innealra-o3': { name: 'イニル・アクル', nameZh: '造神·明来', nameZhG51: '', nameKo: '이니르 아쿠르', nameEn: '', symbol: '未来', symbolZh: '未来', symbolZhG51: '', symbolKo: '미래', symbolEn: '', base: 'innealra', anotherID: 'O3', tarotNo: '26'},</x:v>
      </x:c>
      <x:c r="W52" s="5"/>
      <x:c r="X52" s="5"/>
      <x:c r="Y52" s="5"/>
      <x:c r="Z52" s="5"/>
      <x:c r="AA52" s="5"/>
      <x:c r="AB52" s="5"/>
      <x:c r="AC52" s="5"/>
      <x:c r="AD52" s="5"/>
      <x:c r="AE52" s="5"/>
      <x:c r="AF52" s="5"/>
      <x:c r="AG52" s="5"/>
      <x:c r="AH52" s="5"/>
    </x:row>
    <x:row r="53" ht="12" hidden="0" customHeight="1">
      <x:c r="A53" s="2"/>
      <x:c r="B53" s="2"/>
      <x:c r="C53" s="2"/>
      <x:c r="D53" s="2"/>
      <x:c r="E53" s="2"/>
      <x:c r="F53" s="2"/>
      <x:c r="G53" s="2"/>
      <x:c r="H53" s="2"/>
      <x:c r="I53" s="7"/>
      <x:c r="J53" s="2"/>
      <x:c r="K53" s="2"/>
      <x:c r="L53" s="2"/>
      <x:c r="M53" s="2"/>
      <x:c r="N53" s="2"/>
      <x:c r="O53" s="2"/>
      <x:c r="P53" s="2"/>
      <x:c r="Q53" s="2"/>
      <x:c r="R53" s="2"/>
      <x:c r="S53" s="2"/>
      <x:c r="T53" s="2"/>
      <x:c r="U53" s="2"/>
      <x:c r="V53" s="5"/>
      <x:c r="W53" s="5"/>
      <x:c r="X53" s="5"/>
      <x:c r="Y53" s="5"/>
      <x:c r="Z53" s="5"/>
      <x:c r="AA53" s="5"/>
      <x:c r="AB53" s="5"/>
      <x:c r="AC53" s="5"/>
      <x:c r="AD53" s="5"/>
      <x:c r="AE53" s="5"/>
      <x:c r="AF53" s="5"/>
      <x:c r="AG53" s="5"/>
      <x:c r="AH53" s="5"/>
    </x:row>
    <x:row r="54" ht="12" hidden="0" customHeight="1">
      <x:c r="A54" s="2"/>
      <x:c r="B54" s="2"/>
      <x:c r="C54" s="2"/>
      <x:c r="D54" s="2"/>
      <x:c r="E54" s="2"/>
      <x:c r="F54" s="2"/>
      <x:c r="G54" s="2"/>
      <x:c r="H54" s="2"/>
      <x:c r="I54" s="7"/>
      <x:c r="J54" s="2"/>
      <x:c r="K54" s="63"/>
      <x:c r="L54" s="2"/>
      <x:c r="M54" s="2"/>
      <x:c r="N54" s="2"/>
      <x:c r="O54" s="2"/>
      <x:c r="P54" s="2"/>
      <x:c r="Q54" s="2"/>
      <x:c r="R54" s="2"/>
      <x:c r="S54" s="2"/>
      <x:c r="T54" s="2"/>
      <x:c r="U54" s="2"/>
      <x:c r="V54" s="5"/>
      <x:c r="W54" s="5"/>
      <x:c r="X54" s="5"/>
      <x:c r="Y54" s="5"/>
      <x:c r="Z54" s="5"/>
      <x:c r="AA54" s="5"/>
      <x:c r="AB54" s="5"/>
      <x:c r="AC54" s="5"/>
      <x:c r="AD54" s="5"/>
      <x:c r="AE54" s="5"/>
      <x:c r="AF54" s="5"/>
      <x:c r="AG54" s="5"/>
      <x:c r="AH54" s="5"/>
    </x:row>
    <x:row r="55" ht="12" hidden="0" customHeight="1">
      <x:c r="A55" s="2"/>
      <x:c r="B55" s="2"/>
      <x:c r="C55" s="2"/>
      <x:c r="D55" s="2"/>
      <x:c r="E55" s="2"/>
      <x:c r="F55" s="2"/>
      <x:c r="G55" s="2"/>
      <x:c r="H55" s="2"/>
      <x:c r="I55" s="7"/>
      <x:c r="J55" s="2"/>
      <x:c r="K55" s="63"/>
      <x:c r="L55" s="2"/>
      <x:c r="M55" s="2"/>
      <x:c r="N55" s="2"/>
      <x:c r="O55" s="2"/>
      <x:c r="P55" s="2"/>
      <x:c r="Q55" s="2"/>
      <x:c r="R55" s="2"/>
      <x:c r="S55" s="2"/>
      <x:c r="T55" s="2"/>
      <x:c r="U55" s="2"/>
      <x:c r="V55" s="5"/>
      <x:c r="W55" s="5"/>
      <x:c r="X55" s="5"/>
      <x:c r="Y55" s="5"/>
      <x:c r="Z55" s="5"/>
      <x:c r="AA55" s="5"/>
      <x:c r="AB55" s="5"/>
      <x:c r="AC55" s="5"/>
      <x:c r="AD55" s="5"/>
      <x:c r="AE55" s="5"/>
      <x:c r="AF55" s="5"/>
      <x:c r="AG55" s="5"/>
      <x:c r="AH55" s="5"/>
    </x:row>
    <x:row r="56" ht="12" hidden="0" customHeight="1">
      <x:c r="A56" s="2"/>
      <x:c r="B56" s="2"/>
      <x:c r="C56" s="2"/>
      <x:c r="D56" s="2"/>
      <x:c r="E56" s="2"/>
      <x:c r="F56" s="2"/>
      <x:c r="G56" s="2"/>
      <x:c r="H56" s="2"/>
      <x:c r="I56" s="7"/>
      <x:c r="J56" s="2"/>
      <x:c r="K56" s="63"/>
      <x:c r="L56" s="2"/>
      <x:c r="M56" s="2"/>
      <x:c r="N56" s="2"/>
      <x:c r="O56" s="2"/>
      <x:c r="P56" s="2"/>
      <x:c r="Q56" s="2"/>
      <x:c r="R56" s="2"/>
      <x:c r="S56" s="2"/>
      <x:c r="T56" s="2"/>
      <x:c r="U56" s="2"/>
      <x:c r="V56" s="5"/>
      <x:c r="W56" s="5"/>
      <x:c r="X56" s="5"/>
      <x:c r="Y56" s="5"/>
      <x:c r="Z56" s="5"/>
      <x:c r="AA56" s="5"/>
      <x:c r="AB56" s="5"/>
      <x:c r="AC56" s="5"/>
      <x:c r="AD56" s="5"/>
      <x:c r="AE56" s="5"/>
      <x:c r="AF56" s="5"/>
      <x:c r="AG56" s="5"/>
      <x:c r="AH56" s="5"/>
    </x:row>
    <x:row r="57" ht="12" hidden="0" customHeight="1">
      <x:c r="A57" s="2"/>
      <x:c r="B57" s="2"/>
      <x:c r="C57" s="2"/>
      <x:c r="D57" s="2"/>
      <x:c r="E57" s="2"/>
      <x:c r="F57" s="2"/>
      <x:c r="G57" s="2"/>
      <x:c r="H57" s="2"/>
      <x:c r="I57" s="7"/>
      <x:c r="J57" s="2"/>
      <x:c r="K57" s="63"/>
      <x:c r="L57" s="2"/>
      <x:c r="M57" s="2"/>
      <x:c r="N57" s="2"/>
      <x:c r="O57" s="2"/>
      <x:c r="P57" s="2"/>
      <x:c r="Q57" s="2"/>
      <x:c r="R57" s="2"/>
      <x:c r="S57" s="2"/>
      <x:c r="T57" s="2"/>
      <x:c r="U57" s="2"/>
      <x:c r="V57" s="5"/>
      <x:c r="W57" s="5"/>
      <x:c r="X57" s="5"/>
      <x:c r="Y57" s="5"/>
      <x:c r="Z57" s="5"/>
      <x:c r="AA57" s="5"/>
      <x:c r="AB57" s="5"/>
      <x:c r="AC57" s="5"/>
      <x:c r="AD57" s="5"/>
      <x:c r="AE57" s="5"/>
      <x:c r="AF57" s="5"/>
      <x:c r="AG57" s="5"/>
      <x:c r="AH57" s="5"/>
    </x:row>
    <x:row r="58" ht="12" hidden="0" customHeight="1">
      <x:c r="A58" s="2"/>
      <x:c r="B58" s="2"/>
      <x:c r="C58" s="2"/>
      <x:c r="D58" s="2"/>
      <x:c r="E58" s="2"/>
      <x:c r="F58" s="2"/>
      <x:c r="G58" s="2"/>
      <x:c r="H58" s="2"/>
      <x:c r="I58" s="7"/>
      <x:c r="J58" s="2"/>
      <x:c r="K58" s="63"/>
      <x:c r="L58" s="2"/>
      <x:c r="M58" s="2"/>
      <x:c r="N58" s="2"/>
      <x:c r="O58" s="2"/>
      <x:c r="P58" s="2"/>
      <x:c r="Q58" s="2"/>
      <x:c r="R58" s="2"/>
      <x:c r="S58" s="2"/>
      <x:c r="T58" s="2"/>
      <x:c r="U58" s="2"/>
      <x:c r="V58" s="5"/>
      <x:c r="W58" s="5"/>
      <x:c r="X58" s="5"/>
      <x:c r="Y58" s="5"/>
      <x:c r="Z58" s="5"/>
      <x:c r="AA58" s="5"/>
      <x:c r="AB58" s="5"/>
      <x:c r="AC58" s="5"/>
      <x:c r="AD58" s="5"/>
      <x:c r="AE58" s="5"/>
      <x:c r="AF58" s="5"/>
      <x:c r="AG58" s="5"/>
      <x:c r="AH58" s="5"/>
    </x:row>
    <x:row r="59" ht="12" hidden="0" customHeight="1">
      <x:c r="A59" s="2"/>
      <x:c r="B59" s="2"/>
      <x:c r="C59" s="2"/>
      <x:c r="D59" s="2"/>
      <x:c r="E59" s="2"/>
      <x:c r="F59" s="2"/>
      <x:c r="G59" s="2"/>
      <x:c r="H59" s="2"/>
      <x:c r="I59" s="7"/>
      <x:c r="J59" s="2"/>
      <x:c r="K59" s="63"/>
      <x:c r="L59" s="2"/>
      <x:c r="M59" s="2"/>
      <x:c r="N59" s="2"/>
      <x:c r="O59" s="2"/>
      <x:c r="P59" s="2"/>
      <x:c r="Q59" s="2"/>
      <x:c r="R59" s="2"/>
      <x:c r="S59" s="2"/>
      <x:c r="T59" s="2"/>
      <x:c r="U59" s="2"/>
      <x:c r="V59" s="5"/>
      <x:c r="W59" s="5"/>
      <x:c r="X59" s="5"/>
      <x:c r="Y59" s="5"/>
      <x:c r="Z59" s="5"/>
      <x:c r="AA59" s="5"/>
      <x:c r="AB59" s="5"/>
      <x:c r="AC59" s="5"/>
      <x:c r="AD59" s="5"/>
      <x:c r="AE59" s="5"/>
      <x:c r="AF59" s="5"/>
      <x:c r="AG59" s="5"/>
      <x:c r="AH59" s="5"/>
    </x:row>
    <x:row r="60" ht="12" hidden="0" customHeight="1">
      <x:c r="A60" s="2"/>
      <x:c r="B60" s="2"/>
      <x:c r="C60" s="2"/>
      <x:c r="D60" s="2"/>
      <x:c r="E60" s="2"/>
      <x:c r="F60" s="2"/>
      <x:c r="G60" s="2"/>
      <x:c r="H60" s="2"/>
      <x:c r="I60" s="7"/>
      <x:c r="J60" s="2"/>
      <x:c r="K60" s="2"/>
      <x:c r="L60" s="2"/>
      <x:c r="M60" s="2"/>
      <x:c r="N60" s="2"/>
      <x:c r="O60" s="2"/>
      <x:c r="P60" s="2"/>
      <x:c r="Q60" s="2"/>
      <x:c r="R60" s="2"/>
      <x:c r="S60" s="2"/>
      <x:c r="T60" s="2"/>
      <x:c r="U60" s="2"/>
      <x:c r="V60" s="5"/>
      <x:c r="W60" s="5"/>
      <x:c r="X60" s="5"/>
      <x:c r="Y60" s="5"/>
      <x:c r="Z60" s="5"/>
      <x:c r="AA60" s="5"/>
      <x:c r="AB60" s="5"/>
      <x:c r="AC60" s="5"/>
      <x:c r="AD60" s="5"/>
      <x:c r="AE60" s="5"/>
      <x:c r="AF60" s="5"/>
      <x:c r="AG60" s="5"/>
      <x:c r="AH60" s="5"/>
    </x:row>
    <x:row r="61" ht="12" hidden="0" customHeight="1">
      <x:c r="A61" s="2"/>
      <x:c r="B61" s="2"/>
      <x:c r="C61" s="2"/>
      <x:c r="D61" s="2"/>
      <x:c r="E61" s="2"/>
      <x:c r="F61" s="2"/>
      <x:c r="G61" s="2"/>
      <x:c r="H61" s="2"/>
      <x:c r="I61" s="7"/>
      <x:c r="J61" s="2"/>
      <x:c r="K61" s="63"/>
      <x:c r="L61" s="2"/>
      <x:c r="M61" s="2"/>
      <x:c r="N61" s="2"/>
      <x:c r="O61" s="2"/>
      <x:c r="P61" s="2"/>
      <x:c r="Q61" s="2"/>
      <x:c r="R61" s="2"/>
      <x:c r="S61" s="2"/>
      <x:c r="T61" s="2"/>
      <x:c r="U61" s="2"/>
      <x:c r="V61" s="5"/>
      <x:c r="W61" s="5"/>
      <x:c r="X61" s="5"/>
      <x:c r="Y61" s="5"/>
      <x:c r="Z61" s="5"/>
      <x:c r="AA61" s="5"/>
      <x:c r="AB61" s="5"/>
      <x:c r="AC61" s="5"/>
      <x:c r="AD61" s="5"/>
      <x:c r="AE61" s="5"/>
      <x:c r="AF61" s="5"/>
      <x:c r="AG61" s="5"/>
      <x:c r="AH61" s="5"/>
    </x:row>
    <x:row r="62" ht="12" hidden="0" customHeight="1">
      <x:c r="A62" s="2"/>
      <x:c r="B62" s="2"/>
      <x:c r="C62" s="2"/>
      <x:c r="D62" s="2"/>
      <x:c r="E62" s="2"/>
      <x:c r="F62" s="2"/>
      <x:c r="G62" s="2"/>
      <x:c r="H62" s="2"/>
      <x:c r="I62" s="7"/>
      <x:c r="J62" s="2"/>
      <x:c r="K62" s="63"/>
      <x:c r="L62" s="2"/>
      <x:c r="M62" s="2"/>
      <x:c r="N62" s="2"/>
      <x:c r="O62" s="2"/>
      <x:c r="P62" s="2"/>
      <x:c r="Q62" s="2"/>
      <x:c r="R62" s="2"/>
      <x:c r="S62" s="2"/>
      <x:c r="T62" s="2"/>
      <x:c r="U62" s="2"/>
      <x:c r="V62" s="5"/>
      <x:c r="W62" s="5"/>
      <x:c r="X62" s="5"/>
      <x:c r="Y62" s="5"/>
      <x:c r="Z62" s="5"/>
      <x:c r="AA62" s="5"/>
      <x:c r="AB62" s="5"/>
      <x:c r="AC62" s="5"/>
      <x:c r="AD62" s="5"/>
      <x:c r="AE62" s="5"/>
      <x:c r="AF62" s="5"/>
      <x:c r="AG62" s="5"/>
      <x:c r="AH62" s="5"/>
    </x:row>
    <x:row r="63" ht="12" hidden="0" customHeight="1">
      <x:c r="A63" s="2"/>
      <x:c r="B63" s="2"/>
      <x:c r="C63" s="2"/>
      <x:c r="D63" s="2"/>
      <x:c r="E63" s="2"/>
      <x:c r="F63" s="2"/>
      <x:c r="G63" s="2"/>
      <x:c r="H63" s="2"/>
      <x:c r="I63" s="7"/>
      <x:c r="J63" s="2"/>
      <x:c r="K63" s="2"/>
      <x:c r="L63" s="2"/>
      <x:c r="M63" s="2"/>
      <x:c r="N63" s="2"/>
      <x:c r="O63" s="2"/>
      <x:c r="P63" s="2"/>
      <x:c r="Q63" s="2"/>
      <x:c r="R63" s="2"/>
      <x:c r="S63" s="2"/>
      <x:c r="T63" s="2"/>
      <x:c r="U63" s="2"/>
      <x:c r="V63" s="5"/>
      <x:c r="W63" s="5"/>
      <x:c r="X63" s="5"/>
      <x:c r="Y63" s="5"/>
      <x:c r="Z63" s="5"/>
      <x:c r="AA63" s="5"/>
      <x:c r="AB63" s="5"/>
      <x:c r="AC63" s="5"/>
      <x:c r="AD63" s="5"/>
      <x:c r="AE63" s="5"/>
      <x:c r="AF63" s="5"/>
      <x:c r="AG63" s="5"/>
      <x:c r="AH63" s="5"/>
    </x:row>
    <x:row r="64" ht="12" hidden="0" customHeight="1">
      <x:c r="A64" s="2"/>
      <x:c r="B64" s="2"/>
      <x:c r="C64" s="2"/>
      <x:c r="D64" s="2"/>
      <x:c r="E64" s="2"/>
      <x:c r="F64" s="2"/>
      <x:c r="G64" s="2"/>
      <x:c r="H64" s="2"/>
      <x:c r="I64" s="7"/>
      <x:c r="J64" s="2"/>
      <x:c r="K64" s="63"/>
      <x:c r="L64" s="2"/>
      <x:c r="M64" s="2"/>
      <x:c r="N64" s="2"/>
      <x:c r="O64" s="2"/>
      <x:c r="P64" s="2"/>
      <x:c r="Q64" s="2"/>
      <x:c r="R64" s="2"/>
      <x:c r="S64" s="2"/>
      <x:c r="T64" s="2"/>
      <x:c r="U64" s="2"/>
      <x:c r="V64" s="5"/>
      <x:c r="W64" s="5"/>
      <x:c r="X64" s="5"/>
      <x:c r="Y64" s="5"/>
      <x:c r="Z64" s="5"/>
      <x:c r="AA64" s="5"/>
      <x:c r="AB64" s="5"/>
      <x:c r="AC64" s="5"/>
      <x:c r="AD64" s="5"/>
      <x:c r="AE64" s="5"/>
      <x:c r="AF64" s="5"/>
      <x:c r="AG64" s="5"/>
      <x:c r="AH64" s="5"/>
    </x:row>
    <x:row r="65" ht="12" hidden="0" customHeight="1">
      <x:c r="A65" s="2"/>
      <x:c r="B65" s="2"/>
      <x:c r="C65" s="2"/>
      <x:c r="D65" s="2"/>
      <x:c r="E65" s="2"/>
      <x:c r="F65" s="2"/>
      <x:c r="G65" s="2"/>
      <x:c r="H65" s="2"/>
      <x:c r="I65" s="7"/>
      <x:c r="J65" s="2"/>
      <x:c r="K65" s="63"/>
      <x:c r="L65" s="2"/>
      <x:c r="M65" s="2"/>
      <x:c r="N65" s="2"/>
      <x:c r="O65" s="2"/>
      <x:c r="P65" s="2"/>
      <x:c r="Q65" s="2"/>
      <x:c r="R65" s="2"/>
      <x:c r="S65" s="2"/>
      <x:c r="T65" s="2"/>
      <x:c r="U65" s="2"/>
      <x:c r="V65" s="5"/>
      <x:c r="W65" s="5"/>
      <x:c r="X65" s="5"/>
      <x:c r="Y65" s="5"/>
      <x:c r="Z65" s="5"/>
      <x:c r="AA65" s="5"/>
      <x:c r="AB65" s="5"/>
      <x:c r="AC65" s="5"/>
      <x:c r="AD65" s="5"/>
      <x:c r="AE65" s="5"/>
      <x:c r="AF65" s="5"/>
      <x:c r="AG65" s="5"/>
      <x:c r="AH65" s="5"/>
    </x:row>
    <x:row r="66" ht="12" hidden="0" customHeight="1">
      <x:c r="A66" s="2"/>
      <x:c r="B66" s="2"/>
      <x:c r="C66" s="2"/>
      <x:c r="D66" s="2"/>
      <x:c r="E66" s="2"/>
      <x:c r="F66" s="2"/>
      <x:c r="G66" s="2"/>
      <x:c r="H66" s="2"/>
      <x:c r="I66" s="7"/>
      <x:c r="J66" s="2"/>
      <x:c r="K66" s="63"/>
      <x:c r="L66" s="2"/>
      <x:c r="M66" s="2"/>
      <x:c r="N66" s="2"/>
      <x:c r="O66" s="2"/>
      <x:c r="P66" s="2"/>
      <x:c r="Q66" s="2"/>
      <x:c r="R66" s="2"/>
      <x:c r="S66" s="2"/>
      <x:c r="T66" s="2"/>
      <x:c r="U66" s="2"/>
      <x:c r="V66" s="5"/>
      <x:c r="W66" s="5"/>
      <x:c r="X66" s="5"/>
      <x:c r="Y66" s="5"/>
      <x:c r="Z66" s="5"/>
      <x:c r="AA66" s="5"/>
      <x:c r="AB66" s="5"/>
      <x:c r="AC66" s="5"/>
      <x:c r="AD66" s="5"/>
      <x:c r="AE66" s="5"/>
      <x:c r="AF66" s="5"/>
      <x:c r="AG66" s="5"/>
      <x:c r="AH66" s="5"/>
    </x:row>
    <x:row r="67" ht="12" hidden="0" customHeight="1">
      <x:c r="A67" s="2"/>
      <x:c r="B67" s="2"/>
      <x:c r="C67" s="2"/>
      <x:c r="D67" s="2"/>
      <x:c r="E67" s="2"/>
      <x:c r="F67" s="2"/>
      <x:c r="G67" s="2"/>
      <x:c r="H67" s="2"/>
      <x:c r="I67" s="7"/>
      <x:c r="J67" s="2"/>
      <x:c r="K67" s="63"/>
      <x:c r="L67" s="2"/>
      <x:c r="M67" s="2"/>
      <x:c r="N67" s="2"/>
      <x:c r="O67" s="2"/>
      <x:c r="P67" s="2"/>
      <x:c r="Q67" s="2"/>
      <x:c r="R67" s="2"/>
      <x:c r="S67" s="2"/>
      <x:c r="T67" s="2"/>
      <x:c r="U67" s="2"/>
      <x:c r="V67" s="5"/>
      <x:c r="W67" s="5"/>
      <x:c r="X67" s="5"/>
      <x:c r="Y67" s="5"/>
      <x:c r="Z67" s="5"/>
      <x:c r="AA67" s="5"/>
      <x:c r="AB67" s="5"/>
      <x:c r="AC67" s="5"/>
      <x:c r="AD67" s="5"/>
      <x:c r="AE67" s="5"/>
      <x:c r="AF67" s="5"/>
      <x:c r="AG67" s="5"/>
      <x:c r="AH67" s="5"/>
    </x:row>
    <x:row r="68" ht="12" hidden="0" customHeight="1">
      <x:c r="A68" s="2"/>
      <x:c r="B68" s="2"/>
      <x:c r="C68" s="2"/>
      <x:c r="D68" s="2"/>
      <x:c r="E68" s="2"/>
      <x:c r="F68" s="2"/>
      <x:c r="G68" s="2"/>
      <x:c r="H68" s="2"/>
      <x:c r="I68" s="7"/>
      <x:c r="J68" s="2"/>
      <x:c r="K68" s="63"/>
      <x:c r="L68" s="2"/>
      <x:c r="M68" s="2"/>
      <x:c r="N68" s="2"/>
      <x:c r="O68" s="2"/>
      <x:c r="P68" s="2"/>
      <x:c r="Q68" s="2"/>
      <x:c r="R68" s="2"/>
      <x:c r="S68" s="2"/>
      <x:c r="T68" s="2"/>
      <x:c r="U68" s="2"/>
      <x:c r="V68" s="5"/>
      <x:c r="W68" s="5"/>
      <x:c r="X68" s="5"/>
      <x:c r="Y68" s="5"/>
      <x:c r="Z68" s="5"/>
      <x:c r="AA68" s="5"/>
      <x:c r="AB68" s="5"/>
      <x:c r="AC68" s="5"/>
      <x:c r="AD68" s="5"/>
      <x:c r="AE68" s="5"/>
      <x:c r="AF68" s="5"/>
      <x:c r="AG68" s="5"/>
      <x:c r="AH68" s="5"/>
    </x:row>
    <x:row r="69" ht="12" hidden="0" customHeight="1">
      <x:c r="A69" s="2"/>
      <x:c r="B69" s="2"/>
      <x:c r="C69" s="2"/>
      <x:c r="D69" s="2"/>
      <x:c r="E69" s="2"/>
      <x:c r="F69" s="2"/>
      <x:c r="G69" s="2"/>
      <x:c r="H69" s="2"/>
      <x:c r="I69" s="7"/>
      <x:c r="J69" s="2"/>
      <x:c r="K69" s="63"/>
      <x:c r="L69" s="2"/>
      <x:c r="M69" s="2"/>
      <x:c r="N69" s="2"/>
      <x:c r="O69" s="2"/>
      <x:c r="P69" s="2"/>
      <x:c r="Q69" s="2"/>
      <x:c r="R69" s="2"/>
      <x:c r="S69" s="2"/>
      <x:c r="T69" s="2"/>
      <x:c r="U69" s="2"/>
      <x:c r="V69" s="5"/>
      <x:c r="W69" s="5"/>
      <x:c r="X69" s="5"/>
      <x:c r="Y69" s="5"/>
      <x:c r="Z69" s="5"/>
      <x:c r="AA69" s="5"/>
      <x:c r="AB69" s="5"/>
      <x:c r="AC69" s="5"/>
      <x:c r="AD69" s="5"/>
      <x:c r="AE69" s="5"/>
      <x:c r="AF69" s="5"/>
      <x:c r="AG69" s="5"/>
      <x:c r="AH69" s="5"/>
    </x:row>
    <x:row r="70" ht="12" hidden="0" customHeight="1">
      <x:c r="A70" s="2"/>
      <x:c r="B70" s="2"/>
      <x:c r="C70" s="2"/>
      <x:c r="D70" s="2"/>
      <x:c r="E70" s="2"/>
      <x:c r="F70" s="2"/>
      <x:c r="G70" s="2"/>
      <x:c r="H70" s="2"/>
      <x:c r="I70" s="7"/>
      <x:c r="J70" s="2"/>
      <x:c r="K70" s="63"/>
      <x:c r="L70" s="2"/>
      <x:c r="M70" s="2"/>
      <x:c r="N70" s="2"/>
      <x:c r="O70" s="2"/>
      <x:c r="P70" s="2"/>
      <x:c r="Q70" s="2"/>
      <x:c r="R70" s="2"/>
      <x:c r="S70" s="2"/>
      <x:c r="T70" s="2"/>
      <x:c r="U70" s="2"/>
      <x:c r="V70" s="5"/>
      <x:c r="W70" s="5"/>
      <x:c r="X70" s="5"/>
      <x:c r="Y70" s="5"/>
      <x:c r="Z70" s="5"/>
      <x:c r="AA70" s="5"/>
      <x:c r="AB70" s="5"/>
      <x:c r="AC70" s="5"/>
      <x:c r="AD70" s="5"/>
      <x:c r="AE70" s="5"/>
      <x:c r="AF70" s="5"/>
      <x:c r="AG70" s="5"/>
      <x:c r="AH70" s="5"/>
    </x:row>
    <x:row r="71" ht="12" hidden="0" customHeight="1">
      <x:c r="A71" s="2"/>
      <x:c r="B71" s="2"/>
      <x:c r="C71" s="2"/>
      <x:c r="D71" s="2"/>
      <x:c r="E71" s="2"/>
      <x:c r="F71" s="2"/>
      <x:c r="G71" s="2"/>
      <x:c r="H71" s="2"/>
      <x:c r="I71" s="7"/>
      <x:c r="J71" s="2"/>
      <x:c r="K71" s="63"/>
      <x:c r="L71" s="2"/>
      <x:c r="M71" s="2"/>
      <x:c r="N71" s="2"/>
      <x:c r="O71" s="2"/>
      <x:c r="P71" s="2"/>
      <x:c r="Q71" s="2"/>
      <x:c r="R71" s="2"/>
      <x:c r="S71" s="2"/>
      <x:c r="T71" s="2"/>
      <x:c r="U71" s="2"/>
      <x:c r="V71" s="5"/>
      <x:c r="W71" s="5"/>
      <x:c r="X71" s="5"/>
      <x:c r="Y71" s="5"/>
      <x:c r="Z71" s="5"/>
      <x:c r="AA71" s="5"/>
      <x:c r="AB71" s="5"/>
      <x:c r="AC71" s="5"/>
      <x:c r="AD71" s="5"/>
      <x:c r="AE71" s="5"/>
      <x:c r="AF71" s="5"/>
      <x:c r="AG71" s="5"/>
      <x:c r="AH71" s="5"/>
    </x:row>
    <x:row r="72" ht="12" hidden="0" customHeight="1">
      <x:c r="A72" s="2"/>
      <x:c r="B72" s="2"/>
      <x:c r="C72" s="2"/>
      <x:c r="D72" s="2"/>
      <x:c r="E72" s="2"/>
      <x:c r="F72" s="2"/>
      <x:c r="G72" s="2"/>
      <x:c r="H72" s="2"/>
      <x:c r="I72" s="7"/>
      <x:c r="J72" s="2"/>
      <x:c r="K72" s="63"/>
      <x:c r="L72" s="2"/>
      <x:c r="M72" s="2"/>
      <x:c r="N72" s="2"/>
      <x:c r="O72" s="2"/>
      <x:c r="P72" s="2"/>
      <x:c r="Q72" s="2"/>
      <x:c r="R72" s="2"/>
      <x:c r="S72" s="2"/>
      <x:c r="T72" s="2"/>
      <x:c r="U72" s="2"/>
      <x:c r="V72" s="5"/>
      <x:c r="W72" s="5"/>
      <x:c r="X72" s="5"/>
      <x:c r="Y72" s="5"/>
      <x:c r="Z72" s="5"/>
      <x:c r="AA72" s="5"/>
      <x:c r="AB72" s="5"/>
      <x:c r="AC72" s="5"/>
      <x:c r="AD72" s="5"/>
      <x:c r="AE72" s="5"/>
      <x:c r="AF72" s="5"/>
      <x:c r="AG72" s="5"/>
      <x:c r="AH72" s="5"/>
    </x:row>
    <x:row r="73" ht="12" hidden="0" customHeight="1">
      <x:c r="A73" s="2"/>
      <x:c r="B73" s="2"/>
      <x:c r="C73" s="2"/>
      <x:c r="D73" s="2"/>
      <x:c r="E73" s="2"/>
      <x:c r="F73" s="2"/>
      <x:c r="G73" s="2"/>
      <x:c r="H73" s="2"/>
      <x:c r="I73" s="7"/>
      <x:c r="J73" s="2"/>
      <x:c r="K73" s="63"/>
      <x:c r="L73" s="2"/>
      <x:c r="M73" s="2"/>
      <x:c r="N73" s="2"/>
      <x:c r="O73" s="2"/>
      <x:c r="P73" s="2"/>
      <x:c r="Q73" s="2"/>
      <x:c r="R73" s="2"/>
      <x:c r="S73" s="2"/>
      <x:c r="T73" s="2"/>
      <x:c r="U73" s="2"/>
      <x:c r="V73" s="5"/>
      <x:c r="W73" s="5"/>
      <x:c r="X73" s="5"/>
      <x:c r="Y73" s="5"/>
      <x:c r="Z73" s="5"/>
      <x:c r="AA73" s="5"/>
      <x:c r="AB73" s="5"/>
      <x:c r="AC73" s="5"/>
      <x:c r="AD73" s="5"/>
      <x:c r="AE73" s="5"/>
      <x:c r="AF73" s="5"/>
      <x:c r="AG73" s="5"/>
      <x:c r="AH73" s="5"/>
    </x:row>
    <x:row r="74" ht="25.5" hidden="0" customHeight="1">
      <x:c r="A74" s="2"/>
      <x:c r="B74" s="2"/>
      <x:c r="C74" s="2"/>
      <x:c r="D74" s="2"/>
      <x:c r="E74" s="2"/>
      <x:c r="F74" s="2"/>
      <x:c r="G74" s="2"/>
      <x:c r="H74" s="2"/>
      <x:c r="I74" s="7"/>
      <x:c r="J74" s="2"/>
      <x:c r="K74" s="63"/>
      <x:c r="L74" s="2"/>
      <x:c r="M74" s="2"/>
      <x:c r="N74" s="2"/>
      <x:c r="O74" s="2"/>
      <x:c r="P74" s="2"/>
      <x:c r="Q74" s="2"/>
      <x:c r="R74" s="2"/>
      <x:c r="S74" s="2"/>
      <x:c r="T74" s="2"/>
      <x:c r="U74" s="2"/>
      <x:c r="V74" s="5"/>
      <x:c r="W74" s="5"/>
      <x:c r="X74" s="5"/>
      <x:c r="Y74" s="5"/>
      <x:c r="Z74" s="5"/>
      <x:c r="AA74" s="5"/>
      <x:c r="AB74" s="5"/>
      <x:c r="AC74" s="5"/>
      <x:c r="AD74" s="5"/>
      <x:c r="AE74" s="5"/>
      <x:c r="AF74" s="5"/>
      <x:c r="AG74" s="5"/>
      <x:c r="AH74" s="5"/>
    </x:row>
    <x:row r="75" ht="12" hidden="0" customHeight="1">
      <x:c r="A75" s="2"/>
      <x:c r="B75" s="2"/>
      <x:c r="C75" s="2"/>
      <x:c r="D75" s="2"/>
      <x:c r="E75" s="2"/>
      <x:c r="F75" s="2"/>
      <x:c r="G75" s="2"/>
      <x:c r="H75" s="2"/>
      <x:c r="I75" s="7"/>
      <x:c r="J75" s="2"/>
      <x:c r="K75" s="63"/>
      <x:c r="L75" s="2"/>
      <x:c r="M75" s="2"/>
      <x:c r="N75" s="2"/>
      <x:c r="O75" s="2"/>
      <x:c r="P75" s="2"/>
      <x:c r="Q75" s="2"/>
      <x:c r="R75" s="2"/>
      <x:c r="S75" s="2"/>
      <x:c r="T75" s="2"/>
      <x:c r="U75" s="2"/>
      <x:c r="V75" s="5"/>
      <x:c r="W75" s="5"/>
      <x:c r="X75" s="5"/>
      <x:c r="Y75" s="5"/>
      <x:c r="Z75" s="5"/>
      <x:c r="AA75" s="5"/>
      <x:c r="AB75" s="5"/>
      <x:c r="AC75" s="5"/>
      <x:c r="AD75" s="5"/>
      <x:c r="AE75" s="5"/>
      <x:c r="AF75" s="5"/>
      <x:c r="AG75" s="5"/>
      <x:c r="AH75" s="5"/>
    </x:row>
    <x:row r="76" ht="12" hidden="0" customHeight="1">
      <x:c r="A76" s="2"/>
      <x:c r="B76" s="2"/>
      <x:c r="C76" s="2"/>
      <x:c r="D76" s="2"/>
      <x:c r="E76" s="2"/>
      <x:c r="F76" s="2"/>
      <x:c r="G76" s="2"/>
      <x:c r="H76" s="2"/>
      <x:c r="I76" s="7"/>
      <x:c r="J76" s="2"/>
      <x:c r="K76" s="63"/>
      <x:c r="L76" s="2"/>
      <x:c r="M76" s="2"/>
      <x:c r="N76" s="2"/>
      <x:c r="O76" s="2"/>
      <x:c r="P76" s="2"/>
      <x:c r="Q76" s="2"/>
      <x:c r="R76" s="2"/>
      <x:c r="S76" s="2"/>
      <x:c r="T76" s="2"/>
      <x:c r="U76" s="2"/>
      <x:c r="V76" s="5"/>
      <x:c r="W76" s="5"/>
      <x:c r="X76" s="5"/>
      <x:c r="Y76" s="5"/>
      <x:c r="Z76" s="5"/>
      <x:c r="AA76" s="5"/>
      <x:c r="AB76" s="5"/>
      <x:c r="AC76" s="5"/>
      <x:c r="AD76" s="5"/>
      <x:c r="AE76" s="5"/>
      <x:c r="AF76" s="5"/>
      <x:c r="AG76" s="5"/>
      <x:c r="AH76" s="5"/>
    </x:row>
    <x:row r="77" ht="12" hidden="0" customHeight="1">
      <x:c r="A77" s="2"/>
      <x:c r="B77" s="2"/>
      <x:c r="C77" s="2"/>
      <x:c r="D77" s="2"/>
      <x:c r="E77" s="2"/>
      <x:c r="F77" s="2"/>
      <x:c r="G77" s="2"/>
      <x:c r="H77" s="2"/>
      <x:c r="I77" s="7"/>
      <x:c r="J77" s="2"/>
      <x:c r="K77" s="63"/>
      <x:c r="L77" s="2"/>
      <x:c r="M77" s="2"/>
      <x:c r="N77" s="2"/>
      <x:c r="O77" s="2"/>
      <x:c r="P77" s="2"/>
      <x:c r="Q77" s="2"/>
      <x:c r="R77" s="2"/>
      <x:c r="S77" s="2"/>
      <x:c r="T77" s="2"/>
      <x:c r="U77" s="2"/>
      <x:c r="V77" s="5"/>
      <x:c r="W77" s="5"/>
      <x:c r="X77" s="5"/>
      <x:c r="Y77" s="5"/>
      <x:c r="Z77" s="5"/>
      <x:c r="AA77" s="5"/>
      <x:c r="AB77" s="5"/>
      <x:c r="AC77" s="5"/>
      <x:c r="AD77" s="5"/>
      <x:c r="AE77" s="5"/>
      <x:c r="AF77" s="5"/>
      <x:c r="AG77" s="5"/>
      <x:c r="AH77" s="5"/>
    </x:row>
    <x:row r="78" ht="12" hidden="0" customHeight="1">
      <x:c r="A78" s="2"/>
      <x:c r="B78" s="2"/>
      <x:c r="C78" s="2"/>
      <x:c r="D78" s="2"/>
      <x:c r="E78" s="2"/>
      <x:c r="F78" s="2"/>
      <x:c r="G78" s="2"/>
      <x:c r="H78" s="2"/>
      <x:c r="I78" s="7"/>
      <x:c r="J78" s="2"/>
      <x:c r="K78" s="63"/>
      <x:c r="L78" s="2"/>
      <x:c r="M78" s="2"/>
      <x:c r="N78" s="2"/>
      <x:c r="O78" s="2"/>
      <x:c r="P78" s="2"/>
      <x:c r="Q78" s="2"/>
      <x:c r="R78" s="2"/>
      <x:c r="S78" s="2"/>
      <x:c r="T78" s="2"/>
      <x:c r="U78" s="2"/>
      <x:c r="V78" s="5"/>
      <x:c r="W78" s="5"/>
      <x:c r="X78" s="5"/>
      <x:c r="Y78" s="5"/>
      <x:c r="Z78" s="5"/>
      <x:c r="AA78" s="5"/>
      <x:c r="AB78" s="5"/>
      <x:c r="AC78" s="5"/>
      <x:c r="AD78" s="5"/>
      <x:c r="AE78" s="5"/>
      <x:c r="AF78" s="5"/>
      <x:c r="AG78" s="5"/>
      <x:c r="AH78" s="5"/>
    </x:row>
    <x:row r="79" ht="12" hidden="0" customHeight="1">
      <x:c r="A79" s="2"/>
      <x:c r="B79" s="2"/>
      <x:c r="C79" s="2"/>
      <x:c r="D79" s="2"/>
      <x:c r="E79" s="2"/>
      <x:c r="F79" s="2"/>
      <x:c r="G79" s="2"/>
      <x:c r="H79" s="2"/>
      <x:c r="I79" s="7"/>
      <x:c r="J79" s="2"/>
      <x:c r="K79" s="63"/>
      <x:c r="L79" s="2"/>
      <x:c r="M79" s="2"/>
      <x:c r="N79" s="2"/>
      <x:c r="O79" s="2"/>
      <x:c r="P79" s="2"/>
      <x:c r="Q79" s="2"/>
      <x:c r="R79" s="2"/>
      <x:c r="S79" s="2"/>
      <x:c r="T79" s="2"/>
      <x:c r="U79" s="2"/>
      <x:c r="V79" s="5"/>
      <x:c r="W79" s="5"/>
      <x:c r="X79" s="5"/>
      <x:c r="Y79" s="5"/>
      <x:c r="Z79" s="5"/>
      <x:c r="AA79" s="5"/>
      <x:c r="AB79" s="5"/>
      <x:c r="AC79" s="5"/>
      <x:c r="AD79" s="5"/>
      <x:c r="AE79" s="5"/>
      <x:c r="AF79" s="5"/>
      <x:c r="AG79" s="5"/>
      <x:c r="AH79" s="5"/>
    </x:row>
    <x:row r="80" ht="12" hidden="0" customHeight="1">
      <x:c r="A80" s="2"/>
      <x:c r="B80" s="2"/>
      <x:c r="C80" s="2"/>
      <x:c r="D80" s="2"/>
      <x:c r="E80" s="2"/>
      <x:c r="F80" s="2"/>
      <x:c r="G80" s="2"/>
      <x:c r="H80" s="2"/>
      <x:c r="I80" s="7"/>
      <x:c r="J80" s="2"/>
      <x:c r="K80" s="63"/>
      <x:c r="L80" s="2"/>
      <x:c r="M80" s="2"/>
      <x:c r="N80" s="2"/>
      <x:c r="O80" s="2"/>
      <x:c r="P80" s="2"/>
      <x:c r="Q80" s="2"/>
      <x:c r="R80" s="2"/>
      <x:c r="S80" s="2"/>
      <x:c r="T80" s="2"/>
      <x:c r="U80" s="2"/>
      <x:c r="V80" s="5"/>
      <x:c r="W80" s="5"/>
      <x:c r="X80" s="5"/>
      <x:c r="Y80" s="5"/>
      <x:c r="Z80" s="5"/>
      <x:c r="AA80" s="5"/>
      <x:c r="AB80" s="5"/>
      <x:c r="AC80" s="5"/>
      <x:c r="AD80" s="5"/>
      <x:c r="AE80" s="5"/>
      <x:c r="AF80" s="5"/>
      <x:c r="AG80" s="5"/>
      <x:c r="AH80" s="5"/>
    </x:row>
    <x:row r="81" ht="12" hidden="0" customHeight="1">
      <x:c r="A81" s="2"/>
      <x:c r="B81" s="2"/>
      <x:c r="C81" s="2"/>
      <x:c r="D81" s="2"/>
      <x:c r="E81" s="2"/>
      <x:c r="F81" s="2"/>
      <x:c r="G81" s="2"/>
      <x:c r="H81" s="2"/>
      <x:c r="I81" s="7"/>
      <x:c r="J81" s="2"/>
      <x:c r="K81" s="63"/>
      <x:c r="L81" s="2"/>
      <x:c r="M81" s="2"/>
      <x:c r="N81" s="2"/>
      <x:c r="O81" s="2"/>
      <x:c r="P81" s="2"/>
      <x:c r="Q81" s="2"/>
      <x:c r="R81" s="2"/>
      <x:c r="S81" s="2"/>
      <x:c r="T81" s="2"/>
      <x:c r="U81" s="2"/>
      <x:c r="V81" s="5"/>
      <x:c r="W81" s="5"/>
      <x:c r="X81" s="5"/>
      <x:c r="Y81" s="5"/>
      <x:c r="Z81" s="5"/>
      <x:c r="AA81" s="5"/>
      <x:c r="AB81" s="5"/>
      <x:c r="AC81" s="5"/>
      <x:c r="AD81" s="5"/>
      <x:c r="AE81" s="5"/>
      <x:c r="AF81" s="5"/>
      <x:c r="AG81" s="5"/>
      <x:c r="AH81" s="5"/>
    </x:row>
    <x:row r="82" ht="12" hidden="0" customHeight="1">
      <x:c r="A82" s="2"/>
      <x:c r="B82" s="2"/>
      <x:c r="C82" s="2"/>
      <x:c r="D82" s="2"/>
      <x:c r="E82" s="2"/>
      <x:c r="F82" s="2"/>
      <x:c r="G82" s="2"/>
      <x:c r="H82" s="2"/>
      <x:c r="I82" s="7"/>
      <x:c r="J82" s="2"/>
      <x:c r="K82" s="63"/>
      <x:c r="L82" s="2"/>
      <x:c r="M82" s="2"/>
      <x:c r="N82" s="2"/>
      <x:c r="O82" s="2"/>
      <x:c r="P82" s="2"/>
      <x:c r="Q82" s="2"/>
      <x:c r="R82" s="2"/>
      <x:c r="S82" s="2"/>
      <x:c r="T82" s="2"/>
      <x:c r="U82" s="2"/>
      <x:c r="V82" s="5"/>
      <x:c r="W82" s="5"/>
      <x:c r="X82" s="5"/>
      <x:c r="Y82" s="5"/>
      <x:c r="Z82" s="5"/>
      <x:c r="AA82" s="5"/>
      <x:c r="AB82" s="5"/>
      <x:c r="AC82" s="5"/>
      <x:c r="AD82" s="5"/>
      <x:c r="AE82" s="5"/>
      <x:c r="AF82" s="5"/>
      <x:c r="AG82" s="5"/>
      <x:c r="AH82" s="5"/>
    </x:row>
    <x:row r="83" ht="12" hidden="0" customHeight="1">
      <x:c r="A83" s="2"/>
      <x:c r="B83" s="2"/>
      <x:c r="C83" s="2"/>
      <x:c r="D83" s="2"/>
      <x:c r="E83" s="2"/>
      <x:c r="F83" s="2"/>
      <x:c r="G83" s="2"/>
      <x:c r="H83" s="2"/>
      <x:c r="I83" s="7"/>
      <x:c r="J83" s="2"/>
      <x:c r="K83" s="63"/>
      <x:c r="L83" s="2"/>
      <x:c r="M83" s="2"/>
      <x:c r="N83" s="2"/>
      <x:c r="O83" s="2"/>
      <x:c r="P83" s="2"/>
      <x:c r="Q83" s="2"/>
      <x:c r="R83" s="2"/>
      <x:c r="S83" s="2"/>
      <x:c r="T83" s="2"/>
      <x:c r="U83" s="2"/>
      <x:c r="V83" s="5"/>
      <x:c r="W83" s="5"/>
      <x:c r="X83" s="5"/>
      <x:c r="Y83" s="5"/>
      <x:c r="Z83" s="5"/>
      <x:c r="AA83" s="5"/>
      <x:c r="AB83" s="5"/>
      <x:c r="AC83" s="5"/>
      <x:c r="AD83" s="5"/>
      <x:c r="AE83" s="5"/>
      <x:c r="AF83" s="5"/>
      <x:c r="AG83" s="5"/>
      <x:c r="AH83" s="5"/>
    </x:row>
    <x:row r="84" ht="12" hidden="0" customHeight="1">
      <x:c r="A84" s="2"/>
      <x:c r="B84" s="2"/>
      <x:c r="C84" s="2"/>
      <x:c r="D84" s="2"/>
      <x:c r="E84" s="2"/>
      <x:c r="F84" s="2"/>
      <x:c r="G84" s="2"/>
      <x:c r="H84" s="2"/>
      <x:c r="I84" s="7"/>
      <x:c r="J84" s="2"/>
      <x:c r="K84" s="63"/>
      <x:c r="L84" s="2"/>
      <x:c r="M84" s="2"/>
      <x:c r="N84" s="2"/>
      <x:c r="O84" s="2"/>
      <x:c r="P84" s="2"/>
      <x:c r="Q84" s="2"/>
      <x:c r="R84" s="2"/>
      <x:c r="S84" s="2"/>
      <x:c r="T84" s="2"/>
      <x:c r="U84" s="2"/>
      <x:c r="V84" s="5"/>
      <x:c r="W84" s="5"/>
      <x:c r="X84" s="5"/>
      <x:c r="Y84" s="5"/>
      <x:c r="Z84" s="5"/>
      <x:c r="AA84" s="5"/>
      <x:c r="AB84" s="5"/>
      <x:c r="AC84" s="5"/>
      <x:c r="AD84" s="5"/>
      <x:c r="AE84" s="5"/>
      <x:c r="AF84" s="5"/>
      <x:c r="AG84" s="5"/>
      <x:c r="AH84" s="5"/>
    </x:row>
    <x:row r="85" ht="12" hidden="0" customHeight="1">
      <x:c r="A85" s="2"/>
      <x:c r="B85" s="2"/>
      <x:c r="C85" s="2"/>
      <x:c r="D85" s="2"/>
      <x:c r="E85" s="2"/>
      <x:c r="F85" s="2"/>
      <x:c r="G85" s="2"/>
      <x:c r="H85" s="2"/>
      <x:c r="I85" s="7"/>
      <x:c r="J85" s="2"/>
      <x:c r="K85" s="63"/>
      <x:c r="L85" s="2"/>
      <x:c r="M85" s="2"/>
      <x:c r="N85" s="2"/>
      <x:c r="O85" s="2"/>
      <x:c r="P85" s="2"/>
      <x:c r="Q85" s="2"/>
      <x:c r="R85" s="2"/>
      <x:c r="S85" s="2"/>
      <x:c r="T85" s="2"/>
      <x:c r="U85" s="2"/>
      <x:c r="V85" s="5"/>
      <x:c r="W85" s="5"/>
      <x:c r="X85" s="5"/>
      <x:c r="Y85" s="5"/>
      <x:c r="Z85" s="5"/>
      <x:c r="AA85" s="5"/>
      <x:c r="AB85" s="5"/>
      <x:c r="AC85" s="5"/>
      <x:c r="AD85" s="5"/>
      <x:c r="AE85" s="5"/>
      <x:c r="AF85" s="5"/>
      <x:c r="AG85" s="5"/>
      <x:c r="AH85" s="5"/>
    </x:row>
    <x:row r="86" ht="12" hidden="0" customHeight="1">
      <x:c r="A86" s="2"/>
      <x:c r="B86" s="2"/>
      <x:c r="C86" s="2"/>
      <x:c r="D86" s="2"/>
      <x:c r="E86" s="2"/>
      <x:c r="F86" s="2"/>
      <x:c r="G86" s="2"/>
      <x:c r="H86" s="2"/>
      <x:c r="I86" s="7"/>
      <x:c r="J86" s="2"/>
      <x:c r="K86" s="63"/>
      <x:c r="L86" s="2"/>
      <x:c r="M86" s="2"/>
      <x:c r="N86" s="2"/>
      <x:c r="O86" s="2"/>
      <x:c r="P86" s="2"/>
      <x:c r="Q86" s="2"/>
      <x:c r="R86" s="2"/>
      <x:c r="S86" s="2"/>
      <x:c r="T86" s="2"/>
      <x:c r="U86" s="2"/>
      <x:c r="V86" s="5"/>
      <x:c r="W86" s="5"/>
      <x:c r="X86" s="5"/>
      <x:c r="Y86" s="5"/>
      <x:c r="Z86" s="5"/>
      <x:c r="AA86" s="5"/>
      <x:c r="AB86" s="5"/>
      <x:c r="AC86" s="5"/>
      <x:c r="AD86" s="5"/>
      <x:c r="AE86" s="5"/>
      <x:c r="AF86" s="5"/>
      <x:c r="AG86" s="5"/>
      <x:c r="AH86" s="5"/>
    </x:row>
    <x:row r="87" ht="12" hidden="0" customHeight="1">
      <x:c r="A87" s="2"/>
      <x:c r="B87" s="2"/>
      <x:c r="C87" s="2"/>
      <x:c r="D87" s="2"/>
      <x:c r="E87" s="2"/>
      <x:c r="F87" s="2"/>
      <x:c r="G87" s="2"/>
      <x:c r="H87" s="2"/>
      <x:c r="I87" s="7"/>
      <x:c r="J87" s="2"/>
      <x:c r="K87" s="63"/>
      <x:c r="L87" s="2"/>
      <x:c r="M87" s="2"/>
      <x:c r="N87" s="2"/>
      <x:c r="O87" s="2"/>
      <x:c r="P87" s="2"/>
      <x:c r="Q87" s="2"/>
      <x:c r="R87" s="2"/>
      <x:c r="S87" s="2"/>
      <x:c r="T87" s="2"/>
      <x:c r="U87" s="2"/>
      <x:c r="V87" s="5"/>
      <x:c r="W87" s="5"/>
      <x:c r="X87" s="5"/>
      <x:c r="Y87" s="5"/>
      <x:c r="Z87" s="5"/>
      <x:c r="AA87" s="5"/>
      <x:c r="AB87" s="5"/>
      <x:c r="AC87" s="5"/>
      <x:c r="AD87" s="5"/>
      <x:c r="AE87" s="5"/>
      <x:c r="AF87" s="5"/>
      <x:c r="AG87" s="5"/>
      <x:c r="AH87" s="5"/>
    </x:row>
    <x:row r="88" ht="12" hidden="0" customHeight="1">
      <x:c r="A88" s="2"/>
      <x:c r="B88" s="2"/>
      <x:c r="C88" s="2"/>
      <x:c r="D88" s="2"/>
      <x:c r="E88" s="2"/>
      <x:c r="F88" s="2"/>
      <x:c r="G88" s="2"/>
      <x:c r="H88" s="2"/>
      <x:c r="I88" s="7"/>
      <x:c r="J88" s="2"/>
      <x:c r="K88" s="63"/>
      <x:c r="L88" s="2"/>
      <x:c r="M88" s="2"/>
      <x:c r="N88" s="2"/>
      <x:c r="O88" s="2"/>
      <x:c r="P88" s="2"/>
      <x:c r="Q88" s="2"/>
      <x:c r="R88" s="2"/>
      <x:c r="S88" s="2"/>
      <x:c r="T88" s="2"/>
      <x:c r="U88" s="2"/>
      <x:c r="V88" s="5"/>
      <x:c r="W88" s="5"/>
      <x:c r="X88" s="5"/>
      <x:c r="Y88" s="5"/>
      <x:c r="Z88" s="5"/>
      <x:c r="AA88" s="5"/>
      <x:c r="AB88" s="5"/>
      <x:c r="AC88" s="5"/>
      <x:c r="AD88" s="5"/>
      <x:c r="AE88" s="5"/>
      <x:c r="AF88" s="5"/>
      <x:c r="AG88" s="5"/>
      <x:c r="AH88" s="5"/>
    </x:row>
    <x:row r="89" ht="12" hidden="0" customHeight="1">
      <x:c r="A89" s="2"/>
      <x:c r="B89" s="2"/>
      <x:c r="C89" s="2"/>
      <x:c r="D89" s="2"/>
      <x:c r="E89" s="2"/>
      <x:c r="F89" s="2"/>
      <x:c r="G89" s="2"/>
      <x:c r="H89" s="2"/>
      <x:c r="I89" s="7"/>
      <x:c r="J89" s="2"/>
      <x:c r="K89" s="63"/>
      <x:c r="L89" s="2"/>
      <x:c r="M89" s="2"/>
      <x:c r="N89" s="2"/>
      <x:c r="O89" s="2"/>
      <x:c r="P89" s="2"/>
      <x:c r="Q89" s="2"/>
      <x:c r="R89" s="2"/>
      <x:c r="S89" s="2"/>
      <x:c r="T89" s="2"/>
      <x:c r="U89" s="2"/>
      <x:c r="V89" s="5"/>
      <x:c r="W89" s="5"/>
      <x:c r="X89" s="5"/>
      <x:c r="Y89" s="5"/>
      <x:c r="Z89" s="5"/>
      <x:c r="AA89" s="5"/>
      <x:c r="AB89" s="5"/>
      <x:c r="AC89" s="5"/>
      <x:c r="AD89" s="5"/>
      <x:c r="AE89" s="5"/>
      <x:c r="AF89" s="5"/>
      <x:c r="AG89" s="5"/>
      <x:c r="AH89" s="5"/>
    </x:row>
    <x:row r="90" ht="12" hidden="0" customHeight="1">
      <x:c r="A90" s="2"/>
      <x:c r="B90" s="2"/>
      <x:c r="C90" s="2"/>
      <x:c r="D90" s="2"/>
      <x:c r="E90" s="2"/>
      <x:c r="F90" s="2"/>
      <x:c r="G90" s="2"/>
      <x:c r="H90" s="2"/>
      <x:c r="I90" s="7"/>
      <x:c r="J90" s="2"/>
      <x:c r="K90" s="63"/>
      <x:c r="L90" s="2"/>
      <x:c r="M90" s="2"/>
      <x:c r="N90" s="2"/>
      <x:c r="O90" s="2"/>
      <x:c r="P90" s="2"/>
      <x:c r="Q90" s="2"/>
      <x:c r="R90" s="2"/>
      <x:c r="S90" s="2"/>
      <x:c r="T90" s="2"/>
      <x:c r="U90" s="2"/>
      <x:c r="V90" s="5"/>
      <x:c r="W90" s="5"/>
      <x:c r="X90" s="5"/>
      <x:c r="Y90" s="5"/>
      <x:c r="Z90" s="5"/>
      <x:c r="AA90" s="5"/>
      <x:c r="AB90" s="5"/>
      <x:c r="AC90" s="5"/>
      <x:c r="AD90" s="5"/>
      <x:c r="AE90" s="5"/>
      <x:c r="AF90" s="5"/>
      <x:c r="AG90" s="5"/>
      <x:c r="AH90" s="5"/>
    </x:row>
    <x:row r="91" ht="12" hidden="0" customHeight="1">
      <x:c r="A91" s="2"/>
      <x:c r="B91" s="2"/>
      <x:c r="C91" s="2"/>
      <x:c r="D91" s="2"/>
      <x:c r="E91" s="2"/>
      <x:c r="F91" s="2"/>
      <x:c r="G91" s="2"/>
      <x:c r="H91" s="2"/>
      <x:c r="I91" s="7"/>
      <x:c r="J91" s="2"/>
      <x:c r="K91" s="63"/>
      <x:c r="L91" s="2"/>
      <x:c r="M91" s="2"/>
      <x:c r="N91" s="2"/>
      <x:c r="O91" s="2"/>
      <x:c r="P91" s="2"/>
      <x:c r="Q91" s="2"/>
      <x:c r="R91" s="2"/>
      <x:c r="S91" s="2"/>
      <x:c r="T91" s="2"/>
      <x:c r="U91" s="2"/>
      <x:c r="V91" s="5"/>
      <x:c r="W91" s="5"/>
      <x:c r="X91" s="5"/>
      <x:c r="Y91" s="5"/>
      <x:c r="Z91" s="5"/>
      <x:c r="AA91" s="5"/>
      <x:c r="AB91" s="5"/>
      <x:c r="AC91" s="5"/>
      <x:c r="AD91" s="5"/>
      <x:c r="AE91" s="5"/>
      <x:c r="AF91" s="5"/>
      <x:c r="AG91" s="5"/>
      <x:c r="AH91" s="5"/>
    </x:row>
    <x:row r="92" ht="12" hidden="0" customHeight="1">
      <x:c r="A92" s="2"/>
      <x:c r="B92" s="2"/>
      <x:c r="C92" s="2"/>
      <x:c r="D92" s="2"/>
      <x:c r="E92" s="2"/>
      <x:c r="F92" s="2"/>
      <x:c r="G92" s="2"/>
      <x:c r="H92" s="2"/>
      <x:c r="I92" s="7"/>
      <x:c r="J92" s="2"/>
      <x:c r="K92" s="63"/>
      <x:c r="L92" s="2"/>
      <x:c r="M92" s="2"/>
      <x:c r="N92" s="2"/>
      <x:c r="O92" s="2"/>
      <x:c r="P92" s="2"/>
      <x:c r="Q92" s="2"/>
      <x:c r="R92" s="2"/>
      <x:c r="S92" s="2"/>
      <x:c r="T92" s="2"/>
      <x:c r="U92" s="2"/>
      <x:c r="V92" s="5"/>
      <x:c r="W92" s="5"/>
      <x:c r="X92" s="5"/>
      <x:c r="Y92" s="5"/>
      <x:c r="Z92" s="5"/>
      <x:c r="AA92" s="5"/>
      <x:c r="AB92" s="5"/>
      <x:c r="AC92" s="5"/>
      <x:c r="AD92" s="5"/>
      <x:c r="AE92" s="5"/>
      <x:c r="AF92" s="5"/>
      <x:c r="AG92" s="5"/>
      <x:c r="AH92" s="5"/>
    </x:row>
    <x:row r="93" ht="12" hidden="0" customHeight="1">
      <x:c r="A93" s="2"/>
      <x:c r="B93" s="2"/>
      <x:c r="C93" s="2"/>
      <x:c r="D93" s="2"/>
      <x:c r="E93" s="2"/>
      <x:c r="F93" s="2"/>
      <x:c r="G93" s="2"/>
      <x:c r="H93" s="2"/>
      <x:c r="I93" s="7"/>
      <x:c r="J93" s="2"/>
      <x:c r="K93" s="63"/>
      <x:c r="L93" s="2"/>
      <x:c r="M93" s="2"/>
      <x:c r="N93" s="2"/>
      <x:c r="O93" s="2"/>
      <x:c r="P93" s="2"/>
      <x:c r="Q93" s="2"/>
      <x:c r="R93" s="2"/>
      <x:c r="S93" s="2"/>
      <x:c r="T93" s="2"/>
      <x:c r="U93" s="2"/>
      <x:c r="V93" s="5"/>
      <x:c r="W93" s="5"/>
      <x:c r="X93" s="5"/>
      <x:c r="Y93" s="5"/>
      <x:c r="Z93" s="5"/>
      <x:c r="AA93" s="5"/>
      <x:c r="AB93" s="5"/>
      <x:c r="AC93" s="5"/>
      <x:c r="AD93" s="5"/>
      <x:c r="AE93" s="5"/>
      <x:c r="AF93" s="5"/>
      <x:c r="AG93" s="5"/>
      <x:c r="AH93" s="5"/>
    </x:row>
    <x:row r="94" ht="12" hidden="0" customHeight="1">
      <x:c r="A94" s="2"/>
      <x:c r="B94" s="2"/>
      <x:c r="C94" s="2"/>
      <x:c r="D94" s="2"/>
      <x:c r="E94" s="2"/>
      <x:c r="F94" s="2"/>
      <x:c r="G94" s="2"/>
      <x:c r="H94" s="2"/>
      <x:c r="I94" s="7"/>
      <x:c r="J94" s="2"/>
      <x:c r="K94" s="63"/>
      <x:c r="L94" s="2"/>
      <x:c r="M94" s="2"/>
      <x:c r="N94" s="2"/>
      <x:c r="O94" s="2"/>
      <x:c r="P94" s="2"/>
      <x:c r="Q94" s="2"/>
      <x:c r="R94" s="2"/>
      <x:c r="S94" s="2"/>
      <x:c r="T94" s="2"/>
      <x:c r="U94" s="2"/>
      <x:c r="V94" s="5"/>
      <x:c r="W94" s="5"/>
      <x:c r="X94" s="5"/>
      <x:c r="Y94" s="5"/>
      <x:c r="Z94" s="5"/>
      <x:c r="AA94" s="5"/>
      <x:c r="AB94" s="5"/>
      <x:c r="AC94" s="5"/>
      <x:c r="AD94" s="5"/>
      <x:c r="AE94" s="5"/>
      <x:c r="AF94" s="5"/>
      <x:c r="AG94" s="5"/>
      <x:c r="AH94" s="5"/>
    </x:row>
    <x:row r="95" ht="12" hidden="0" customHeight="1">
      <x:c r="A95" s="2"/>
      <x:c r="B95" s="2"/>
      <x:c r="C95" s="2"/>
      <x:c r="D95" s="2"/>
      <x:c r="E95" s="2"/>
      <x:c r="F95" s="2"/>
      <x:c r="G95" s="2"/>
      <x:c r="H95" s="2"/>
      <x:c r="I95" s="7"/>
      <x:c r="J95" s="2"/>
      <x:c r="K95" s="63"/>
      <x:c r="L95" s="2"/>
      <x:c r="M95" s="2"/>
      <x:c r="N95" s="2"/>
      <x:c r="O95" s="2"/>
      <x:c r="P95" s="2"/>
      <x:c r="Q95" s="2"/>
      <x:c r="R95" s="2"/>
      <x:c r="S95" s="2"/>
      <x:c r="T95" s="2"/>
      <x:c r="U95" s="2"/>
      <x:c r="V95" s="5"/>
      <x:c r="W95" s="5"/>
      <x:c r="X95" s="5"/>
      <x:c r="Y95" s="5"/>
      <x:c r="Z95" s="5"/>
      <x:c r="AA95" s="5"/>
      <x:c r="AB95" s="5"/>
      <x:c r="AC95" s="5"/>
      <x:c r="AD95" s="5"/>
      <x:c r="AE95" s="5"/>
      <x:c r="AF95" s="5"/>
      <x:c r="AG95" s="5"/>
      <x:c r="AH95" s="5"/>
    </x:row>
    <x:row r="96" ht="12" hidden="0" customHeight="1">
      <x:c r="A96" s="2"/>
      <x:c r="B96" s="2"/>
      <x:c r="C96" s="2"/>
      <x:c r="D96" s="2"/>
      <x:c r="E96" s="2"/>
      <x:c r="F96" s="2"/>
      <x:c r="G96" s="2"/>
      <x:c r="H96" s="2"/>
      <x:c r="I96" s="7"/>
      <x:c r="J96" s="2"/>
      <x:c r="K96" s="63"/>
      <x:c r="L96" s="2"/>
      <x:c r="M96" s="2"/>
      <x:c r="N96" s="2"/>
      <x:c r="O96" s="2"/>
      <x:c r="P96" s="2"/>
      <x:c r="Q96" s="2"/>
      <x:c r="R96" s="2"/>
      <x:c r="S96" s="2"/>
      <x:c r="T96" s="2"/>
      <x:c r="U96" s="2"/>
      <x:c r="V96" s="5"/>
      <x:c r="W96" s="5"/>
      <x:c r="X96" s="5"/>
      <x:c r="Y96" s="5"/>
      <x:c r="Z96" s="5"/>
      <x:c r="AA96" s="5"/>
      <x:c r="AB96" s="5"/>
      <x:c r="AC96" s="5"/>
      <x:c r="AD96" s="5"/>
      <x:c r="AE96" s="5"/>
      <x:c r="AF96" s="5"/>
      <x:c r="AG96" s="5"/>
      <x:c r="AH96" s="5"/>
    </x:row>
    <x:row r="97" ht="12" hidden="0" customHeight="1">
      <x:c r="A97" s="2"/>
      <x:c r="B97" s="2"/>
      <x:c r="C97" s="2"/>
      <x:c r="D97" s="2"/>
      <x:c r="E97" s="2"/>
      <x:c r="F97" s="2"/>
      <x:c r="G97" s="2"/>
      <x:c r="H97" s="2"/>
      <x:c r="I97" s="7"/>
      <x:c r="J97" s="2"/>
      <x:c r="K97" s="63"/>
      <x:c r="L97" s="2"/>
      <x:c r="M97" s="2"/>
      <x:c r="N97" s="2"/>
      <x:c r="O97" s="2"/>
      <x:c r="P97" s="2"/>
      <x:c r="Q97" s="2"/>
      <x:c r="R97" s="2"/>
      <x:c r="S97" s="2"/>
      <x:c r="T97" s="2"/>
      <x:c r="U97" s="2"/>
      <x:c r="V97" s="5"/>
      <x:c r="W97" s="5"/>
      <x:c r="X97" s="5"/>
      <x:c r="Y97" s="5"/>
      <x:c r="Z97" s="5"/>
      <x:c r="AA97" s="5"/>
      <x:c r="AB97" s="5"/>
      <x:c r="AC97" s="5"/>
      <x:c r="AD97" s="5"/>
      <x:c r="AE97" s="5"/>
      <x:c r="AF97" s="5"/>
      <x:c r="AG97" s="5"/>
      <x:c r="AH97" s="5"/>
    </x:row>
    <x:row r="98" ht="12" hidden="0" customHeight="1">
      <x:c r="A98" s="2"/>
      <x:c r="B98" s="2"/>
      <x:c r="C98" s="2"/>
      <x:c r="D98" s="2"/>
      <x:c r="E98" s="2"/>
      <x:c r="F98" s="2"/>
      <x:c r="G98" s="2"/>
      <x:c r="H98" s="2"/>
      <x:c r="I98" s="7"/>
      <x:c r="J98" s="2"/>
      <x:c r="K98" s="63"/>
      <x:c r="L98" s="2"/>
      <x:c r="M98" s="2"/>
      <x:c r="N98" s="2"/>
      <x:c r="O98" s="2"/>
      <x:c r="P98" s="2"/>
      <x:c r="Q98" s="2"/>
      <x:c r="R98" s="2"/>
      <x:c r="S98" s="2"/>
      <x:c r="T98" s="2"/>
      <x:c r="U98" s="2"/>
      <x:c r="V98" s="5"/>
      <x:c r="W98" s="5"/>
      <x:c r="X98" s="5"/>
      <x:c r="Y98" s="5"/>
      <x:c r="Z98" s="5"/>
      <x:c r="AA98" s="5"/>
      <x:c r="AB98" s="5"/>
      <x:c r="AC98" s="5"/>
      <x:c r="AD98" s="5"/>
      <x:c r="AE98" s="5"/>
      <x:c r="AF98" s="5"/>
      <x:c r="AG98" s="5"/>
      <x:c r="AH98" s="5"/>
    </x:row>
    <x:row r="99" ht="12" hidden="0" customHeight="1">
      <x:c r="A99" s="2"/>
      <x:c r="B99" s="2"/>
      <x:c r="C99" s="2"/>
      <x:c r="D99" s="2"/>
      <x:c r="E99" s="2"/>
      <x:c r="F99" s="2"/>
      <x:c r="G99" s="2"/>
      <x:c r="H99" s="2"/>
      <x:c r="I99" s="7"/>
      <x:c r="J99" s="2"/>
      <x:c r="K99" s="63"/>
      <x:c r="L99" s="2"/>
      <x:c r="M99" s="2"/>
      <x:c r="N99" s="2"/>
      <x:c r="O99" s="2"/>
      <x:c r="P99" s="2"/>
      <x:c r="Q99" s="2"/>
      <x:c r="R99" s="2"/>
      <x:c r="S99" s="2"/>
      <x:c r="T99" s="2"/>
      <x:c r="U99" s="2"/>
      <x:c r="V99" s="5"/>
      <x:c r="W99" s="5"/>
      <x:c r="X99" s="5"/>
      <x:c r="Y99" s="5"/>
      <x:c r="Z99" s="5"/>
      <x:c r="AA99" s="5"/>
      <x:c r="AB99" s="5"/>
      <x:c r="AC99" s="5"/>
      <x:c r="AD99" s="5"/>
      <x:c r="AE99" s="5"/>
      <x:c r="AF99" s="5"/>
      <x:c r="AG99" s="5"/>
      <x:c r="AH99" s="5"/>
    </x:row>
    <x:row r="100" ht="12" hidden="0" customHeight="1">
      <x:c r="A100" s="2"/>
      <x:c r="B100" s="2"/>
      <x:c r="C100" s="2"/>
      <x:c r="D100" s="2"/>
      <x:c r="E100" s="2"/>
      <x:c r="F100" s="2"/>
      <x:c r="G100" s="2"/>
      <x:c r="H100" s="2"/>
      <x:c r="I100" s="7"/>
      <x:c r="J100" s="2"/>
      <x:c r="K100" s="63"/>
      <x:c r="L100" s="2"/>
      <x:c r="M100" s="2"/>
      <x:c r="N100" s="2"/>
      <x:c r="O100" s="2"/>
      <x:c r="P100" s="2"/>
      <x:c r="Q100" s="2"/>
      <x:c r="R100" s="2"/>
      <x:c r="S100" s="2"/>
      <x:c r="T100" s="2"/>
      <x:c r="U100" s="2"/>
      <x:c r="V100" s="5"/>
      <x:c r="W100" s="5"/>
      <x:c r="X100" s="5"/>
      <x:c r="Y100" s="5"/>
      <x:c r="Z100" s="5"/>
      <x:c r="AA100" s="5"/>
      <x:c r="AB100" s="5"/>
      <x:c r="AC100" s="5"/>
      <x:c r="AD100" s="5"/>
      <x:c r="AE100" s="5"/>
      <x:c r="AF100" s="5"/>
      <x:c r="AG100" s="5"/>
      <x:c r="AH100" s="5"/>
    </x:row>
    <x:row r="101" ht="12" hidden="0" customHeight="1">
      <x:c r="A101" s="2"/>
      <x:c r="B101" s="2"/>
      <x:c r="C101" s="2"/>
      <x:c r="D101" s="2"/>
      <x:c r="E101" s="2"/>
      <x:c r="F101" s="2"/>
      <x:c r="G101" s="2"/>
      <x:c r="H101" s="2"/>
      <x:c r="I101" s="7"/>
      <x:c r="J101" s="2"/>
      <x:c r="K101" s="63"/>
      <x:c r="L101" s="2"/>
      <x:c r="M101" s="2"/>
      <x:c r="N101" s="2"/>
      <x:c r="O101" s="2"/>
      <x:c r="P101" s="2"/>
      <x:c r="Q101" s="2"/>
      <x:c r="R101" s="2"/>
      <x:c r="S101" s="2"/>
      <x:c r="T101" s="2"/>
      <x:c r="U101" s="2"/>
      <x:c r="V101" s="5"/>
      <x:c r="W101" s="5"/>
      <x:c r="X101" s="5"/>
      <x:c r="Y101" s="5"/>
      <x:c r="Z101" s="5"/>
      <x:c r="AA101" s="5"/>
      <x:c r="AB101" s="5"/>
      <x:c r="AC101" s="5"/>
      <x:c r="AD101" s="5"/>
      <x:c r="AE101" s="5"/>
      <x:c r="AF101" s="5"/>
      <x:c r="AG101" s="5"/>
      <x:c r="AH101" s="5"/>
    </x:row>
    <x:row r="102" ht="12" hidden="0" customHeight="1">
      <x:c r="A102" s="2"/>
      <x:c r="B102" s="2"/>
      <x:c r="C102" s="2"/>
      <x:c r="D102" s="2"/>
      <x:c r="E102" s="2"/>
      <x:c r="F102" s="2"/>
      <x:c r="G102" s="2"/>
      <x:c r="H102" s="2"/>
      <x:c r="I102" s="7"/>
      <x:c r="J102" s="2"/>
      <x:c r="K102" s="63"/>
      <x:c r="L102" s="2"/>
      <x:c r="M102" s="2"/>
      <x:c r="N102" s="2"/>
      <x:c r="O102" s="2"/>
      <x:c r="P102" s="2"/>
      <x:c r="Q102" s="2"/>
      <x:c r="R102" s="2"/>
      <x:c r="S102" s="2"/>
      <x:c r="T102" s="2"/>
      <x:c r="U102" s="2"/>
      <x:c r="V102" s="5"/>
      <x:c r="W102" s="5"/>
      <x:c r="X102" s="5"/>
      <x:c r="Y102" s="5"/>
      <x:c r="Z102" s="5"/>
      <x:c r="AA102" s="5"/>
      <x:c r="AB102" s="5"/>
      <x:c r="AC102" s="5"/>
      <x:c r="AD102" s="5"/>
      <x:c r="AE102" s="5"/>
      <x:c r="AF102" s="5"/>
      <x:c r="AG102" s="5"/>
      <x:c r="AH102" s="5"/>
    </x:row>
    <x:row r="103" ht="12" hidden="0" customHeight="1">
      <x:c r="A103" s="2"/>
      <x:c r="B103" s="2"/>
      <x:c r="C103" s="2"/>
      <x:c r="D103" s="2"/>
      <x:c r="E103" s="2"/>
      <x:c r="F103" s="2"/>
      <x:c r="G103" s="2"/>
      <x:c r="H103" s="2"/>
      <x:c r="I103" s="7"/>
      <x:c r="J103" s="2"/>
      <x:c r="K103" s="63"/>
      <x:c r="L103" s="2"/>
      <x:c r="M103" s="2"/>
      <x:c r="N103" s="2"/>
      <x:c r="O103" s="2"/>
      <x:c r="P103" s="2"/>
      <x:c r="Q103" s="2"/>
      <x:c r="R103" s="2"/>
      <x:c r="S103" s="2"/>
      <x:c r="T103" s="2"/>
      <x:c r="U103" s="2"/>
      <x:c r="V103" s="5"/>
      <x:c r="W103" s="5"/>
      <x:c r="X103" s="5"/>
      <x:c r="Y103" s="5"/>
      <x:c r="Z103" s="5"/>
      <x:c r="AA103" s="5"/>
      <x:c r="AB103" s="5"/>
      <x:c r="AC103" s="5"/>
      <x:c r="AD103" s="5"/>
      <x:c r="AE103" s="5"/>
      <x:c r="AF103" s="5"/>
      <x:c r="AG103" s="5"/>
      <x:c r="AH103" s="5"/>
    </x:row>
    <x:row r="104" ht="12" hidden="0" customHeight="1">
      <x:c r="A104" s="2"/>
      <x:c r="B104" s="2"/>
      <x:c r="C104" s="2"/>
      <x:c r="D104" s="2"/>
      <x:c r="E104" s="2"/>
      <x:c r="F104" s="2"/>
      <x:c r="G104" s="2"/>
      <x:c r="H104" s="2"/>
      <x:c r="I104" s="7"/>
      <x:c r="J104" s="2"/>
      <x:c r="K104" s="63"/>
      <x:c r="L104" s="2"/>
      <x:c r="M104" s="2"/>
      <x:c r="N104" s="2"/>
      <x:c r="O104" s="2"/>
      <x:c r="P104" s="2"/>
      <x:c r="Q104" s="2"/>
      <x:c r="R104" s="2"/>
      <x:c r="S104" s="2"/>
      <x:c r="T104" s="2"/>
      <x:c r="U104" s="2"/>
      <x:c r="V104" s="5"/>
      <x:c r="W104" s="5"/>
      <x:c r="X104" s="5"/>
      <x:c r="Y104" s="5"/>
      <x:c r="Z104" s="5"/>
      <x:c r="AA104" s="5"/>
      <x:c r="AB104" s="5"/>
      <x:c r="AC104" s="5"/>
      <x:c r="AD104" s="5"/>
      <x:c r="AE104" s="5"/>
      <x:c r="AF104" s="5"/>
      <x:c r="AG104" s="5"/>
      <x:c r="AH104" s="5"/>
    </x:row>
    <x:row r="105" ht="12" hidden="0" customHeight="1">
      <x:c r="A105" s="2"/>
      <x:c r="B105" s="2"/>
      <x:c r="C105" s="2"/>
      <x:c r="D105" s="2"/>
      <x:c r="E105" s="2"/>
      <x:c r="F105" s="2"/>
      <x:c r="G105" s="2"/>
      <x:c r="H105" s="2"/>
      <x:c r="I105" s="7"/>
      <x:c r="J105" s="2"/>
      <x:c r="K105" s="63"/>
      <x:c r="L105" s="2"/>
      <x:c r="M105" s="2"/>
      <x:c r="N105" s="2"/>
      <x:c r="O105" s="2"/>
      <x:c r="P105" s="2"/>
      <x:c r="Q105" s="2"/>
      <x:c r="R105" s="2"/>
      <x:c r="S105" s="2"/>
      <x:c r="T105" s="2"/>
      <x:c r="U105" s="2"/>
      <x:c r="V105" s="5"/>
      <x:c r="W105" s="5"/>
      <x:c r="X105" s="5"/>
      <x:c r="Y105" s="5"/>
      <x:c r="Z105" s="5"/>
      <x:c r="AA105" s="5"/>
      <x:c r="AB105" s="5"/>
      <x:c r="AC105" s="5"/>
      <x:c r="AD105" s="5"/>
      <x:c r="AE105" s="5"/>
      <x:c r="AF105" s="5"/>
      <x:c r="AG105" s="5"/>
      <x:c r="AH105" s="5"/>
    </x:row>
    <x:row r="106" ht="12" hidden="0" customHeight="1">
      <x:c r="A106" s="2"/>
      <x:c r="B106" s="2"/>
      <x:c r="C106" s="2"/>
      <x:c r="D106" s="2"/>
      <x:c r="E106" s="2"/>
      <x:c r="F106" s="2"/>
      <x:c r="G106" s="2"/>
      <x:c r="H106" s="2"/>
      <x:c r="I106" s="7"/>
      <x:c r="J106" s="2"/>
      <x:c r="K106" s="63"/>
      <x:c r="L106" s="2"/>
      <x:c r="M106" s="2"/>
      <x:c r="N106" s="2"/>
      <x:c r="O106" s="2"/>
      <x:c r="P106" s="2"/>
      <x:c r="Q106" s="2"/>
      <x:c r="R106" s="2"/>
      <x:c r="S106" s="2"/>
      <x:c r="T106" s="2"/>
      <x:c r="U106" s="2"/>
      <x:c r="V106" s="5"/>
      <x:c r="W106" s="5"/>
      <x:c r="X106" s="5"/>
      <x:c r="Y106" s="5"/>
      <x:c r="Z106" s="5"/>
      <x:c r="AA106" s="5"/>
      <x:c r="AB106" s="5"/>
      <x:c r="AC106" s="5"/>
      <x:c r="AD106" s="5"/>
      <x:c r="AE106" s="5"/>
      <x:c r="AF106" s="5"/>
      <x:c r="AG106" s="5"/>
      <x:c r="AH106" s="5"/>
    </x:row>
    <x:row r="107" ht="12" hidden="0" customHeight="1">
      <x:c r="A107" s="2"/>
      <x:c r="B107" s="2"/>
      <x:c r="C107" s="2"/>
      <x:c r="D107" s="2"/>
      <x:c r="E107" s="2"/>
      <x:c r="F107" s="2"/>
      <x:c r="G107" s="2"/>
      <x:c r="H107" s="2"/>
      <x:c r="I107" s="7"/>
      <x:c r="J107" s="2"/>
      <x:c r="K107" s="63"/>
      <x:c r="L107" s="2"/>
      <x:c r="M107" s="2"/>
      <x:c r="N107" s="2"/>
      <x:c r="O107" s="2"/>
      <x:c r="P107" s="2"/>
      <x:c r="Q107" s="2"/>
      <x:c r="R107" s="2"/>
      <x:c r="S107" s="2"/>
      <x:c r="T107" s="2"/>
      <x:c r="U107" s="2"/>
      <x:c r="V107" s="5"/>
      <x:c r="W107" s="5"/>
      <x:c r="X107" s="5"/>
      <x:c r="Y107" s="5"/>
      <x:c r="Z107" s="5"/>
      <x:c r="AA107" s="5"/>
      <x:c r="AB107" s="5"/>
      <x:c r="AC107" s="5"/>
      <x:c r="AD107" s="5"/>
      <x:c r="AE107" s="5"/>
      <x:c r="AF107" s="5"/>
      <x:c r="AG107" s="5"/>
      <x:c r="AH107" s="5"/>
    </x:row>
    <x:row r="108" ht="12" hidden="0" customHeight="1">
      <x:c r="A108" s="2"/>
      <x:c r="B108" s="2"/>
      <x:c r="C108" s="2"/>
      <x:c r="D108" s="2"/>
      <x:c r="E108" s="2"/>
      <x:c r="F108" s="2"/>
      <x:c r="G108" s="2"/>
      <x:c r="H108" s="2"/>
      <x:c r="I108" s="7"/>
      <x:c r="J108" s="2"/>
      <x:c r="K108" s="63"/>
      <x:c r="L108" s="2"/>
      <x:c r="M108" s="2"/>
      <x:c r="N108" s="2"/>
      <x:c r="O108" s="2"/>
      <x:c r="P108" s="2"/>
      <x:c r="Q108" s="2"/>
      <x:c r="R108" s="2"/>
      <x:c r="S108" s="2"/>
      <x:c r="T108" s="2"/>
      <x:c r="U108" s="2"/>
      <x:c r="V108" s="5"/>
      <x:c r="W108" s="5"/>
      <x:c r="X108" s="5"/>
      <x:c r="Y108" s="5"/>
      <x:c r="Z108" s="5"/>
      <x:c r="AA108" s="5"/>
      <x:c r="AB108" s="5"/>
      <x:c r="AC108" s="5"/>
      <x:c r="AD108" s="5"/>
      <x:c r="AE108" s="5"/>
      <x:c r="AF108" s="5"/>
      <x:c r="AG108" s="5"/>
      <x:c r="AH108" s="5"/>
    </x:row>
    <x:row r="109" ht="12" hidden="0" customHeight="1">
      <x:c r="A109" s="2"/>
      <x:c r="B109" s="2"/>
      <x:c r="C109" s="2"/>
      <x:c r="D109" s="2"/>
      <x:c r="E109" s="2"/>
      <x:c r="F109" s="2"/>
      <x:c r="G109" s="2"/>
      <x:c r="H109" s="2"/>
      <x:c r="I109" s="7"/>
      <x:c r="J109" s="2"/>
      <x:c r="K109" s="63"/>
      <x:c r="L109" s="2"/>
      <x:c r="M109" s="2"/>
      <x:c r="N109" s="2"/>
      <x:c r="O109" s="2"/>
      <x:c r="P109" s="2"/>
      <x:c r="Q109" s="2"/>
      <x:c r="R109" s="2"/>
      <x:c r="S109" s="2"/>
      <x:c r="T109" s="2"/>
      <x:c r="U109" s="2"/>
      <x:c r="V109" s="5"/>
      <x:c r="W109" s="5"/>
      <x:c r="X109" s="5"/>
      <x:c r="Y109" s="5"/>
      <x:c r="Z109" s="5"/>
      <x:c r="AA109" s="5"/>
      <x:c r="AB109" s="5"/>
      <x:c r="AC109" s="5"/>
      <x:c r="AD109" s="5"/>
      <x:c r="AE109" s="5"/>
      <x:c r="AF109" s="5"/>
      <x:c r="AG109" s="5"/>
      <x:c r="AH109" s="5"/>
    </x:row>
    <x:row r="110" ht="12" hidden="0" customHeight="1">
      <x:c r="A110" s="2"/>
      <x:c r="B110" s="2"/>
      <x:c r="C110" s="2"/>
      <x:c r="D110" s="2"/>
      <x:c r="E110" s="2"/>
      <x:c r="F110" s="2"/>
      <x:c r="G110" s="2"/>
      <x:c r="H110" s="2"/>
      <x:c r="I110" s="7"/>
      <x:c r="J110" s="2"/>
      <x:c r="K110" s="63"/>
      <x:c r="L110" s="2"/>
      <x:c r="M110" s="2"/>
      <x:c r="N110" s="2"/>
      <x:c r="O110" s="2"/>
      <x:c r="P110" s="2"/>
      <x:c r="Q110" s="2"/>
      <x:c r="R110" s="2"/>
      <x:c r="S110" s="2"/>
      <x:c r="T110" s="2"/>
      <x:c r="U110" s="2"/>
      <x:c r="V110" s="5"/>
      <x:c r="W110" s="5"/>
      <x:c r="X110" s="5"/>
      <x:c r="Y110" s="5"/>
      <x:c r="Z110" s="5"/>
      <x:c r="AA110" s="5"/>
      <x:c r="AB110" s="5"/>
      <x:c r="AC110" s="5"/>
      <x:c r="AD110" s="5"/>
      <x:c r="AE110" s="5"/>
      <x:c r="AF110" s="5"/>
      <x:c r="AG110" s="5"/>
      <x:c r="AH110" s="5"/>
    </x:row>
    <x:row r="111" ht="12" hidden="0" customHeight="1">
      <x:c r="A111" s="2"/>
      <x:c r="B111" s="2"/>
      <x:c r="C111" s="2"/>
      <x:c r="D111" s="2"/>
      <x:c r="E111" s="2"/>
      <x:c r="F111" s="2"/>
      <x:c r="G111" s="2"/>
      <x:c r="H111" s="2"/>
      <x:c r="I111" s="7"/>
      <x:c r="J111" s="2"/>
      <x:c r="K111" s="63"/>
      <x:c r="L111" s="2"/>
      <x:c r="M111" s="2"/>
      <x:c r="N111" s="2"/>
      <x:c r="O111" s="2"/>
      <x:c r="P111" s="2"/>
      <x:c r="Q111" s="2"/>
      <x:c r="R111" s="2"/>
      <x:c r="S111" s="2"/>
      <x:c r="T111" s="2"/>
      <x:c r="U111" s="2"/>
      <x:c r="V111" s="5"/>
      <x:c r="W111" s="5"/>
      <x:c r="X111" s="5"/>
      <x:c r="Y111" s="5"/>
      <x:c r="Z111" s="5"/>
      <x:c r="AA111" s="5"/>
      <x:c r="AB111" s="5"/>
      <x:c r="AC111" s="5"/>
      <x:c r="AD111" s="5"/>
      <x:c r="AE111" s="5"/>
      <x:c r="AF111" s="5"/>
      <x:c r="AG111" s="5"/>
      <x:c r="AH111" s="5"/>
    </x:row>
    <x:row r="112" ht="12" hidden="0" customHeight="1">
      <x:c r="A112" s="2"/>
      <x:c r="B112" s="2"/>
      <x:c r="C112" s="2"/>
      <x:c r="D112" s="2"/>
      <x:c r="E112" s="2"/>
      <x:c r="F112" s="2"/>
      <x:c r="G112" s="2"/>
      <x:c r="H112" s="2"/>
      <x:c r="I112" s="7"/>
      <x:c r="J112" s="2"/>
      <x:c r="K112" s="63"/>
      <x:c r="L112" s="2"/>
      <x:c r="M112" s="2"/>
      <x:c r="N112" s="2"/>
      <x:c r="O112" s="2"/>
      <x:c r="P112" s="2"/>
      <x:c r="Q112" s="2"/>
      <x:c r="R112" s="2"/>
      <x:c r="S112" s="2"/>
      <x:c r="T112" s="2"/>
      <x:c r="U112" s="2"/>
      <x:c r="V112" s="5"/>
      <x:c r="W112" s="5"/>
      <x:c r="X112" s="5"/>
      <x:c r="Y112" s="5"/>
      <x:c r="Z112" s="5"/>
      <x:c r="AA112" s="5"/>
      <x:c r="AB112" s="5"/>
      <x:c r="AC112" s="5"/>
      <x:c r="AD112" s="5"/>
      <x:c r="AE112" s="5"/>
      <x:c r="AF112" s="5"/>
      <x:c r="AG112" s="5"/>
      <x:c r="AH112" s="5"/>
    </x:row>
    <x:row r="113" ht="12" hidden="0" customHeight="1">
      <x:c r="A113" s="2"/>
      <x:c r="B113" s="2"/>
      <x:c r="C113" s="2"/>
      <x:c r="D113" s="2"/>
      <x:c r="E113" s="2"/>
      <x:c r="F113" s="2"/>
      <x:c r="G113" s="2"/>
      <x:c r="H113" s="2"/>
      <x:c r="I113" s="7"/>
      <x:c r="J113" s="2"/>
      <x:c r="K113" s="63"/>
      <x:c r="L113" s="2"/>
      <x:c r="M113" s="2"/>
      <x:c r="N113" s="2"/>
      <x:c r="O113" s="2"/>
      <x:c r="P113" s="2"/>
      <x:c r="Q113" s="2"/>
      <x:c r="R113" s="2"/>
      <x:c r="S113" s="2"/>
      <x:c r="T113" s="2"/>
      <x:c r="U113" s="2"/>
      <x:c r="V113" s="5"/>
      <x:c r="W113" s="5"/>
      <x:c r="X113" s="5"/>
      <x:c r="Y113" s="5"/>
      <x:c r="Z113" s="5"/>
      <x:c r="AA113" s="5"/>
      <x:c r="AB113" s="5"/>
      <x:c r="AC113" s="5"/>
      <x:c r="AD113" s="5"/>
      <x:c r="AE113" s="5"/>
      <x:c r="AF113" s="5"/>
      <x:c r="AG113" s="5"/>
      <x:c r="AH113" s="5"/>
    </x:row>
    <x:row r="114" ht="12" hidden="0" customHeight="1">
      <x:c r="A114" s="2"/>
      <x:c r="B114" s="2"/>
      <x:c r="C114" s="2"/>
      <x:c r="D114" s="2"/>
      <x:c r="E114" s="2"/>
      <x:c r="F114" s="2"/>
      <x:c r="G114" s="2"/>
      <x:c r="H114" s="2"/>
      <x:c r="I114" s="7"/>
      <x:c r="J114" s="2"/>
      <x:c r="K114" s="63"/>
      <x:c r="L114" s="2"/>
      <x:c r="M114" s="2"/>
      <x:c r="N114" s="2"/>
      <x:c r="O114" s="2"/>
      <x:c r="P114" s="2"/>
      <x:c r="Q114" s="2"/>
      <x:c r="R114" s="2"/>
      <x:c r="S114" s="2"/>
      <x:c r="T114" s="2"/>
      <x:c r="U114" s="2"/>
      <x:c r="V114" s="5"/>
      <x:c r="W114" s="5"/>
      <x:c r="X114" s="5"/>
      <x:c r="Y114" s="5"/>
      <x:c r="Z114" s="5"/>
      <x:c r="AA114" s="5"/>
      <x:c r="AB114" s="5"/>
      <x:c r="AC114" s="5"/>
      <x:c r="AD114" s="5"/>
      <x:c r="AE114" s="5"/>
      <x:c r="AF114" s="5"/>
      <x:c r="AG114" s="5"/>
      <x:c r="AH114" s="5"/>
    </x:row>
    <x:row r="115" ht="12" hidden="0" customHeight="1">
      <x:c r="A115" s="2"/>
      <x:c r="B115" s="2"/>
      <x:c r="C115" s="2"/>
      <x:c r="D115" s="2"/>
      <x:c r="E115" s="2"/>
      <x:c r="F115" s="2"/>
      <x:c r="G115" s="2"/>
      <x:c r="H115" s="2"/>
      <x:c r="I115" s="7"/>
      <x:c r="J115" s="2"/>
      <x:c r="K115" s="63"/>
      <x:c r="L115" s="2"/>
      <x:c r="M115" s="2"/>
      <x:c r="N115" s="2"/>
      <x:c r="O115" s="2"/>
      <x:c r="P115" s="2"/>
      <x:c r="Q115" s="2"/>
      <x:c r="R115" s="2"/>
      <x:c r="S115" s="2"/>
      <x:c r="T115" s="2"/>
      <x:c r="U115" s="2"/>
      <x:c r="V115" s="5"/>
      <x:c r="W115" s="5"/>
      <x:c r="X115" s="5"/>
      <x:c r="Y115" s="5"/>
      <x:c r="Z115" s="5"/>
      <x:c r="AA115" s="5"/>
      <x:c r="AB115" s="5"/>
      <x:c r="AC115" s="5"/>
      <x:c r="AD115" s="5"/>
      <x:c r="AE115" s="5"/>
      <x:c r="AF115" s="5"/>
      <x:c r="AG115" s="5"/>
      <x:c r="AH115" s="5"/>
    </x:row>
    <x:row r="116" ht="12" hidden="0" customHeight="1">
      <x:c r="A116" s="2"/>
      <x:c r="B116" s="2"/>
      <x:c r="C116" s="2"/>
      <x:c r="D116" s="2"/>
      <x:c r="E116" s="2"/>
      <x:c r="F116" s="2"/>
      <x:c r="G116" s="2"/>
      <x:c r="H116" s="2"/>
      <x:c r="I116" s="7"/>
      <x:c r="J116" s="2"/>
      <x:c r="K116" s="63"/>
      <x:c r="L116" s="2"/>
      <x:c r="M116" s="2"/>
      <x:c r="N116" s="2"/>
      <x:c r="O116" s="2"/>
      <x:c r="P116" s="2"/>
      <x:c r="Q116" s="2"/>
      <x:c r="R116" s="2"/>
      <x:c r="S116" s="2"/>
      <x:c r="T116" s="2"/>
      <x:c r="U116" s="2"/>
      <x:c r="V116" s="5"/>
      <x:c r="W116" s="5"/>
      <x:c r="X116" s="5"/>
      <x:c r="Y116" s="5"/>
      <x:c r="Z116" s="5"/>
      <x:c r="AA116" s="5"/>
      <x:c r="AB116" s="5"/>
      <x:c r="AC116" s="5"/>
      <x:c r="AD116" s="5"/>
      <x:c r="AE116" s="5"/>
      <x:c r="AF116" s="5"/>
      <x:c r="AG116" s="5"/>
      <x:c r="AH116" s="5"/>
    </x:row>
    <x:row r="117" ht="12" hidden="0" customHeight="1">
      <x:c r="A117" s="2"/>
      <x:c r="B117" s="2"/>
      <x:c r="C117" s="2"/>
      <x:c r="D117" s="2"/>
      <x:c r="E117" s="2"/>
      <x:c r="F117" s="2"/>
      <x:c r="G117" s="2"/>
      <x:c r="H117" s="2"/>
      <x:c r="I117" s="7"/>
      <x:c r="J117" s="2"/>
      <x:c r="K117" s="63"/>
      <x:c r="L117" s="2"/>
      <x:c r="M117" s="2"/>
      <x:c r="N117" s="2"/>
      <x:c r="O117" s="2"/>
      <x:c r="P117" s="2"/>
      <x:c r="Q117" s="2"/>
      <x:c r="R117" s="2"/>
      <x:c r="S117" s="2"/>
      <x:c r="T117" s="2"/>
      <x:c r="U117" s="2"/>
      <x:c r="V117" s="5"/>
      <x:c r="W117" s="5"/>
      <x:c r="X117" s="5"/>
      <x:c r="Y117" s="5"/>
      <x:c r="Z117" s="5"/>
      <x:c r="AA117" s="5"/>
      <x:c r="AB117" s="5"/>
      <x:c r="AC117" s="5"/>
      <x:c r="AD117" s="5"/>
      <x:c r="AE117" s="5"/>
      <x:c r="AF117" s="5"/>
      <x:c r="AG117" s="5"/>
      <x:c r="AH117" s="5"/>
    </x:row>
    <x:row r="118" ht="12" hidden="0" customHeight="1">
      <x:c r="A118" s="2"/>
      <x:c r="B118" s="2"/>
      <x:c r="C118" s="2"/>
      <x:c r="D118" s="2"/>
      <x:c r="E118" s="2"/>
      <x:c r="F118" s="2"/>
      <x:c r="G118" s="2"/>
      <x:c r="H118" s="2"/>
      <x:c r="I118" s="7"/>
      <x:c r="J118" s="2"/>
      <x:c r="K118" s="63"/>
      <x:c r="L118" s="2"/>
      <x:c r="M118" s="2"/>
      <x:c r="N118" s="2"/>
      <x:c r="O118" s="2"/>
      <x:c r="P118" s="2"/>
      <x:c r="Q118" s="2"/>
      <x:c r="R118" s="2"/>
      <x:c r="S118" s="2"/>
      <x:c r="T118" s="2"/>
      <x:c r="U118" s="2"/>
      <x:c r="V118" s="5"/>
      <x:c r="W118" s="5"/>
      <x:c r="X118" s="5"/>
      <x:c r="Y118" s="5"/>
      <x:c r="Z118" s="5"/>
      <x:c r="AA118" s="5"/>
      <x:c r="AB118" s="5"/>
      <x:c r="AC118" s="5"/>
      <x:c r="AD118" s="5"/>
      <x:c r="AE118" s="5"/>
      <x:c r="AF118" s="5"/>
      <x:c r="AG118" s="5"/>
      <x:c r="AH118" s="5"/>
    </x:row>
    <x:row r="119" ht="12" hidden="0" customHeight="1">
      <x:c r="A119" s="2"/>
      <x:c r="B119" s="2"/>
      <x:c r="C119" s="2"/>
      <x:c r="D119" s="2"/>
      <x:c r="E119" s="2"/>
      <x:c r="F119" s="2"/>
      <x:c r="G119" s="2"/>
      <x:c r="H119" s="2"/>
      <x:c r="I119" s="7"/>
      <x:c r="J119" s="2"/>
      <x:c r="K119" s="63"/>
      <x:c r="L119" s="2"/>
      <x:c r="M119" s="2"/>
      <x:c r="N119" s="2"/>
      <x:c r="O119" s="2"/>
      <x:c r="P119" s="2"/>
      <x:c r="Q119" s="2"/>
      <x:c r="R119" s="2"/>
      <x:c r="S119" s="2"/>
      <x:c r="T119" s="2"/>
      <x:c r="U119" s="2"/>
      <x:c r="V119" s="5"/>
      <x:c r="W119" s="5"/>
      <x:c r="X119" s="5"/>
      <x:c r="Y119" s="5"/>
      <x:c r="Z119" s="5"/>
      <x:c r="AA119" s="5"/>
      <x:c r="AB119" s="5"/>
      <x:c r="AC119" s="5"/>
      <x:c r="AD119" s="5"/>
      <x:c r="AE119" s="5"/>
      <x:c r="AF119" s="5"/>
      <x:c r="AG119" s="5"/>
      <x:c r="AH119" s="5"/>
    </x:row>
    <x:row r="120" ht="12" hidden="0" customHeight="1">
      <x:c r="A120" s="2"/>
      <x:c r="B120" s="2"/>
      <x:c r="C120" s="2"/>
      <x:c r="D120" s="2"/>
      <x:c r="E120" s="2"/>
      <x:c r="F120" s="2"/>
      <x:c r="G120" s="2"/>
      <x:c r="H120" s="2"/>
      <x:c r="I120" s="7"/>
      <x:c r="J120" s="2"/>
      <x:c r="K120" s="63"/>
      <x:c r="L120" s="2"/>
      <x:c r="M120" s="2"/>
      <x:c r="N120" s="2"/>
      <x:c r="O120" s="2"/>
      <x:c r="P120" s="2"/>
      <x:c r="Q120" s="2"/>
      <x:c r="R120" s="2"/>
      <x:c r="S120" s="2"/>
      <x:c r="T120" s="2"/>
      <x:c r="U120" s="2"/>
      <x:c r="V120" s="5"/>
      <x:c r="W120" s="5"/>
      <x:c r="X120" s="5"/>
      <x:c r="Y120" s="5"/>
      <x:c r="Z120" s="5"/>
      <x:c r="AA120" s="5"/>
      <x:c r="AB120" s="5"/>
      <x:c r="AC120" s="5"/>
      <x:c r="AD120" s="5"/>
      <x:c r="AE120" s="5"/>
      <x:c r="AF120" s="5"/>
      <x:c r="AG120" s="5"/>
      <x:c r="AH120" s="5"/>
    </x:row>
    <x:row r="121" ht="12" hidden="0" customHeight="1">
      <x:c r="A121" s="2"/>
      <x:c r="B121" s="2"/>
      <x:c r="C121" s="2"/>
      <x:c r="D121" s="2"/>
      <x:c r="E121" s="2"/>
      <x:c r="F121" s="2"/>
      <x:c r="G121" s="2"/>
      <x:c r="H121" s="2"/>
      <x:c r="I121" s="7"/>
      <x:c r="J121" s="2"/>
      <x:c r="K121" s="63"/>
      <x:c r="L121" s="2"/>
      <x:c r="M121" s="2"/>
      <x:c r="N121" s="2"/>
      <x:c r="O121" s="2"/>
      <x:c r="P121" s="2"/>
      <x:c r="Q121" s="2"/>
      <x:c r="R121" s="2"/>
      <x:c r="S121" s="2"/>
      <x:c r="T121" s="2"/>
      <x:c r="U121" s="2"/>
      <x:c r="V121" s="5"/>
      <x:c r="W121" s="5"/>
      <x:c r="X121" s="5"/>
      <x:c r="Y121" s="5"/>
      <x:c r="Z121" s="5"/>
      <x:c r="AA121" s="5"/>
      <x:c r="AB121" s="5"/>
      <x:c r="AC121" s="5"/>
      <x:c r="AD121" s="5"/>
      <x:c r="AE121" s="5"/>
      <x:c r="AF121" s="5"/>
      <x:c r="AG121" s="5"/>
      <x:c r="AH121" s="5"/>
    </x:row>
    <x:row r="122" ht="12" hidden="0" customHeight="1">
      <x:c r="A122" s="2"/>
      <x:c r="B122" s="2"/>
      <x:c r="C122" s="2"/>
      <x:c r="D122" s="2"/>
      <x:c r="E122" s="2"/>
      <x:c r="F122" s="2"/>
      <x:c r="G122" s="2"/>
      <x:c r="H122" s="2"/>
      <x:c r="I122" s="7"/>
      <x:c r="J122" s="2"/>
      <x:c r="K122" s="63"/>
      <x:c r="L122" s="2"/>
      <x:c r="M122" s="2"/>
      <x:c r="N122" s="2"/>
      <x:c r="O122" s="2"/>
      <x:c r="P122" s="2"/>
      <x:c r="Q122" s="2"/>
      <x:c r="R122" s="2"/>
      <x:c r="S122" s="2"/>
      <x:c r="T122" s="2"/>
      <x:c r="U122" s="2"/>
      <x:c r="V122" s="5"/>
      <x:c r="W122" s="5"/>
      <x:c r="X122" s="5"/>
      <x:c r="Y122" s="5"/>
      <x:c r="Z122" s="5"/>
      <x:c r="AA122" s="5"/>
      <x:c r="AB122" s="5"/>
      <x:c r="AC122" s="5"/>
      <x:c r="AD122" s="5"/>
      <x:c r="AE122" s="5"/>
      <x:c r="AF122" s="5"/>
      <x:c r="AG122" s="5"/>
      <x:c r="AH122" s="5"/>
    </x:row>
    <x:row r="123" ht="12" hidden="0" customHeight="1">
      <x:c r="A123" s="2"/>
      <x:c r="B123" s="2"/>
      <x:c r="C123" s="2"/>
      <x:c r="D123" s="2"/>
      <x:c r="E123" s="2"/>
      <x:c r="F123" s="2"/>
      <x:c r="G123" s="2"/>
      <x:c r="H123" s="2"/>
      <x:c r="I123" s="7"/>
      <x:c r="J123" s="2"/>
      <x:c r="K123" s="63"/>
      <x:c r="L123" s="2"/>
      <x:c r="M123" s="2"/>
      <x:c r="N123" s="2"/>
      <x:c r="O123" s="2"/>
      <x:c r="P123" s="2"/>
      <x:c r="Q123" s="2"/>
      <x:c r="R123" s="2"/>
      <x:c r="S123" s="2"/>
      <x:c r="T123" s="2"/>
      <x:c r="U123" s="2"/>
      <x:c r="V123" s="5"/>
      <x:c r="W123" s="5"/>
      <x:c r="X123" s="5"/>
      <x:c r="Y123" s="5"/>
      <x:c r="Z123" s="5"/>
      <x:c r="AA123" s="5"/>
      <x:c r="AB123" s="5"/>
      <x:c r="AC123" s="5"/>
      <x:c r="AD123" s="5"/>
      <x:c r="AE123" s="5"/>
      <x:c r="AF123" s="5"/>
      <x:c r="AG123" s="5"/>
      <x:c r="AH123" s="5"/>
    </x:row>
    <x:row r="124" ht="12" hidden="0" customHeight="1">
      <x:c r="A124" s="2"/>
      <x:c r="B124" s="2"/>
      <x:c r="C124" s="2"/>
      <x:c r="D124" s="2"/>
      <x:c r="E124" s="2"/>
      <x:c r="F124" s="2"/>
      <x:c r="G124" s="2"/>
      <x:c r="H124" s="2"/>
      <x:c r="I124" s="7"/>
      <x:c r="J124" s="2"/>
      <x:c r="K124" s="63"/>
      <x:c r="L124" s="2"/>
      <x:c r="M124" s="2"/>
      <x:c r="N124" s="2"/>
      <x:c r="O124" s="2"/>
      <x:c r="P124" s="2"/>
      <x:c r="Q124" s="2"/>
      <x:c r="R124" s="2"/>
      <x:c r="S124" s="2"/>
      <x:c r="T124" s="2"/>
      <x:c r="U124" s="2"/>
      <x:c r="V124" s="5"/>
      <x:c r="W124" s="5"/>
      <x:c r="X124" s="5"/>
      <x:c r="Y124" s="5"/>
      <x:c r="Z124" s="5"/>
      <x:c r="AA124" s="5"/>
      <x:c r="AB124" s="5"/>
      <x:c r="AC124" s="5"/>
      <x:c r="AD124" s="5"/>
      <x:c r="AE124" s="5"/>
      <x:c r="AF124" s="5"/>
      <x:c r="AG124" s="5"/>
      <x:c r="AH124" s="5"/>
    </x:row>
    <x:row r="125" ht="12" hidden="0" customHeight="1">
      <x:c r="A125" s="2"/>
      <x:c r="B125" s="2"/>
      <x:c r="C125" s="2"/>
      <x:c r="D125" s="2"/>
      <x:c r="E125" s="2"/>
      <x:c r="F125" s="2"/>
      <x:c r="G125" s="2"/>
      <x:c r="H125" s="2"/>
      <x:c r="I125" s="7"/>
      <x:c r="J125" s="2"/>
      <x:c r="K125" s="63"/>
      <x:c r="L125" s="2"/>
      <x:c r="M125" s="2"/>
      <x:c r="N125" s="2"/>
      <x:c r="O125" s="2"/>
      <x:c r="P125" s="2"/>
      <x:c r="Q125" s="2"/>
      <x:c r="R125" s="2"/>
      <x:c r="S125" s="2"/>
      <x:c r="T125" s="2"/>
      <x:c r="U125" s="2"/>
      <x:c r="V125" s="5"/>
      <x:c r="W125" s="5"/>
      <x:c r="X125" s="5"/>
      <x:c r="Y125" s="5"/>
      <x:c r="Z125" s="5"/>
      <x:c r="AA125" s="5"/>
      <x:c r="AB125" s="5"/>
      <x:c r="AC125" s="5"/>
      <x:c r="AD125" s="5"/>
      <x:c r="AE125" s="5"/>
      <x:c r="AF125" s="5"/>
      <x:c r="AG125" s="5"/>
      <x:c r="AH125" s="5"/>
    </x:row>
    <x:row r="126" ht="12" hidden="0" customHeight="1">
      <x:c r="A126" s="2"/>
      <x:c r="B126" s="2"/>
      <x:c r="C126" s="2"/>
      <x:c r="D126" s="2"/>
      <x:c r="E126" s="2"/>
      <x:c r="F126" s="2"/>
      <x:c r="G126" s="2"/>
      <x:c r="H126" s="2"/>
      <x:c r="I126" s="7"/>
      <x:c r="J126" s="2"/>
      <x:c r="K126" s="63"/>
      <x:c r="L126" s="2"/>
      <x:c r="M126" s="2"/>
      <x:c r="N126" s="2"/>
      <x:c r="O126" s="2"/>
      <x:c r="P126" s="2"/>
      <x:c r="Q126" s="2"/>
      <x:c r="R126" s="2"/>
      <x:c r="S126" s="2"/>
      <x:c r="T126" s="2"/>
      <x:c r="U126" s="2"/>
      <x:c r="V126" s="5"/>
      <x:c r="W126" s="5"/>
      <x:c r="X126" s="5"/>
      <x:c r="Y126" s="5"/>
      <x:c r="Z126" s="5"/>
      <x:c r="AA126" s="5"/>
      <x:c r="AB126" s="5"/>
      <x:c r="AC126" s="5"/>
      <x:c r="AD126" s="5"/>
      <x:c r="AE126" s="5"/>
      <x:c r="AF126" s="5"/>
      <x:c r="AG126" s="5"/>
      <x:c r="AH126" s="5"/>
    </x:row>
    <x:row r="127" ht="12" hidden="0" customHeight="1">
      <x:c r="A127" s="2"/>
      <x:c r="B127" s="2"/>
      <x:c r="C127" s="2"/>
      <x:c r="D127" s="2"/>
      <x:c r="E127" s="2"/>
      <x:c r="F127" s="2"/>
      <x:c r="G127" s="2"/>
      <x:c r="H127" s="2"/>
      <x:c r="I127" s="7"/>
      <x:c r="J127" s="2"/>
      <x:c r="K127" s="63"/>
      <x:c r="L127" s="2"/>
      <x:c r="M127" s="2"/>
      <x:c r="N127" s="2"/>
      <x:c r="O127" s="2"/>
      <x:c r="P127" s="2"/>
      <x:c r="Q127" s="2"/>
      <x:c r="R127" s="2"/>
      <x:c r="S127" s="2"/>
      <x:c r="T127" s="2"/>
      <x:c r="U127" s="2"/>
      <x:c r="V127" s="5"/>
      <x:c r="W127" s="5"/>
      <x:c r="X127" s="5"/>
      <x:c r="Y127" s="5"/>
      <x:c r="Z127" s="5"/>
      <x:c r="AA127" s="5"/>
      <x:c r="AB127" s="5"/>
      <x:c r="AC127" s="5"/>
      <x:c r="AD127" s="5"/>
      <x:c r="AE127" s="5"/>
      <x:c r="AF127" s="5"/>
      <x:c r="AG127" s="5"/>
      <x:c r="AH127" s="5"/>
    </x:row>
    <x:row r="128" ht="12" hidden="0" customHeight="1">
      <x:c r="A128" s="2"/>
      <x:c r="B128" s="2"/>
      <x:c r="C128" s="2"/>
      <x:c r="D128" s="2"/>
      <x:c r="E128" s="2"/>
      <x:c r="F128" s="2"/>
      <x:c r="G128" s="2"/>
      <x:c r="H128" s="2"/>
      <x:c r="I128" s="7"/>
      <x:c r="J128" s="2"/>
      <x:c r="K128" s="63"/>
      <x:c r="L128" s="2"/>
      <x:c r="M128" s="2"/>
      <x:c r="N128" s="2"/>
      <x:c r="O128" s="2"/>
      <x:c r="P128" s="2"/>
      <x:c r="Q128" s="2"/>
      <x:c r="R128" s="2"/>
      <x:c r="S128" s="2"/>
      <x:c r="T128" s="2"/>
      <x:c r="U128" s="2"/>
      <x:c r="V128" s="5"/>
      <x:c r="W128" s="5"/>
      <x:c r="X128" s="5"/>
      <x:c r="Y128" s="5"/>
      <x:c r="Z128" s="5"/>
      <x:c r="AA128" s="5"/>
      <x:c r="AB128" s="5"/>
      <x:c r="AC128" s="5"/>
      <x:c r="AD128" s="5"/>
      <x:c r="AE128" s="5"/>
      <x:c r="AF128" s="5"/>
      <x:c r="AG128" s="5"/>
      <x:c r="AH128" s="5"/>
    </x:row>
    <x:row r="129" ht="12" hidden="0" customHeight="1">
      <x:c r="A129" s="2"/>
      <x:c r="B129" s="2"/>
      <x:c r="C129" s="2"/>
      <x:c r="D129" s="2"/>
      <x:c r="E129" s="2"/>
      <x:c r="F129" s="2"/>
      <x:c r="G129" s="2"/>
      <x:c r="H129" s="2"/>
      <x:c r="I129" s="7"/>
      <x:c r="J129" s="2"/>
      <x:c r="K129" s="63"/>
      <x:c r="L129" s="2"/>
      <x:c r="M129" s="2"/>
      <x:c r="N129" s="2"/>
      <x:c r="O129" s="2"/>
      <x:c r="P129" s="2"/>
      <x:c r="Q129" s="2"/>
      <x:c r="R129" s="2"/>
      <x:c r="S129" s="2"/>
      <x:c r="T129" s="2"/>
      <x:c r="U129" s="2"/>
      <x:c r="V129" s="5"/>
      <x:c r="W129" s="5"/>
      <x:c r="X129" s="5"/>
      <x:c r="Y129" s="5"/>
      <x:c r="Z129" s="5"/>
      <x:c r="AA129" s="5"/>
      <x:c r="AB129" s="5"/>
      <x:c r="AC129" s="5"/>
      <x:c r="AD129" s="5"/>
      <x:c r="AE129" s="5"/>
      <x:c r="AF129" s="5"/>
      <x:c r="AG129" s="5"/>
      <x:c r="AH129" s="5"/>
    </x:row>
    <x:row r="130" ht="12" hidden="0" customHeight="1">
      <x:c r="A130" s="2"/>
      <x:c r="B130" s="2"/>
      <x:c r="C130" s="2"/>
      <x:c r="D130" s="2"/>
      <x:c r="E130" s="2"/>
      <x:c r="F130" s="2"/>
      <x:c r="G130" s="2"/>
      <x:c r="H130" s="2"/>
      <x:c r="I130" s="7"/>
      <x:c r="J130" s="2"/>
      <x:c r="K130" s="63"/>
      <x:c r="L130" s="2"/>
      <x:c r="M130" s="2"/>
      <x:c r="N130" s="2"/>
      <x:c r="O130" s="2"/>
      <x:c r="P130" s="2"/>
      <x:c r="Q130" s="2"/>
      <x:c r="R130" s="2"/>
      <x:c r="S130" s="2"/>
      <x:c r="T130" s="2"/>
      <x:c r="U130" s="2"/>
      <x:c r="V130" s="5"/>
      <x:c r="W130" s="5"/>
      <x:c r="X130" s="5"/>
      <x:c r="Y130" s="5"/>
      <x:c r="Z130" s="5"/>
      <x:c r="AA130" s="5"/>
      <x:c r="AB130" s="5"/>
      <x:c r="AC130" s="5"/>
      <x:c r="AD130" s="5"/>
      <x:c r="AE130" s="5"/>
      <x:c r="AF130" s="5"/>
      <x:c r="AG130" s="5"/>
      <x:c r="AH130" s="5"/>
    </x:row>
    <x:row r="131" ht="12" hidden="0" customHeight="1">
      <x:c r="A131" s="2"/>
      <x:c r="B131" s="2"/>
      <x:c r="C131" s="2"/>
      <x:c r="D131" s="2"/>
      <x:c r="E131" s="2"/>
      <x:c r="F131" s="2"/>
      <x:c r="G131" s="2"/>
      <x:c r="H131" s="2"/>
      <x:c r="I131" s="7"/>
      <x:c r="J131" s="2"/>
      <x:c r="K131" s="63"/>
      <x:c r="L131" s="2"/>
      <x:c r="M131" s="2"/>
      <x:c r="N131" s="2"/>
      <x:c r="O131" s="2"/>
      <x:c r="P131" s="2"/>
      <x:c r="Q131" s="2"/>
      <x:c r="R131" s="2"/>
      <x:c r="S131" s="2"/>
      <x:c r="T131" s="2"/>
      <x:c r="U131" s="2"/>
      <x:c r="V131" s="5"/>
      <x:c r="W131" s="5"/>
      <x:c r="X131" s="5"/>
      <x:c r="Y131" s="5"/>
      <x:c r="Z131" s="5"/>
      <x:c r="AA131" s="5"/>
      <x:c r="AB131" s="5"/>
      <x:c r="AC131" s="5"/>
      <x:c r="AD131" s="5"/>
      <x:c r="AE131" s="5"/>
      <x:c r="AF131" s="5"/>
      <x:c r="AG131" s="5"/>
      <x:c r="AH131" s="5"/>
    </x:row>
    <x:row r="132" ht="12" hidden="0" customHeight="1">
      <x:c r="A132" s="2"/>
      <x:c r="B132" s="2"/>
      <x:c r="C132" s="2"/>
      <x:c r="D132" s="2"/>
      <x:c r="E132" s="2"/>
      <x:c r="F132" s="2"/>
      <x:c r="G132" s="2"/>
      <x:c r="H132" s="2"/>
      <x:c r="I132" s="7"/>
      <x:c r="J132" s="2"/>
      <x:c r="K132" s="63"/>
      <x:c r="L132" s="2"/>
      <x:c r="M132" s="2"/>
      <x:c r="N132" s="2"/>
      <x:c r="O132" s="2"/>
      <x:c r="P132" s="2"/>
      <x:c r="Q132" s="2"/>
      <x:c r="R132" s="2"/>
      <x:c r="S132" s="2"/>
      <x:c r="T132" s="2"/>
      <x:c r="U132" s="2"/>
      <x:c r="V132" s="5"/>
      <x:c r="W132" s="5"/>
      <x:c r="X132" s="5"/>
      <x:c r="Y132" s="5"/>
      <x:c r="Z132" s="5"/>
      <x:c r="AA132" s="5"/>
      <x:c r="AB132" s="5"/>
      <x:c r="AC132" s="5"/>
      <x:c r="AD132" s="5"/>
      <x:c r="AE132" s="5"/>
      <x:c r="AF132" s="5"/>
      <x:c r="AG132" s="5"/>
      <x:c r="AH132" s="5"/>
    </x:row>
    <x:row r="133" ht="12" hidden="0" customHeight="1">
      <x:c r="A133" s="2"/>
      <x:c r="B133" s="2"/>
      <x:c r="C133" s="2"/>
      <x:c r="D133" s="2"/>
      <x:c r="E133" s="2"/>
      <x:c r="F133" s="2"/>
      <x:c r="G133" s="2"/>
      <x:c r="H133" s="2"/>
      <x:c r="I133" s="7"/>
      <x:c r="J133" s="2"/>
      <x:c r="K133" s="63"/>
      <x:c r="L133" s="2"/>
      <x:c r="M133" s="2"/>
      <x:c r="N133" s="2"/>
      <x:c r="O133" s="2"/>
      <x:c r="P133" s="2"/>
      <x:c r="Q133" s="2"/>
      <x:c r="R133" s="2"/>
      <x:c r="S133" s="2"/>
      <x:c r="T133" s="2"/>
      <x:c r="U133" s="2"/>
      <x:c r="V133" s="5"/>
      <x:c r="W133" s="5"/>
      <x:c r="X133" s="5"/>
      <x:c r="Y133" s="5"/>
      <x:c r="Z133" s="5"/>
      <x:c r="AA133" s="5"/>
      <x:c r="AB133" s="5"/>
      <x:c r="AC133" s="5"/>
      <x:c r="AD133" s="5"/>
      <x:c r="AE133" s="5"/>
      <x:c r="AF133" s="5"/>
      <x:c r="AG133" s="5"/>
      <x:c r="AH133" s="5"/>
    </x:row>
    <x:row r="134" ht="12" hidden="0" customHeight="1">
      <x:c r="A134" s="2"/>
      <x:c r="B134" s="2"/>
      <x:c r="C134" s="2"/>
      <x:c r="D134" s="2"/>
      <x:c r="E134" s="2"/>
      <x:c r="F134" s="2"/>
      <x:c r="G134" s="2"/>
      <x:c r="H134" s="2"/>
      <x:c r="I134" s="7"/>
      <x:c r="J134" s="2"/>
      <x:c r="K134" s="63"/>
      <x:c r="L134" s="2"/>
      <x:c r="M134" s="2"/>
      <x:c r="N134" s="2"/>
      <x:c r="O134" s="2"/>
      <x:c r="P134" s="2"/>
      <x:c r="Q134" s="2"/>
      <x:c r="R134" s="2"/>
      <x:c r="S134" s="2"/>
      <x:c r="T134" s="2"/>
      <x:c r="U134" s="2"/>
      <x:c r="V134" s="5"/>
      <x:c r="W134" s="5"/>
      <x:c r="X134" s="5"/>
      <x:c r="Y134" s="5"/>
      <x:c r="Z134" s="5"/>
      <x:c r="AA134" s="5"/>
      <x:c r="AB134" s="5"/>
      <x:c r="AC134" s="5"/>
      <x:c r="AD134" s="5"/>
      <x:c r="AE134" s="5"/>
      <x:c r="AF134" s="5"/>
      <x:c r="AG134" s="5"/>
      <x:c r="AH134" s="5"/>
    </x:row>
    <x:row r="135" ht="12" hidden="0" customHeight="1">
      <x:c r="A135" s="2"/>
      <x:c r="B135" s="2"/>
      <x:c r="C135" s="2"/>
      <x:c r="D135" s="2"/>
      <x:c r="E135" s="2"/>
      <x:c r="F135" s="2"/>
      <x:c r="G135" s="2"/>
      <x:c r="H135" s="2"/>
      <x:c r="I135" s="7"/>
      <x:c r="J135" s="2"/>
      <x:c r="K135" s="63"/>
      <x:c r="L135" s="2"/>
      <x:c r="M135" s="2"/>
      <x:c r="N135" s="2"/>
      <x:c r="O135" s="2"/>
      <x:c r="P135" s="2"/>
      <x:c r="Q135" s="2"/>
      <x:c r="R135" s="2"/>
      <x:c r="S135" s="2"/>
      <x:c r="T135" s="2"/>
      <x:c r="U135" s="2"/>
      <x:c r="V135" s="5"/>
      <x:c r="W135" s="5"/>
      <x:c r="X135" s="5"/>
      <x:c r="Y135" s="5"/>
      <x:c r="Z135" s="5"/>
      <x:c r="AA135" s="5"/>
      <x:c r="AB135" s="5"/>
      <x:c r="AC135" s="5"/>
      <x:c r="AD135" s="5"/>
      <x:c r="AE135" s="5"/>
      <x:c r="AF135" s="5"/>
      <x:c r="AG135" s="5"/>
      <x:c r="AH135" s="5"/>
    </x:row>
    <x:row r="136" ht="12" hidden="0" customHeight="1">
      <x:c r="A136" s="2"/>
      <x:c r="B136" s="2"/>
      <x:c r="C136" s="2"/>
      <x:c r="D136" s="2"/>
      <x:c r="E136" s="2"/>
      <x:c r="F136" s="2"/>
      <x:c r="G136" s="2"/>
      <x:c r="H136" s="2"/>
      <x:c r="I136" s="7"/>
      <x:c r="J136" s="2"/>
      <x:c r="K136" s="63"/>
      <x:c r="L136" s="2"/>
      <x:c r="M136" s="2"/>
      <x:c r="N136" s="2"/>
      <x:c r="O136" s="2"/>
      <x:c r="P136" s="2"/>
      <x:c r="Q136" s="2"/>
      <x:c r="R136" s="2"/>
      <x:c r="S136" s="2"/>
      <x:c r="T136" s="2"/>
      <x:c r="U136" s="2"/>
      <x:c r="V136" s="5"/>
      <x:c r="W136" s="5"/>
      <x:c r="X136" s="5"/>
      <x:c r="Y136" s="5"/>
      <x:c r="Z136" s="5"/>
      <x:c r="AA136" s="5"/>
      <x:c r="AB136" s="5"/>
      <x:c r="AC136" s="5"/>
      <x:c r="AD136" s="5"/>
      <x:c r="AE136" s="5"/>
      <x:c r="AF136" s="5"/>
      <x:c r="AG136" s="5"/>
      <x:c r="AH136" s="5"/>
    </x:row>
    <x:row r="137" ht="12" hidden="0" customHeight="1">
      <x:c r="A137" s="2"/>
      <x:c r="B137" s="2"/>
      <x:c r="C137" s="2"/>
      <x:c r="D137" s="2"/>
      <x:c r="E137" s="2"/>
      <x:c r="F137" s="2"/>
      <x:c r="G137" s="2"/>
      <x:c r="H137" s="2"/>
      <x:c r="I137" s="7"/>
      <x:c r="J137" s="2"/>
      <x:c r="K137" s="2"/>
      <x:c r="L137" s="2"/>
      <x:c r="M137" s="2"/>
      <x:c r="N137" s="2"/>
      <x:c r="O137" s="2"/>
      <x:c r="P137" s="2"/>
      <x:c r="Q137" s="2"/>
      <x:c r="R137" s="2"/>
      <x:c r="S137" s="2"/>
      <x:c r="T137" s="2"/>
      <x:c r="U137" s="2"/>
      <x:c r="V137" s="5"/>
      <x:c r="W137" s="5"/>
      <x:c r="X137" s="5"/>
      <x:c r="Y137" s="5"/>
      <x:c r="Z137" s="5"/>
      <x:c r="AA137" s="5"/>
      <x:c r="AB137" s="5"/>
      <x:c r="AC137" s="5"/>
      <x:c r="AD137" s="5"/>
      <x:c r="AE137" s="5"/>
      <x:c r="AF137" s="5"/>
      <x:c r="AG137" s="5"/>
      <x:c r="AH137" s="5"/>
    </x:row>
    <x:row r="138" ht="12" hidden="0" customHeight="1">
      <x:c r="A138" s="2"/>
      <x:c r="B138" s="2"/>
      <x:c r="C138" s="2"/>
      <x:c r="D138" s="2"/>
      <x:c r="E138" s="2"/>
      <x:c r="F138" s="2"/>
      <x:c r="G138" s="2"/>
      <x:c r="H138" s="2"/>
      <x:c r="I138" s="7"/>
      <x:c r="J138" s="2"/>
      <x:c r="K138" s="2"/>
      <x:c r="L138" s="2"/>
      <x:c r="M138" s="2"/>
      <x:c r="N138" s="2"/>
      <x:c r="O138" s="2"/>
      <x:c r="P138" s="2"/>
      <x:c r="Q138" s="2"/>
      <x:c r="R138" s="2"/>
      <x:c r="S138" s="2"/>
      <x:c r="T138" s="2"/>
      <x:c r="U138" s="2"/>
      <x:c r="V138" s="5"/>
      <x:c r="W138" s="5"/>
      <x:c r="X138" s="5"/>
      <x:c r="Y138" s="5"/>
      <x:c r="Z138" s="5"/>
      <x:c r="AA138" s="5"/>
      <x:c r="AB138" s="5"/>
      <x:c r="AC138" s="5"/>
      <x:c r="AD138" s="5"/>
      <x:c r="AE138" s="5"/>
      <x:c r="AF138" s="5"/>
      <x:c r="AG138" s="5"/>
      <x:c r="AH138" s="5"/>
    </x:row>
    <x:row r="139" ht="12" hidden="0" customHeight="1">
      <x:c r="A139" s="2"/>
      <x:c r="B139" s="2"/>
      <x:c r="C139" s="2"/>
      <x:c r="D139" s="2"/>
      <x:c r="E139" s="2"/>
      <x:c r="F139" s="2"/>
      <x:c r="G139" s="2"/>
      <x:c r="H139" s="2"/>
      <x:c r="I139" s="7"/>
      <x:c r="J139" s="2"/>
      <x:c r="K139" s="2"/>
      <x:c r="L139" s="2"/>
      <x:c r="M139" s="2"/>
      <x:c r="N139" s="2"/>
      <x:c r="O139" s="2"/>
      <x:c r="P139" s="2"/>
      <x:c r="Q139" s="2"/>
      <x:c r="R139" s="2"/>
      <x:c r="S139" s="2"/>
      <x:c r="T139" s="2"/>
      <x:c r="U139" s="2"/>
      <x:c r="V139" s="5"/>
      <x:c r="W139" s="5"/>
      <x:c r="X139" s="5"/>
      <x:c r="Y139" s="5"/>
      <x:c r="Z139" s="5"/>
      <x:c r="AA139" s="5"/>
      <x:c r="AB139" s="5"/>
      <x:c r="AC139" s="5"/>
      <x:c r="AD139" s="5"/>
      <x:c r="AE139" s="5"/>
      <x:c r="AF139" s="5"/>
      <x:c r="AG139" s="5"/>
      <x:c r="AH139" s="5"/>
    </x:row>
    <x:row r="140" ht="12" hidden="0" customHeight="1">
      <x:c r="A140" s="2"/>
      <x:c r="B140" s="2"/>
      <x:c r="C140" s="2"/>
      <x:c r="D140" s="2"/>
      <x:c r="E140" s="2"/>
      <x:c r="F140" s="2"/>
      <x:c r="G140" s="2"/>
      <x:c r="H140" s="2"/>
      <x:c r="I140" s="7"/>
      <x:c r="J140" s="2"/>
      <x:c r="K140" s="2"/>
      <x:c r="L140" s="2"/>
      <x:c r="M140" s="2"/>
      <x:c r="N140" s="2"/>
      <x:c r="O140" s="2"/>
      <x:c r="P140" s="2"/>
      <x:c r="Q140" s="2"/>
      <x:c r="R140" s="2"/>
      <x:c r="S140" s="2"/>
      <x:c r="T140" s="2"/>
      <x:c r="U140" s="2"/>
      <x:c r="V140" s="5"/>
      <x:c r="W140" s="5"/>
      <x:c r="X140" s="5"/>
      <x:c r="Y140" s="5"/>
      <x:c r="Z140" s="5"/>
      <x:c r="AA140" s="5"/>
      <x:c r="AB140" s="5"/>
      <x:c r="AC140" s="5"/>
      <x:c r="AD140" s="5"/>
      <x:c r="AE140" s="5"/>
      <x:c r="AF140" s="5"/>
      <x:c r="AG140" s="5"/>
      <x:c r="AH140" s="5"/>
    </x:row>
    <x:row r="141" ht="12" hidden="0" customHeight="1">
      <x:c r="A141" s="2"/>
      <x:c r="B141" s="2"/>
      <x:c r="C141" s="2"/>
      <x:c r="D141" s="2"/>
      <x:c r="E141" s="2"/>
      <x:c r="F141" s="2"/>
      <x:c r="G141" s="2"/>
      <x:c r="H141" s="2"/>
      <x:c r="I141" s="7"/>
      <x:c r="J141" s="2"/>
      <x:c r="K141" s="2"/>
      <x:c r="L141" s="2"/>
      <x:c r="M141" s="2"/>
      <x:c r="N141" s="2"/>
      <x:c r="O141" s="2"/>
      <x:c r="P141" s="2"/>
      <x:c r="Q141" s="2"/>
      <x:c r="R141" s="2"/>
      <x:c r="S141" s="2"/>
      <x:c r="T141" s="2"/>
      <x:c r="U141" s="2"/>
      <x:c r="V141" s="5"/>
      <x:c r="W141" s="5"/>
      <x:c r="X141" s="5"/>
      <x:c r="Y141" s="5"/>
      <x:c r="Z141" s="5"/>
      <x:c r="AA141" s="5"/>
      <x:c r="AB141" s="5"/>
      <x:c r="AC141" s="5"/>
      <x:c r="AD141" s="5"/>
      <x:c r="AE141" s="5"/>
      <x:c r="AF141" s="5"/>
      <x:c r="AG141" s="5"/>
      <x:c r="AH141" s="5"/>
    </x:row>
    <x:row r="142" ht="12" hidden="0" customHeight="1">
      <x:c r="A142" s="2"/>
      <x:c r="B142" s="2"/>
      <x:c r="C142" s="2"/>
      <x:c r="D142" s="2"/>
      <x:c r="E142" s="2"/>
      <x:c r="F142" s="2"/>
      <x:c r="G142" s="2"/>
      <x:c r="H142" s="2"/>
      <x:c r="I142" s="7"/>
      <x:c r="J142" s="2"/>
      <x:c r="K142" s="2"/>
      <x:c r="L142" s="2"/>
      <x:c r="M142" s="2"/>
      <x:c r="N142" s="2"/>
      <x:c r="O142" s="2"/>
      <x:c r="P142" s="2"/>
      <x:c r="Q142" s="2"/>
      <x:c r="R142" s="2"/>
      <x:c r="S142" s="2"/>
      <x:c r="T142" s="2"/>
      <x:c r="U142" s="2"/>
      <x:c r="V142" s="5"/>
      <x:c r="W142" s="5"/>
      <x:c r="X142" s="5"/>
      <x:c r="Y142" s="5"/>
      <x:c r="Z142" s="5"/>
      <x:c r="AA142" s="5"/>
      <x:c r="AB142" s="5"/>
      <x:c r="AC142" s="5"/>
      <x:c r="AD142" s="5"/>
      <x:c r="AE142" s="5"/>
      <x:c r="AF142" s="5"/>
      <x:c r="AG142" s="5"/>
      <x:c r="AH142" s="5"/>
    </x:row>
    <x:row r="143" ht="12" hidden="0" customHeight="1">
      <x:c r="A143" s="2"/>
      <x:c r="B143" s="2"/>
      <x:c r="C143" s="2"/>
      <x:c r="D143" s="2"/>
      <x:c r="E143" s="2"/>
      <x:c r="F143" s="2"/>
      <x:c r="G143" s="2"/>
      <x:c r="H143" s="2"/>
      <x:c r="I143" s="7"/>
      <x:c r="J143" s="2"/>
      <x:c r="K143" s="2"/>
      <x:c r="L143" s="2"/>
      <x:c r="M143" s="2"/>
      <x:c r="N143" s="2"/>
      <x:c r="O143" s="2"/>
      <x:c r="P143" s="2"/>
      <x:c r="Q143" s="2"/>
      <x:c r="R143" s="2"/>
      <x:c r="S143" s="2"/>
      <x:c r="T143" s="2"/>
      <x:c r="U143" s="2"/>
      <x:c r="V143" s="5"/>
      <x:c r="W143" s="5"/>
      <x:c r="X143" s="5"/>
      <x:c r="Y143" s="5"/>
      <x:c r="Z143" s="5"/>
      <x:c r="AA143" s="5"/>
      <x:c r="AB143" s="5"/>
      <x:c r="AC143" s="5"/>
      <x:c r="AD143" s="5"/>
      <x:c r="AE143" s="5"/>
      <x:c r="AF143" s="5"/>
      <x:c r="AG143" s="5"/>
      <x:c r="AH143" s="5"/>
    </x:row>
    <x:row r="144" ht="12" hidden="0" customHeight="1">
      <x:c r="A144" s="2"/>
      <x:c r="B144" s="2"/>
      <x:c r="C144" s="2"/>
      <x:c r="D144" s="2"/>
      <x:c r="E144" s="2"/>
      <x:c r="F144" s="2"/>
      <x:c r="G144" s="2"/>
      <x:c r="H144" s="2"/>
      <x:c r="I144" s="7"/>
      <x:c r="J144" s="2"/>
      <x:c r="K144" s="2"/>
      <x:c r="L144" s="2"/>
      <x:c r="M144" s="2"/>
      <x:c r="N144" s="2"/>
      <x:c r="O144" s="2"/>
      <x:c r="P144" s="2"/>
      <x:c r="Q144" s="2"/>
      <x:c r="R144" s="2"/>
      <x:c r="S144" s="2"/>
      <x:c r="T144" s="2"/>
      <x:c r="U144" s="2"/>
      <x:c r="V144" s="5"/>
      <x:c r="W144" s="5"/>
      <x:c r="X144" s="5"/>
      <x:c r="Y144" s="5"/>
      <x:c r="Z144" s="5"/>
      <x:c r="AA144" s="5"/>
      <x:c r="AB144" s="5"/>
      <x:c r="AC144" s="5"/>
      <x:c r="AD144" s="5"/>
      <x:c r="AE144" s="5"/>
      <x:c r="AF144" s="5"/>
      <x:c r="AG144" s="5"/>
      <x:c r="AH144" s="5"/>
    </x:row>
    <x:row r="145" ht="12" hidden="0" customHeight="1">
      <x:c r="A145" s="2"/>
      <x:c r="B145" s="2"/>
      <x:c r="C145" s="2"/>
      <x:c r="D145" s="2"/>
      <x:c r="E145" s="2"/>
      <x:c r="F145" s="2"/>
      <x:c r="G145" s="2"/>
      <x:c r="H145" s="2"/>
      <x:c r="I145" s="7"/>
      <x:c r="J145" s="2"/>
      <x:c r="K145" s="2"/>
      <x:c r="L145" s="2"/>
      <x:c r="M145" s="2"/>
      <x:c r="N145" s="2"/>
      <x:c r="O145" s="2"/>
      <x:c r="P145" s="2"/>
      <x:c r="Q145" s="2"/>
      <x:c r="R145" s="2"/>
      <x:c r="S145" s="2"/>
      <x:c r="T145" s="2"/>
      <x:c r="U145" s="2"/>
      <x:c r="V145" s="5"/>
      <x:c r="W145" s="5"/>
      <x:c r="X145" s="5"/>
      <x:c r="Y145" s="5"/>
      <x:c r="Z145" s="5"/>
      <x:c r="AA145" s="5"/>
      <x:c r="AB145" s="5"/>
      <x:c r="AC145" s="5"/>
      <x:c r="AD145" s="5"/>
      <x:c r="AE145" s="5"/>
      <x:c r="AF145" s="5"/>
      <x:c r="AG145" s="5"/>
      <x:c r="AH145" s="5"/>
    </x:row>
    <x:row r="146" ht="13.5" hidden="0" customHeight="1">
      <x:c r="A146" s="2"/>
      <x:c r="B146" s="2"/>
      <x:c r="C146" s="2"/>
      <x:c r="D146" s="2"/>
      <x:c r="E146" s="2"/>
      <x:c r="F146" s="2"/>
      <x:c r="G146" s="2"/>
      <x:c r="H146" s="2"/>
      <x:c r="I146" s="7"/>
      <x:c r="J146" s="2"/>
      <x:c r="K146" s="2"/>
      <x:c r="L146" s="2"/>
      <x:c r="M146" s="2"/>
      <x:c r="N146" s="2"/>
      <x:c r="O146" s="2"/>
      <x:c r="P146" s="2"/>
      <x:c r="Q146" s="2"/>
      <x:c r="R146" s="2"/>
      <x:c r="S146" s="2"/>
      <x:c r="T146" s="2"/>
      <x:c r="U146" s="2"/>
      <x:c r="V146" s="5"/>
      <x:c r="W146" s="5"/>
      <x:c r="X146" s="5"/>
      <x:c r="Y146" s="5"/>
      <x:c r="Z146" s="5"/>
      <x:c r="AA146" s="5"/>
      <x:c r="AB146" s="5"/>
      <x:c r="AC146" s="5"/>
      <x:c r="AD146" s="5"/>
      <x:c r="AE146" s="5"/>
      <x:c r="AF146" s="5"/>
      <x:c r="AG146" s="5"/>
      <x:c r="AH146" s="5"/>
    </x:row>
    <x:row r="147" ht="12" hidden="0" customHeight="1">
      <x:c r="A147" s="2"/>
      <x:c r="B147" s="2"/>
      <x:c r="C147" s="2"/>
      <x:c r="D147" s="2"/>
      <x:c r="E147" s="2"/>
      <x:c r="F147" s="2"/>
      <x:c r="G147" s="2"/>
      <x:c r="H147" s="2"/>
      <x:c r="I147" s="7"/>
      <x:c r="J147" s="2"/>
      <x:c r="K147" s="2"/>
      <x:c r="L147" s="2"/>
      <x:c r="M147" s="2"/>
      <x:c r="N147" s="2"/>
      <x:c r="O147" s="2"/>
      <x:c r="P147" s="2"/>
      <x:c r="Q147" s="2"/>
      <x:c r="R147" s="2"/>
      <x:c r="S147" s="2"/>
      <x:c r="T147" s="2"/>
      <x:c r="U147" s="2"/>
      <x:c r="V147" s="5"/>
      <x:c r="W147" s="5"/>
      <x:c r="X147" s="5"/>
      <x:c r="Y147" s="5"/>
      <x:c r="Z147" s="5"/>
      <x:c r="AA147" s="5"/>
      <x:c r="AB147" s="5"/>
      <x:c r="AC147" s="5"/>
      <x:c r="AD147" s="5"/>
      <x:c r="AE147" s="5"/>
      <x:c r="AF147" s="5"/>
      <x:c r="AG147" s="5"/>
      <x:c r="AH147" s="5"/>
    </x:row>
    <x:row r="148" ht="12" hidden="0" customHeight="1">
      <x:c r="A148" s="2"/>
      <x:c r="B148" s="2"/>
      <x:c r="C148" s="2"/>
      <x:c r="D148" s="2"/>
      <x:c r="E148" s="2"/>
      <x:c r="F148" s="2"/>
      <x:c r="G148" s="2"/>
      <x:c r="H148" s="2"/>
      <x:c r="I148" s="7"/>
      <x:c r="J148" s="2"/>
      <x:c r="K148" s="2"/>
      <x:c r="L148" s="2"/>
      <x:c r="M148" s="2"/>
      <x:c r="N148" s="2"/>
      <x:c r="O148" s="2"/>
      <x:c r="P148" s="2"/>
      <x:c r="Q148" s="2"/>
      <x:c r="R148" s="2"/>
      <x:c r="S148" s="2"/>
      <x:c r="T148" s="2"/>
      <x:c r="U148" s="2"/>
      <x:c r="V148" s="5"/>
      <x:c r="W148" s="5"/>
      <x:c r="X148" s="5"/>
      <x:c r="Y148" s="5"/>
      <x:c r="Z148" s="5"/>
      <x:c r="AA148" s="5"/>
      <x:c r="AB148" s="5"/>
      <x:c r="AC148" s="5"/>
      <x:c r="AD148" s="5"/>
      <x:c r="AE148" s="5"/>
      <x:c r="AF148" s="5"/>
      <x:c r="AG148" s="5"/>
      <x:c r="AH148" s="5"/>
    </x:row>
    <x:row r="149" ht="12" hidden="0" customHeight="1">
      <x:c r="A149" s="2"/>
      <x:c r="B149" s="2"/>
      <x:c r="C149" s="2"/>
      <x:c r="D149" s="2"/>
      <x:c r="E149" s="2"/>
      <x:c r="F149" s="2"/>
      <x:c r="G149" s="2"/>
      <x:c r="H149" s="2"/>
      <x:c r="I149" s="7"/>
      <x:c r="J149" s="2"/>
      <x:c r="K149" s="2"/>
      <x:c r="L149" s="2"/>
      <x:c r="M149" s="2"/>
      <x:c r="N149" s="2"/>
      <x:c r="O149" s="2"/>
      <x:c r="P149" s="2"/>
      <x:c r="Q149" s="2"/>
      <x:c r="R149" s="2"/>
      <x:c r="S149" s="2"/>
      <x:c r="T149" s="2"/>
      <x:c r="U149" s="2"/>
      <x:c r="V149" s="5"/>
      <x:c r="W149" s="5"/>
      <x:c r="X149" s="5"/>
      <x:c r="Y149" s="5"/>
      <x:c r="Z149" s="5"/>
      <x:c r="AA149" s="5"/>
      <x:c r="AB149" s="5"/>
      <x:c r="AC149" s="5"/>
      <x:c r="AD149" s="5"/>
      <x:c r="AE149" s="5"/>
      <x:c r="AF149" s="5"/>
      <x:c r="AG149" s="5"/>
      <x:c r="AH149" s="5"/>
    </x:row>
    <x:row r="150" ht="12" hidden="0" customHeight="1">
      <x:c r="A150" s="2"/>
      <x:c r="B150" s="2"/>
      <x:c r="C150" s="2"/>
      <x:c r="D150" s="2"/>
      <x:c r="E150" s="2"/>
      <x:c r="F150" s="2"/>
      <x:c r="G150" s="2"/>
      <x:c r="H150" s="2"/>
      <x:c r="I150" s="7"/>
      <x:c r="J150" s="2"/>
      <x:c r="K150" s="63"/>
      <x:c r="L150" s="2"/>
      <x:c r="M150" s="2"/>
      <x:c r="N150" s="2"/>
      <x:c r="O150" s="2"/>
      <x:c r="P150" s="2"/>
      <x:c r="Q150" s="2"/>
      <x:c r="R150" s="2"/>
      <x:c r="S150" s="2"/>
      <x:c r="T150" s="2"/>
      <x:c r="U150" s="2"/>
      <x:c r="V150" s="5"/>
      <x:c r="W150" s="5"/>
      <x:c r="X150" s="5"/>
      <x:c r="Y150" s="5"/>
      <x:c r="Z150" s="5"/>
      <x:c r="AA150" s="5"/>
      <x:c r="AB150" s="5"/>
      <x:c r="AC150" s="5"/>
      <x:c r="AD150" s="5"/>
      <x:c r="AE150" s="5"/>
      <x:c r="AF150" s="5"/>
      <x:c r="AG150" s="5"/>
      <x:c r="AH150" s="5"/>
    </x:row>
    <x:row r="151" ht="12" hidden="0" customHeight="1">
      <x:c r="A151" s="2"/>
      <x:c r="B151" s="2"/>
      <x:c r="C151" s="2"/>
      <x:c r="D151" s="2"/>
      <x:c r="E151" s="2"/>
      <x:c r="F151" s="2"/>
      <x:c r="G151" s="2"/>
      <x:c r="H151" s="2"/>
      <x:c r="I151" s="7"/>
      <x:c r="J151" s="2"/>
      <x:c r="K151" s="63"/>
      <x:c r="L151" s="2"/>
      <x:c r="M151" s="2"/>
      <x:c r="N151" s="2"/>
      <x:c r="O151" s="2"/>
      <x:c r="P151" s="2"/>
      <x:c r="Q151" s="2"/>
      <x:c r="R151" s="2"/>
      <x:c r="S151" s="2"/>
      <x:c r="T151" s="2"/>
      <x:c r="U151" s="2"/>
      <x:c r="V151" s="5"/>
      <x:c r="W151" s="5"/>
      <x:c r="X151" s="5"/>
      <x:c r="Y151" s="5"/>
      <x:c r="Z151" s="5"/>
      <x:c r="AA151" s="5"/>
      <x:c r="AB151" s="5"/>
      <x:c r="AC151" s="5"/>
      <x:c r="AD151" s="5"/>
      <x:c r="AE151" s="5"/>
      <x:c r="AF151" s="5"/>
      <x:c r="AG151" s="5"/>
      <x:c r="AH151" s="5"/>
    </x:row>
    <x:row r="152" ht="12" hidden="0" customHeight="1">
      <x:c r="A152" s="2"/>
      <x:c r="B152" s="2"/>
      <x:c r="C152" s="2"/>
      <x:c r="D152" s="2"/>
      <x:c r="E152" s="2"/>
      <x:c r="F152" s="2"/>
      <x:c r="G152" s="2"/>
      <x:c r="H152" s="2"/>
      <x:c r="I152" s="7"/>
      <x:c r="J152" s="2"/>
      <x:c r="K152" s="63"/>
      <x:c r="L152" s="2"/>
      <x:c r="M152" s="2"/>
      <x:c r="N152" s="2"/>
      <x:c r="O152" s="2"/>
      <x:c r="P152" s="2"/>
      <x:c r="Q152" s="2"/>
      <x:c r="R152" s="2"/>
      <x:c r="S152" s="2"/>
      <x:c r="T152" s="2"/>
      <x:c r="U152" s="2"/>
      <x:c r="V152" s="5"/>
      <x:c r="W152" s="5"/>
      <x:c r="X152" s="5"/>
      <x:c r="Y152" s="5"/>
      <x:c r="Z152" s="5"/>
      <x:c r="AA152" s="5"/>
      <x:c r="AB152" s="5"/>
      <x:c r="AC152" s="5"/>
      <x:c r="AD152" s="5"/>
      <x:c r="AE152" s="5"/>
      <x:c r="AF152" s="5"/>
      <x:c r="AG152" s="5"/>
      <x:c r="AH152" s="5"/>
    </x:row>
    <x:row r="153" ht="12" hidden="0" customHeight="1">
      <x:c r="A153" s="2"/>
      <x:c r="B153" s="2"/>
      <x:c r="C153" s="2"/>
      <x:c r="D153" s="2"/>
      <x:c r="E153" s="2"/>
      <x:c r="F153" s="2"/>
      <x:c r="G153" s="2"/>
      <x:c r="H153" s="2"/>
      <x:c r="I153" s="7"/>
      <x:c r="J153" s="2"/>
      <x:c r="K153" s="63"/>
      <x:c r="L153" s="2"/>
      <x:c r="M153" s="2"/>
      <x:c r="N153" s="2"/>
      <x:c r="O153" s="2"/>
      <x:c r="P153" s="2"/>
      <x:c r="Q153" s="2"/>
      <x:c r="R153" s="2"/>
      <x:c r="S153" s="2"/>
      <x:c r="T153" s="2"/>
      <x:c r="U153" s="2"/>
      <x:c r="V153" s="5"/>
      <x:c r="W153" s="5"/>
      <x:c r="X153" s="5"/>
      <x:c r="Y153" s="5"/>
      <x:c r="Z153" s="5"/>
      <x:c r="AA153" s="5"/>
      <x:c r="AB153" s="5"/>
      <x:c r="AC153" s="5"/>
      <x:c r="AD153" s="5"/>
      <x:c r="AE153" s="5"/>
      <x:c r="AF153" s="5"/>
      <x:c r="AG153" s="5"/>
      <x:c r="AH153" s="5"/>
    </x:row>
    <x:row r="154" ht="12" hidden="0" customHeight="1">
      <x:c r="A154" s="2"/>
      <x:c r="B154" s="2"/>
      <x:c r="C154" s="2"/>
      <x:c r="D154" s="2"/>
      <x:c r="E154" s="2"/>
      <x:c r="F154" s="2"/>
      <x:c r="G154" s="2"/>
      <x:c r="H154" s="2"/>
      <x:c r="I154" s="7"/>
      <x:c r="J154" s="2"/>
      <x:c r="K154" s="63"/>
      <x:c r="L154" s="2"/>
      <x:c r="M154" s="2"/>
      <x:c r="N154" s="2"/>
      <x:c r="O154" s="2"/>
      <x:c r="P154" s="2"/>
      <x:c r="Q154" s="2"/>
      <x:c r="R154" s="2"/>
      <x:c r="S154" s="2"/>
      <x:c r="T154" s="2"/>
      <x:c r="U154" s="2"/>
      <x:c r="V154" s="5"/>
      <x:c r="W154" s="5"/>
      <x:c r="X154" s="5"/>
      <x:c r="Y154" s="5"/>
      <x:c r="Z154" s="5"/>
      <x:c r="AA154" s="5"/>
      <x:c r="AB154" s="5"/>
      <x:c r="AC154" s="5"/>
      <x:c r="AD154" s="5"/>
      <x:c r="AE154" s="5"/>
      <x:c r="AF154" s="5"/>
      <x:c r="AG154" s="5"/>
      <x:c r="AH154" s="5"/>
    </x:row>
    <x:row r="155" ht="12" hidden="0" customHeight="1">
      <x:c r="A155" s="2"/>
      <x:c r="B155" s="2"/>
      <x:c r="C155" s="2"/>
      <x:c r="D155" s="2"/>
      <x:c r="E155" s="2"/>
      <x:c r="F155" s="2"/>
      <x:c r="G155" s="2"/>
      <x:c r="H155" s="2"/>
      <x:c r="I155" s="7"/>
      <x:c r="J155" s="2"/>
      <x:c r="K155" s="63"/>
      <x:c r="L155" s="2"/>
      <x:c r="M155" s="2"/>
      <x:c r="N155" s="2"/>
      <x:c r="O155" s="2"/>
      <x:c r="P155" s="2"/>
      <x:c r="Q155" s="2"/>
      <x:c r="R155" s="2"/>
      <x:c r="S155" s="2"/>
      <x:c r="T155" s="2"/>
      <x:c r="U155" s="2"/>
      <x:c r="V155" s="5"/>
      <x:c r="W155" s="5"/>
      <x:c r="X155" s="5"/>
      <x:c r="Y155" s="5"/>
      <x:c r="Z155" s="5"/>
      <x:c r="AA155" s="5"/>
      <x:c r="AB155" s="5"/>
      <x:c r="AC155" s="5"/>
      <x:c r="AD155" s="5"/>
      <x:c r="AE155" s="5"/>
      <x:c r="AF155" s="5"/>
      <x:c r="AG155" s="5"/>
      <x:c r="AH155" s="5"/>
    </x:row>
    <x:row r="156" ht="12" hidden="0" customHeight="1">
      <x:c r="A156" s="2"/>
      <x:c r="B156" s="2"/>
      <x:c r="C156" s="2"/>
      <x:c r="D156" s="2"/>
      <x:c r="E156" s="2"/>
      <x:c r="F156" s="2"/>
      <x:c r="G156" s="2"/>
      <x:c r="H156" s="2"/>
      <x:c r="I156" s="7"/>
      <x:c r="J156" s="2"/>
      <x:c r="K156" s="63"/>
      <x:c r="L156" s="2"/>
      <x:c r="M156" s="2"/>
      <x:c r="N156" s="2"/>
      <x:c r="O156" s="2"/>
      <x:c r="P156" s="2"/>
      <x:c r="Q156" s="2"/>
      <x:c r="R156" s="2"/>
      <x:c r="S156" s="2"/>
      <x:c r="T156" s="2"/>
      <x:c r="U156" s="2"/>
      <x:c r="V156" s="5"/>
      <x:c r="W156" s="5"/>
      <x:c r="X156" s="5"/>
      <x:c r="Y156" s="5"/>
      <x:c r="Z156" s="5"/>
      <x:c r="AA156" s="5"/>
      <x:c r="AB156" s="5"/>
      <x:c r="AC156" s="5"/>
      <x:c r="AD156" s="5"/>
      <x:c r="AE156" s="5"/>
      <x:c r="AF156" s="5"/>
      <x:c r="AG156" s="5"/>
      <x:c r="AH156" s="5"/>
    </x:row>
    <x:row r="157" ht="12" hidden="0" customHeight="1">
      <x:c r="A157" s="2"/>
      <x:c r="B157" s="2"/>
      <x:c r="C157" s="2"/>
      <x:c r="D157" s="2"/>
      <x:c r="E157" s="2"/>
      <x:c r="F157" s="2"/>
      <x:c r="G157" s="2"/>
      <x:c r="H157" s="2"/>
      <x:c r="I157" s="7"/>
      <x:c r="J157" s="2"/>
      <x:c r="K157" s="63"/>
      <x:c r="L157" s="2"/>
      <x:c r="M157" s="2"/>
      <x:c r="N157" s="2"/>
      <x:c r="O157" s="2"/>
      <x:c r="P157" s="2"/>
      <x:c r="Q157" s="2"/>
      <x:c r="R157" s="2"/>
      <x:c r="S157" s="2"/>
      <x:c r="T157" s="2"/>
      <x:c r="U157" s="2"/>
      <x:c r="V157" s="5"/>
      <x:c r="W157" s="5"/>
      <x:c r="X157" s="5"/>
      <x:c r="Y157" s="5"/>
      <x:c r="Z157" s="5"/>
      <x:c r="AA157" s="5"/>
      <x:c r="AB157" s="5"/>
      <x:c r="AC157" s="5"/>
      <x:c r="AD157" s="5"/>
      <x:c r="AE157" s="5"/>
      <x:c r="AF157" s="5"/>
      <x:c r="AG157" s="5"/>
      <x:c r="AH157" s="5"/>
    </x:row>
    <x:row r="158" ht="12" hidden="0" customHeight="1">
      <x:c r="A158" s="2"/>
      <x:c r="B158" s="2"/>
      <x:c r="C158" s="2"/>
      <x:c r="D158" s="2"/>
      <x:c r="E158" s="2"/>
      <x:c r="F158" s="2"/>
      <x:c r="G158" s="2"/>
      <x:c r="H158" s="2"/>
      <x:c r="I158" s="7"/>
      <x:c r="J158" s="2"/>
      <x:c r="K158" s="63"/>
      <x:c r="L158" s="2"/>
      <x:c r="M158" s="2"/>
      <x:c r="N158" s="2"/>
      <x:c r="O158" s="2"/>
      <x:c r="P158" s="2"/>
      <x:c r="Q158" s="2"/>
      <x:c r="R158" s="2"/>
      <x:c r="S158" s="2"/>
      <x:c r="T158" s="2"/>
      <x:c r="U158" s="2"/>
      <x:c r="V158" s="5"/>
      <x:c r="W158" s="5"/>
      <x:c r="X158" s="5"/>
      <x:c r="Y158" s="5"/>
      <x:c r="Z158" s="5"/>
      <x:c r="AA158" s="5"/>
      <x:c r="AB158" s="5"/>
      <x:c r="AC158" s="5"/>
      <x:c r="AD158" s="5"/>
      <x:c r="AE158" s="5"/>
      <x:c r="AF158" s="5"/>
      <x:c r="AG158" s="5"/>
      <x:c r="AH158" s="5"/>
    </x:row>
    <x:row r="159" ht="12" hidden="0" customHeight="1">
      <x:c r="A159" s="2"/>
      <x:c r="B159" s="2"/>
      <x:c r="C159" s="2"/>
      <x:c r="D159" s="2"/>
      <x:c r="E159" s="2"/>
      <x:c r="F159" s="2"/>
      <x:c r="G159" s="2"/>
      <x:c r="H159" s="2"/>
      <x:c r="I159" s="7"/>
      <x:c r="J159" s="2"/>
      <x:c r="K159" s="63"/>
      <x:c r="L159" s="2"/>
      <x:c r="M159" s="2"/>
      <x:c r="N159" s="2"/>
      <x:c r="O159" s="2"/>
      <x:c r="P159" s="2"/>
      <x:c r="Q159" s="2"/>
      <x:c r="R159" s="2"/>
      <x:c r="S159" s="2"/>
      <x:c r="T159" s="2"/>
      <x:c r="U159" s="2"/>
      <x:c r="V159" s="5"/>
      <x:c r="W159" s="5"/>
      <x:c r="X159" s="5"/>
      <x:c r="Y159" s="5"/>
      <x:c r="Z159" s="5"/>
      <x:c r="AA159" s="5"/>
      <x:c r="AB159" s="5"/>
      <x:c r="AC159" s="5"/>
      <x:c r="AD159" s="5"/>
      <x:c r="AE159" s="5"/>
      <x:c r="AF159" s="5"/>
      <x:c r="AG159" s="5"/>
      <x:c r="AH159" s="5"/>
    </x:row>
    <x:row r="160" ht="12" hidden="0" customHeight="1">
      <x:c r="A160" s="2"/>
      <x:c r="B160" s="2"/>
      <x:c r="C160" s="2"/>
      <x:c r="D160" s="2"/>
      <x:c r="E160" s="2"/>
      <x:c r="F160" s="2"/>
      <x:c r="G160" s="2"/>
      <x:c r="H160" s="2"/>
      <x:c r="I160" s="7"/>
      <x:c r="J160" s="2"/>
      <x:c r="K160" s="63"/>
      <x:c r="L160" s="2"/>
      <x:c r="M160" s="2"/>
      <x:c r="N160" s="2"/>
      <x:c r="O160" s="2"/>
      <x:c r="P160" s="2"/>
      <x:c r="Q160" s="2"/>
      <x:c r="R160" s="2"/>
      <x:c r="S160" s="2"/>
      <x:c r="T160" s="2"/>
      <x:c r="U160" s="2"/>
      <x:c r="V160" s="5"/>
      <x:c r="W160" s="5"/>
      <x:c r="X160" s="5"/>
      <x:c r="Y160" s="5"/>
      <x:c r="Z160" s="5"/>
      <x:c r="AA160" s="5"/>
      <x:c r="AB160" s="5"/>
      <x:c r="AC160" s="5"/>
      <x:c r="AD160" s="5"/>
      <x:c r="AE160" s="5"/>
      <x:c r="AF160" s="5"/>
      <x:c r="AG160" s="5"/>
      <x:c r="AH160" s="5"/>
    </x:row>
    <x:row r="161" ht="12" hidden="0" customHeight="1">
      <x:c r="A161" s="2"/>
      <x:c r="B161" s="2"/>
      <x:c r="C161" s="2"/>
      <x:c r="D161" s="2"/>
      <x:c r="E161" s="2"/>
      <x:c r="F161" s="2"/>
      <x:c r="G161" s="2"/>
      <x:c r="H161" s="2"/>
      <x:c r="I161" s="7"/>
      <x:c r="J161" s="2"/>
      <x:c r="K161" s="63"/>
      <x:c r="L161" s="2"/>
      <x:c r="M161" s="2"/>
      <x:c r="N161" s="2"/>
      <x:c r="O161" s="2"/>
      <x:c r="P161" s="2"/>
      <x:c r="Q161" s="2"/>
      <x:c r="R161" s="2"/>
      <x:c r="S161" s="2"/>
      <x:c r="T161" s="2"/>
      <x:c r="U161" s="2"/>
      <x:c r="V161" s="5"/>
      <x:c r="W161" s="5"/>
      <x:c r="X161" s="5"/>
      <x:c r="Y161" s="5"/>
      <x:c r="Z161" s="5"/>
      <x:c r="AA161" s="5"/>
      <x:c r="AB161" s="5"/>
      <x:c r="AC161" s="5"/>
      <x:c r="AD161" s="5"/>
      <x:c r="AE161" s="5"/>
      <x:c r="AF161" s="5"/>
      <x:c r="AG161" s="5"/>
      <x:c r="AH161" s="5"/>
    </x:row>
    <x:row r="162" ht="12" hidden="0" customHeight="1">
      <x:c r="A162" s="2"/>
      <x:c r="B162" s="2"/>
      <x:c r="C162" s="2"/>
      <x:c r="D162" s="2"/>
      <x:c r="E162" s="2"/>
      <x:c r="F162" s="2"/>
      <x:c r="G162" s="2"/>
      <x:c r="H162" s="2"/>
      <x:c r="I162" s="7"/>
      <x:c r="J162" s="2"/>
      <x:c r="K162" s="63"/>
      <x:c r="L162" s="2"/>
      <x:c r="M162" s="2"/>
      <x:c r="N162" s="2"/>
      <x:c r="O162" s="2"/>
      <x:c r="P162" s="2"/>
      <x:c r="Q162" s="2"/>
      <x:c r="R162" s="2"/>
      <x:c r="S162" s="2"/>
      <x:c r="T162" s="2"/>
      <x:c r="U162" s="2"/>
      <x:c r="V162" s="5"/>
      <x:c r="W162" s="5"/>
      <x:c r="X162" s="5"/>
      <x:c r="Y162" s="5"/>
      <x:c r="Z162" s="5"/>
      <x:c r="AA162" s="5"/>
      <x:c r="AB162" s="5"/>
      <x:c r="AC162" s="5"/>
      <x:c r="AD162" s="5"/>
      <x:c r="AE162" s="5"/>
      <x:c r="AF162" s="5"/>
      <x:c r="AG162" s="5"/>
      <x:c r="AH162" s="5"/>
    </x:row>
    <x:row r="163" ht="12" hidden="0" customHeight="1">
      <x:c r="A163" s="2"/>
      <x:c r="B163" s="2"/>
      <x:c r="C163" s="2"/>
      <x:c r="D163" s="2"/>
      <x:c r="E163" s="2"/>
      <x:c r="F163" s="2"/>
      <x:c r="G163" s="2"/>
      <x:c r="H163" s="2"/>
      <x:c r="I163" s="7"/>
      <x:c r="J163" s="2"/>
      <x:c r="K163" s="63"/>
      <x:c r="L163" s="2"/>
      <x:c r="M163" s="2"/>
      <x:c r="N163" s="2"/>
      <x:c r="O163" s="2"/>
      <x:c r="P163" s="2"/>
      <x:c r="Q163" s="2"/>
      <x:c r="R163" s="2"/>
      <x:c r="S163" s="2"/>
      <x:c r="T163" s="2"/>
      <x:c r="U163" s="2"/>
      <x:c r="V163" s="5"/>
      <x:c r="W163" s="5"/>
      <x:c r="X163" s="5"/>
      <x:c r="Y163" s="5"/>
      <x:c r="Z163" s="5"/>
      <x:c r="AA163" s="5"/>
      <x:c r="AB163" s="5"/>
      <x:c r="AC163" s="5"/>
      <x:c r="AD163" s="5"/>
      <x:c r="AE163" s="5"/>
      <x:c r="AF163" s="5"/>
      <x:c r="AG163" s="5"/>
      <x:c r="AH163" s="5"/>
    </x:row>
    <x:row r="164" ht="12" hidden="0" customHeight="1">
      <x:c r="A164" s="2"/>
      <x:c r="B164" s="2"/>
      <x:c r="C164" s="2"/>
      <x:c r="D164" s="2"/>
      <x:c r="E164" s="2"/>
      <x:c r="F164" s="2"/>
      <x:c r="G164" s="2"/>
      <x:c r="H164" s="2"/>
      <x:c r="I164" s="7"/>
      <x:c r="J164" s="2"/>
      <x:c r="K164" s="63"/>
      <x:c r="L164" s="2"/>
      <x:c r="M164" s="2"/>
      <x:c r="N164" s="2"/>
      <x:c r="O164" s="2"/>
      <x:c r="P164" s="2"/>
      <x:c r="Q164" s="2"/>
      <x:c r="R164" s="2"/>
      <x:c r="S164" s="2"/>
      <x:c r="T164" s="2"/>
      <x:c r="U164" s="2"/>
      <x:c r="V164" s="5"/>
      <x:c r="W164" s="5"/>
      <x:c r="X164" s="5"/>
      <x:c r="Y164" s="5"/>
      <x:c r="Z164" s="5"/>
      <x:c r="AA164" s="5"/>
      <x:c r="AB164" s="5"/>
      <x:c r="AC164" s="5"/>
      <x:c r="AD164" s="5"/>
      <x:c r="AE164" s="5"/>
      <x:c r="AF164" s="5"/>
      <x:c r="AG164" s="5"/>
      <x:c r="AH164" s="5"/>
    </x:row>
    <x:row r="165" ht="12" hidden="0" customHeight="1">
      <x:c r="A165" s="2"/>
      <x:c r="B165" s="2"/>
      <x:c r="C165" s="2"/>
      <x:c r="D165" s="2"/>
      <x:c r="E165" s="2"/>
      <x:c r="F165" s="2"/>
      <x:c r="G165" s="2"/>
      <x:c r="H165" s="2"/>
      <x:c r="I165" s="7"/>
      <x:c r="J165" s="2"/>
      <x:c r="K165" s="63"/>
      <x:c r="L165" s="2"/>
      <x:c r="M165" s="2"/>
      <x:c r="N165" s="2"/>
      <x:c r="O165" s="2"/>
      <x:c r="P165" s="2"/>
      <x:c r="Q165" s="2"/>
      <x:c r="R165" s="2"/>
      <x:c r="S165" s="2"/>
      <x:c r="T165" s="2"/>
      <x:c r="U165" s="2"/>
      <x:c r="V165" s="5"/>
      <x:c r="W165" s="5"/>
      <x:c r="X165" s="5"/>
      <x:c r="Y165" s="5"/>
      <x:c r="Z165" s="5"/>
      <x:c r="AA165" s="5"/>
      <x:c r="AB165" s="5"/>
      <x:c r="AC165" s="5"/>
      <x:c r="AD165" s="5"/>
      <x:c r="AE165" s="5"/>
      <x:c r="AF165" s="5"/>
      <x:c r="AG165" s="5"/>
      <x:c r="AH165" s="5"/>
    </x:row>
    <x:row r="166" ht="12" hidden="0" customHeight="1">
      <x:c r="A166" s="2"/>
      <x:c r="B166" s="2"/>
      <x:c r="C166" s="2"/>
      <x:c r="D166" s="2"/>
      <x:c r="E166" s="2"/>
      <x:c r="F166" s="2"/>
      <x:c r="G166" s="2"/>
      <x:c r="H166" s="2"/>
      <x:c r="I166" s="7"/>
      <x:c r="J166" s="2"/>
      <x:c r="K166" s="63"/>
      <x:c r="L166" s="2"/>
      <x:c r="M166" s="2"/>
      <x:c r="N166" s="2"/>
      <x:c r="O166" s="2"/>
      <x:c r="P166" s="2"/>
      <x:c r="Q166" s="2"/>
      <x:c r="R166" s="2"/>
      <x:c r="S166" s="2"/>
      <x:c r="T166" s="2"/>
      <x:c r="U166" s="2"/>
      <x:c r="V166" s="5"/>
      <x:c r="W166" s="5"/>
      <x:c r="X166" s="5"/>
      <x:c r="Y166" s="5"/>
      <x:c r="Z166" s="5"/>
      <x:c r="AA166" s="5"/>
      <x:c r="AB166" s="5"/>
      <x:c r="AC166" s="5"/>
      <x:c r="AD166" s="5"/>
      <x:c r="AE166" s="5"/>
      <x:c r="AF166" s="5"/>
      <x:c r="AG166" s="5"/>
      <x:c r="AH166" s="5"/>
    </x:row>
    <x:row r="167" ht="12" hidden="0" customHeight="1">
      <x:c r="A167" s="2"/>
      <x:c r="B167" s="2"/>
      <x:c r="C167" s="2"/>
      <x:c r="D167" s="2"/>
      <x:c r="E167" s="2"/>
      <x:c r="F167" s="2"/>
      <x:c r="G167" s="2"/>
      <x:c r="H167" s="2"/>
      <x:c r="I167" s="7"/>
      <x:c r="J167" s="2"/>
      <x:c r="K167" s="63"/>
      <x:c r="L167" s="2"/>
      <x:c r="M167" s="2"/>
      <x:c r="N167" s="2"/>
      <x:c r="O167" s="2"/>
      <x:c r="P167" s="2"/>
      <x:c r="Q167" s="2"/>
      <x:c r="R167" s="2"/>
      <x:c r="S167" s="2"/>
      <x:c r="T167" s="2"/>
      <x:c r="U167" s="2"/>
      <x:c r="V167" s="5"/>
      <x:c r="W167" s="5"/>
      <x:c r="X167" s="5"/>
      <x:c r="Y167" s="5"/>
      <x:c r="Z167" s="5"/>
      <x:c r="AA167" s="5"/>
      <x:c r="AB167" s="5"/>
      <x:c r="AC167" s="5"/>
      <x:c r="AD167" s="5"/>
      <x:c r="AE167" s="5"/>
      <x:c r="AF167" s="5"/>
      <x:c r="AG167" s="5"/>
      <x:c r="AH167" s="5"/>
    </x:row>
    <x:row r="168" ht="12" hidden="0" customHeight="1">
      <x:c r="A168" s="2"/>
      <x:c r="B168" s="2"/>
      <x:c r="C168" s="2"/>
      <x:c r="D168" s="2"/>
      <x:c r="E168" s="2"/>
      <x:c r="F168" s="2"/>
      <x:c r="G168" s="2"/>
      <x:c r="H168" s="2"/>
      <x:c r="I168" s="7"/>
      <x:c r="J168" s="2"/>
      <x:c r="K168" s="63"/>
      <x:c r="L168" s="2"/>
      <x:c r="M168" s="2"/>
      <x:c r="N168" s="2"/>
      <x:c r="O168" s="2"/>
      <x:c r="P168" s="2"/>
      <x:c r="Q168" s="2"/>
      <x:c r="R168" s="2"/>
      <x:c r="S168" s="2"/>
      <x:c r="T168" s="2"/>
      <x:c r="U168" s="2"/>
      <x:c r="V168" s="5"/>
      <x:c r="W168" s="5"/>
      <x:c r="X168" s="5"/>
      <x:c r="Y168" s="5"/>
      <x:c r="Z168" s="5"/>
      <x:c r="AA168" s="5"/>
      <x:c r="AB168" s="5"/>
      <x:c r="AC168" s="5"/>
      <x:c r="AD168" s="5"/>
      <x:c r="AE168" s="5"/>
      <x:c r="AF168" s="5"/>
      <x:c r="AG168" s="5"/>
      <x:c r="AH168" s="5"/>
    </x:row>
    <x:row r="169" ht="12" hidden="0" customHeight="1">
      <x:c r="A169" s="2"/>
      <x:c r="B169" s="2"/>
      <x:c r="C169" s="2"/>
      <x:c r="D169" s="2"/>
      <x:c r="E169" s="2"/>
      <x:c r="F169" s="2"/>
      <x:c r="G169" s="2"/>
      <x:c r="H169" s="2"/>
      <x:c r="I169" s="7"/>
      <x:c r="J169" s="2"/>
      <x:c r="K169" s="63"/>
      <x:c r="L169" s="2"/>
      <x:c r="M169" s="2"/>
      <x:c r="N169" s="2"/>
      <x:c r="O169" s="2"/>
      <x:c r="P169" s="2"/>
      <x:c r="Q169" s="2"/>
      <x:c r="R169" s="2"/>
      <x:c r="S169" s="2"/>
      <x:c r="T169" s="2"/>
      <x:c r="U169" s="2"/>
      <x:c r="V169" s="5"/>
      <x:c r="W169" s="5"/>
      <x:c r="X169" s="5"/>
      <x:c r="Y169" s="5"/>
      <x:c r="Z169" s="5"/>
      <x:c r="AA169" s="5"/>
      <x:c r="AB169" s="5"/>
      <x:c r="AC169" s="5"/>
      <x:c r="AD169" s="5"/>
      <x:c r="AE169" s="5"/>
      <x:c r="AF169" s="5"/>
      <x:c r="AG169" s="5"/>
      <x:c r="AH169" s="5"/>
    </x:row>
    <x:row r="170" ht="12" hidden="0" customHeight="1">
      <x:c r="A170" s="2"/>
      <x:c r="B170" s="2"/>
      <x:c r="C170" s="2"/>
      <x:c r="D170" s="2"/>
      <x:c r="E170" s="2"/>
      <x:c r="F170" s="2"/>
      <x:c r="G170" s="2"/>
      <x:c r="H170" s="2"/>
      <x:c r="I170" s="7"/>
      <x:c r="J170" s="2"/>
      <x:c r="K170" s="63"/>
      <x:c r="L170" s="2"/>
      <x:c r="M170" s="2"/>
      <x:c r="N170" s="2"/>
      <x:c r="O170" s="2"/>
      <x:c r="P170" s="2"/>
      <x:c r="Q170" s="2"/>
      <x:c r="R170" s="2"/>
      <x:c r="S170" s="2"/>
      <x:c r="T170" s="2"/>
      <x:c r="U170" s="2"/>
      <x:c r="V170" s="5"/>
      <x:c r="W170" s="5"/>
      <x:c r="X170" s="5"/>
      <x:c r="Y170" s="5"/>
      <x:c r="Z170" s="5"/>
      <x:c r="AA170" s="5"/>
      <x:c r="AB170" s="5"/>
      <x:c r="AC170" s="5"/>
      <x:c r="AD170" s="5"/>
      <x:c r="AE170" s="5"/>
      <x:c r="AF170" s="5"/>
      <x:c r="AG170" s="5"/>
      <x:c r="AH170" s="5"/>
    </x:row>
    <x:row r="171" ht="12" hidden="0" customHeight="1">
      <x:c r="A171" s="2"/>
      <x:c r="B171" s="2"/>
      <x:c r="C171" s="2"/>
      <x:c r="D171" s="2"/>
      <x:c r="E171" s="2"/>
      <x:c r="F171" s="2"/>
      <x:c r="G171" s="2"/>
      <x:c r="H171" s="2"/>
      <x:c r="I171" s="7"/>
      <x:c r="J171" s="2"/>
      <x:c r="K171" s="63"/>
      <x:c r="L171" s="2"/>
      <x:c r="M171" s="2"/>
      <x:c r="N171" s="2"/>
      <x:c r="O171" s="2"/>
      <x:c r="P171" s="2"/>
      <x:c r="Q171" s="2"/>
      <x:c r="R171" s="2"/>
      <x:c r="S171" s="2"/>
      <x:c r="T171" s="2"/>
      <x:c r="U171" s="2"/>
      <x:c r="V171" s="5"/>
      <x:c r="W171" s="5"/>
      <x:c r="X171" s="5"/>
      <x:c r="Y171" s="5"/>
      <x:c r="Z171" s="5"/>
      <x:c r="AA171" s="5"/>
      <x:c r="AB171" s="5"/>
      <x:c r="AC171" s="5"/>
      <x:c r="AD171" s="5"/>
      <x:c r="AE171" s="5"/>
      <x:c r="AF171" s="5"/>
      <x:c r="AG171" s="5"/>
      <x:c r="AH171" s="5"/>
    </x:row>
    <x:row r="172" ht="12" hidden="0" customHeight="1">
      <x:c r="A172" s="2"/>
      <x:c r="B172" s="2"/>
      <x:c r="C172" s="2"/>
      <x:c r="D172" s="2"/>
      <x:c r="E172" s="2"/>
      <x:c r="F172" s="2"/>
      <x:c r="G172" s="2"/>
      <x:c r="H172" s="2"/>
      <x:c r="I172" s="7"/>
      <x:c r="J172" s="2"/>
      <x:c r="K172" s="63"/>
      <x:c r="L172" s="2"/>
      <x:c r="M172" s="2"/>
      <x:c r="N172" s="2"/>
      <x:c r="O172" s="2"/>
      <x:c r="P172" s="2"/>
      <x:c r="Q172" s="2"/>
      <x:c r="R172" s="2"/>
      <x:c r="S172" s="2"/>
      <x:c r="T172" s="2"/>
      <x:c r="U172" s="2"/>
      <x:c r="V172" s="5"/>
      <x:c r="W172" s="5"/>
      <x:c r="X172" s="5"/>
      <x:c r="Y172" s="5"/>
      <x:c r="Z172" s="5"/>
      <x:c r="AA172" s="5"/>
      <x:c r="AB172" s="5"/>
      <x:c r="AC172" s="5"/>
      <x:c r="AD172" s="5"/>
      <x:c r="AE172" s="5"/>
      <x:c r="AF172" s="5"/>
      <x:c r="AG172" s="5"/>
      <x:c r="AH172" s="5"/>
    </x:row>
    <x:row r="173" ht="12" hidden="0" customHeight="1">
      <x:c r="A173" s="2"/>
      <x:c r="B173" s="2"/>
      <x:c r="C173" s="2"/>
      <x:c r="D173" s="2"/>
      <x:c r="E173" s="2"/>
      <x:c r="F173" s="2"/>
      <x:c r="G173" s="2"/>
      <x:c r="H173" s="2"/>
      <x:c r="I173" s="7"/>
      <x:c r="J173" s="2"/>
      <x:c r="K173" s="63"/>
      <x:c r="L173" s="2"/>
      <x:c r="M173" s="2"/>
      <x:c r="N173" s="2"/>
      <x:c r="O173" s="2"/>
      <x:c r="P173" s="2"/>
      <x:c r="Q173" s="2"/>
      <x:c r="R173" s="2"/>
      <x:c r="S173" s="2"/>
      <x:c r="T173" s="2"/>
      <x:c r="U173" s="2"/>
      <x:c r="V173" s="5"/>
      <x:c r="W173" s="5"/>
      <x:c r="X173" s="5"/>
      <x:c r="Y173" s="5"/>
      <x:c r="Z173" s="5"/>
      <x:c r="AA173" s="5"/>
      <x:c r="AB173" s="5"/>
      <x:c r="AC173" s="5"/>
      <x:c r="AD173" s="5"/>
      <x:c r="AE173" s="5"/>
      <x:c r="AF173" s="5"/>
      <x:c r="AG173" s="5"/>
      <x:c r="AH173" s="5"/>
    </x:row>
    <x:row r="174" ht="12" hidden="0" customHeight="1">
      <x:c r="A174" s="2"/>
      <x:c r="B174" s="2"/>
      <x:c r="C174" s="2"/>
      <x:c r="D174" s="2"/>
      <x:c r="E174" s="2"/>
      <x:c r="F174" s="2"/>
      <x:c r="G174" s="2"/>
      <x:c r="H174" s="2"/>
      <x:c r="I174" s="7"/>
      <x:c r="J174" s="2"/>
      <x:c r="K174" s="63"/>
      <x:c r="L174" s="2"/>
      <x:c r="M174" s="2"/>
      <x:c r="N174" s="2"/>
      <x:c r="O174" s="2"/>
      <x:c r="P174" s="2"/>
      <x:c r="Q174" s="2"/>
      <x:c r="R174" s="2"/>
      <x:c r="S174" s="2"/>
      <x:c r="T174" s="2"/>
      <x:c r="U174" s="2"/>
      <x:c r="V174" s="5"/>
      <x:c r="W174" s="5"/>
      <x:c r="X174" s="5"/>
      <x:c r="Y174" s="5"/>
      <x:c r="Z174" s="5"/>
      <x:c r="AA174" s="5"/>
      <x:c r="AB174" s="5"/>
      <x:c r="AC174" s="5"/>
      <x:c r="AD174" s="5"/>
      <x:c r="AE174" s="5"/>
      <x:c r="AF174" s="5"/>
      <x:c r="AG174" s="5"/>
      <x:c r="AH174" s="5"/>
    </x:row>
    <x:row r="175" ht="12" hidden="0" customHeight="1">
      <x:c r="A175" s="2"/>
      <x:c r="B175" s="2"/>
      <x:c r="C175" s="2"/>
      <x:c r="D175" s="2"/>
      <x:c r="E175" s="2"/>
      <x:c r="F175" s="2"/>
      <x:c r="G175" s="2"/>
      <x:c r="H175" s="2"/>
      <x:c r="I175" s="7"/>
      <x:c r="J175" s="2"/>
      <x:c r="K175" s="2"/>
      <x:c r="L175" s="2"/>
      <x:c r="M175" s="2"/>
      <x:c r="N175" s="2"/>
      <x:c r="O175" s="2"/>
      <x:c r="P175" s="2"/>
      <x:c r="Q175" s="2"/>
      <x:c r="R175" s="2"/>
      <x:c r="S175" s="2"/>
      <x:c r="T175" s="2"/>
      <x:c r="U175" s="2"/>
      <x:c r="V175" s="5"/>
      <x:c r="W175" s="5"/>
      <x:c r="X175" s="5"/>
      <x:c r="Y175" s="5"/>
      <x:c r="Z175" s="5"/>
      <x:c r="AA175" s="5"/>
      <x:c r="AB175" s="5"/>
      <x:c r="AC175" s="5"/>
      <x:c r="AD175" s="5"/>
      <x:c r="AE175" s="5"/>
      <x:c r="AF175" s="5"/>
      <x:c r="AG175" s="5"/>
      <x:c r="AH175" s="5"/>
    </x:row>
    <x:row r="176" ht="12" hidden="0" customHeight="1">
      <x:c r="A176" s="2"/>
      <x:c r="B176" s="2"/>
      <x:c r="C176" s="2"/>
      <x:c r="D176" s="2"/>
      <x:c r="E176" s="2"/>
      <x:c r="F176" s="2"/>
      <x:c r="G176" s="2"/>
      <x:c r="H176" s="2"/>
      <x:c r="I176" s="7"/>
      <x:c r="J176" s="2"/>
      <x:c r="K176" s="2"/>
      <x:c r="L176" s="2"/>
      <x:c r="M176" s="2"/>
      <x:c r="N176" s="2"/>
      <x:c r="O176" s="2"/>
      <x:c r="P176" s="2"/>
      <x:c r="Q176" s="2"/>
      <x:c r="R176" s="2"/>
      <x:c r="S176" s="2"/>
      <x:c r="T176" s="2"/>
      <x:c r="U176" s="2"/>
      <x:c r="V176" s="5"/>
      <x:c r="W176" s="5"/>
      <x:c r="X176" s="5"/>
      <x:c r="Y176" s="5"/>
      <x:c r="Z176" s="5"/>
      <x:c r="AA176" s="5"/>
      <x:c r="AB176" s="5"/>
      <x:c r="AC176" s="5"/>
      <x:c r="AD176" s="5"/>
      <x:c r="AE176" s="5"/>
      <x:c r="AF176" s="5"/>
      <x:c r="AG176" s="5"/>
      <x:c r="AH176" s="5"/>
    </x:row>
    <x:row r="177" ht="12" hidden="0" customHeight="1">
      <x:c r="A177" s="2"/>
      <x:c r="B177" s="2"/>
      <x:c r="C177" s="2"/>
      <x:c r="D177" s="2"/>
      <x:c r="E177" s="2"/>
      <x:c r="F177" s="2"/>
      <x:c r="G177" s="2"/>
      <x:c r="H177" s="2"/>
      <x:c r="I177" s="7"/>
      <x:c r="J177" s="2"/>
      <x:c r="K177" s="2"/>
      <x:c r="L177" s="2"/>
      <x:c r="M177" s="2"/>
      <x:c r="N177" s="2"/>
      <x:c r="O177" s="2"/>
      <x:c r="P177" s="2"/>
      <x:c r="Q177" s="2"/>
      <x:c r="R177" s="2"/>
      <x:c r="S177" s="2"/>
      <x:c r="T177" s="2"/>
      <x:c r="U177" s="2"/>
      <x:c r="V177" s="5"/>
      <x:c r="W177" s="5"/>
      <x:c r="X177" s="5"/>
      <x:c r="Y177" s="5"/>
      <x:c r="Z177" s="5"/>
      <x:c r="AA177" s="5"/>
      <x:c r="AB177" s="5"/>
      <x:c r="AC177" s="5"/>
      <x:c r="AD177" s="5"/>
      <x:c r="AE177" s="5"/>
      <x:c r="AF177" s="5"/>
      <x:c r="AG177" s="5"/>
      <x:c r="AH177" s="5"/>
    </x:row>
    <x:row r="178" ht="12" hidden="0" customHeight="1">
      <x:c r="A178" s="2"/>
      <x:c r="B178" s="2"/>
      <x:c r="C178" s="2"/>
      <x:c r="D178" s="2"/>
      <x:c r="E178" s="2"/>
      <x:c r="F178" s="2"/>
      <x:c r="G178" s="2"/>
      <x:c r="H178" s="2"/>
      <x:c r="I178" s="7"/>
      <x:c r="J178" s="2"/>
      <x:c r="K178" s="2"/>
      <x:c r="L178" s="2"/>
      <x:c r="M178" s="2"/>
      <x:c r="N178" s="2"/>
      <x:c r="O178" s="2"/>
      <x:c r="P178" s="2"/>
      <x:c r="Q178" s="2"/>
      <x:c r="R178" s="2"/>
      <x:c r="S178" s="2"/>
      <x:c r="T178" s="2"/>
      <x:c r="U178" s="2"/>
      <x:c r="V178" s="5"/>
      <x:c r="W178" s="5"/>
      <x:c r="X178" s="5"/>
      <x:c r="Y178" s="5"/>
      <x:c r="Z178" s="5"/>
      <x:c r="AA178" s="5"/>
      <x:c r="AB178" s="5"/>
      <x:c r="AC178" s="5"/>
      <x:c r="AD178" s="5"/>
      <x:c r="AE178" s="5"/>
      <x:c r="AF178" s="5"/>
      <x:c r="AG178" s="5"/>
      <x:c r="AH178" s="5"/>
    </x:row>
    <x:row r="179" ht="12" hidden="0" customHeight="1">
      <x:c r="A179" s="2"/>
      <x:c r="B179" s="2"/>
      <x:c r="C179" s="2"/>
      <x:c r="D179" s="2"/>
      <x:c r="E179" s="2"/>
      <x:c r="F179" s="2"/>
      <x:c r="G179" s="2"/>
      <x:c r="H179" s="2"/>
      <x:c r="I179" s="7"/>
      <x:c r="J179" s="2"/>
      <x:c r="K179" s="2"/>
      <x:c r="L179" s="2"/>
      <x:c r="M179" s="2"/>
      <x:c r="N179" s="2"/>
      <x:c r="O179" s="2"/>
      <x:c r="P179" s="2"/>
      <x:c r="Q179" s="2"/>
      <x:c r="R179" s="2"/>
      <x:c r="S179" s="2"/>
      <x:c r="T179" s="2"/>
      <x:c r="U179" s="2"/>
      <x:c r="V179" s="5"/>
      <x:c r="W179" s="5"/>
      <x:c r="X179" s="5"/>
      <x:c r="Y179" s="5"/>
      <x:c r="Z179" s="5"/>
      <x:c r="AA179" s="5"/>
      <x:c r="AB179" s="5"/>
      <x:c r="AC179" s="5"/>
      <x:c r="AD179" s="5"/>
      <x:c r="AE179" s="5"/>
      <x:c r="AF179" s="5"/>
      <x:c r="AG179" s="5"/>
      <x:c r="AH179" s="5"/>
    </x:row>
    <x:row r="180" ht="12" hidden="0" customHeight="1">
      <x:c r="A180" s="2"/>
      <x:c r="B180" s="2"/>
      <x:c r="C180" s="2"/>
      <x:c r="D180" s="2"/>
      <x:c r="E180" s="2"/>
      <x:c r="F180" s="2"/>
      <x:c r="G180" s="2"/>
      <x:c r="H180" s="2"/>
      <x:c r="I180" s="7"/>
      <x:c r="J180" s="2"/>
      <x:c r="K180" s="2"/>
      <x:c r="L180" s="2"/>
      <x:c r="M180" s="2"/>
      <x:c r="N180" s="2"/>
      <x:c r="O180" s="2"/>
      <x:c r="P180" s="2"/>
      <x:c r="Q180" s="2"/>
      <x:c r="R180" s="2"/>
      <x:c r="S180" s="2"/>
      <x:c r="T180" s="2"/>
      <x:c r="U180" s="2"/>
      <x:c r="V180" s="5"/>
      <x:c r="W180" s="5"/>
      <x:c r="X180" s="5"/>
      <x:c r="Y180" s="5"/>
      <x:c r="Z180" s="5"/>
      <x:c r="AA180" s="5"/>
      <x:c r="AB180" s="5"/>
      <x:c r="AC180" s="5"/>
      <x:c r="AD180" s="5"/>
      <x:c r="AE180" s="5"/>
      <x:c r="AF180" s="5"/>
      <x:c r="AG180" s="5"/>
      <x:c r="AH180" s="5"/>
    </x:row>
    <x:row r="181" ht="12" hidden="0" customHeight="1">
      <x:c r="A181" s="2"/>
      <x:c r="B181" s="2"/>
      <x:c r="C181" s="2"/>
      <x:c r="D181" s="2"/>
      <x:c r="E181" s="2"/>
      <x:c r="F181" s="2"/>
      <x:c r="G181" s="2"/>
      <x:c r="H181" s="2"/>
      <x:c r="I181" s="7"/>
      <x:c r="J181" s="2"/>
      <x:c r="K181" s="2"/>
      <x:c r="L181" s="2"/>
      <x:c r="M181" s="2"/>
      <x:c r="N181" s="2"/>
      <x:c r="O181" s="2"/>
      <x:c r="P181" s="2"/>
      <x:c r="Q181" s="2"/>
      <x:c r="R181" s="2"/>
      <x:c r="S181" s="2"/>
      <x:c r="T181" s="2"/>
      <x:c r="U181" s="2"/>
      <x:c r="V181" s="5"/>
      <x:c r="W181" s="5"/>
      <x:c r="X181" s="5"/>
      <x:c r="Y181" s="5"/>
      <x:c r="Z181" s="5"/>
      <x:c r="AA181" s="5"/>
      <x:c r="AB181" s="5"/>
      <x:c r="AC181" s="5"/>
      <x:c r="AD181" s="5"/>
      <x:c r="AE181" s="5"/>
      <x:c r="AF181" s="5"/>
      <x:c r="AG181" s="5"/>
      <x:c r="AH181" s="5"/>
    </x:row>
    <x:row r="182" ht="12" hidden="0" customHeight="1">
      <x:c r="A182" s="2"/>
      <x:c r="B182" s="2"/>
      <x:c r="C182" s="2"/>
      <x:c r="D182" s="2"/>
      <x:c r="E182" s="2"/>
      <x:c r="F182" s="2"/>
      <x:c r="G182" s="5"/>
      <x:c r="H182" s="2"/>
      <x:c r="I182" s="7"/>
      <x:c r="J182" s="2"/>
      <x:c r="K182" s="2"/>
      <x:c r="L182" s="2"/>
      <x:c r="M182" s="2"/>
      <x:c r="N182" s="2"/>
      <x:c r="O182" s="2"/>
      <x:c r="P182" s="2"/>
      <x:c r="Q182" s="2"/>
      <x:c r="R182" s="2"/>
      <x:c r="S182" s="2"/>
      <x:c r="T182" s="2"/>
      <x:c r="U182" s="2"/>
      <x:c r="V182" s="5"/>
      <x:c r="W182" s="5"/>
      <x:c r="X182" s="5"/>
      <x:c r="Y182" s="5"/>
      <x:c r="Z182" s="5"/>
      <x:c r="AA182" s="5"/>
      <x:c r="AB182" s="5"/>
      <x:c r="AC182" s="5"/>
      <x:c r="AD182" s="5"/>
      <x:c r="AE182" s="5"/>
      <x:c r="AF182" s="5"/>
      <x:c r="AG182" s="5"/>
      <x:c r="AH182" s="5"/>
    </x:row>
    <x:row r="183" ht="12" hidden="0" customHeight="1">
      <x:c r="A183" s="2"/>
      <x:c r="B183" s="2"/>
      <x:c r="C183" s="2"/>
      <x:c r="D183" s="2"/>
      <x:c r="E183" s="2"/>
      <x:c r="F183" s="2"/>
      <x:c r="G183" s="5"/>
      <x:c r="H183" s="2"/>
      <x:c r="I183" s="7"/>
      <x:c r="J183" s="2"/>
      <x:c r="K183" s="2"/>
      <x:c r="L183" s="2"/>
      <x:c r="M183" s="2"/>
      <x:c r="N183" s="2"/>
      <x:c r="O183" s="2"/>
      <x:c r="P183" s="2"/>
      <x:c r="Q183" s="2"/>
      <x:c r="R183" s="2"/>
      <x:c r="S183" s="2"/>
      <x:c r="T183" s="2"/>
      <x:c r="U183" s="2"/>
      <x:c r="V183" s="5"/>
      <x:c r="W183" s="5"/>
      <x:c r="X183" s="5"/>
      <x:c r="Y183" s="5"/>
      <x:c r="Z183" s="5"/>
      <x:c r="AA183" s="5"/>
      <x:c r="AB183" s="5"/>
      <x:c r="AC183" s="5"/>
      <x:c r="AD183" s="5"/>
      <x:c r="AE183" s="5"/>
      <x:c r="AF183" s="5"/>
      <x:c r="AG183" s="5"/>
      <x:c r="AH183" s="5"/>
    </x:row>
    <x:row r="184" ht="12" hidden="0" customHeight="1">
      <x:c r="A184" s="2"/>
      <x:c r="B184" s="2"/>
      <x:c r="C184" s="2"/>
      <x:c r="D184" s="2"/>
      <x:c r="E184" s="2"/>
      <x:c r="F184" s="2"/>
      <x:c r="G184" s="5"/>
      <x:c r="H184" s="2"/>
      <x:c r="I184" s="7"/>
      <x:c r="J184" s="2"/>
      <x:c r="K184" s="2"/>
      <x:c r="L184" s="2"/>
      <x:c r="M184" s="2"/>
      <x:c r="N184" s="2"/>
      <x:c r="O184" s="2"/>
      <x:c r="P184" s="2"/>
      <x:c r="Q184" s="2"/>
      <x:c r="R184" s="2"/>
      <x:c r="S184" s="2"/>
      <x:c r="T184" s="2"/>
      <x:c r="U184" s="2"/>
      <x:c r="V184" s="5"/>
      <x:c r="W184" s="5"/>
      <x:c r="X184" s="5"/>
      <x:c r="Y184" s="5"/>
      <x:c r="Z184" s="5"/>
      <x:c r="AA184" s="5"/>
      <x:c r="AB184" s="5"/>
      <x:c r="AC184" s="5"/>
      <x:c r="AD184" s="5"/>
      <x:c r="AE184" s="5"/>
      <x:c r="AF184" s="5"/>
      <x:c r="AG184" s="5"/>
      <x:c r="AH184" s="5"/>
    </x:row>
    <x:row r="185" ht="12" hidden="0" customHeight="1">
      <x:c r="A185" s="2"/>
      <x:c r="B185" s="2"/>
      <x:c r="C185" s="2"/>
      <x:c r="D185" s="2"/>
      <x:c r="E185" s="2"/>
      <x:c r="F185" s="2"/>
      <x:c r="G185" s="5"/>
      <x:c r="H185" s="2"/>
      <x:c r="I185" s="7"/>
      <x:c r="J185" s="2"/>
      <x:c r="K185" s="2"/>
      <x:c r="L185" s="2"/>
      <x:c r="M185" s="2"/>
      <x:c r="N185" s="2"/>
      <x:c r="O185" s="2"/>
      <x:c r="P185" s="2"/>
      <x:c r="Q185" s="2"/>
      <x:c r="R185" s="2"/>
      <x:c r="S185" s="2"/>
      <x:c r="T185" s="2"/>
      <x:c r="U185" s="2"/>
      <x:c r="V185" s="5"/>
      <x:c r="W185" s="5"/>
      <x:c r="X185" s="5"/>
      <x:c r="Y185" s="5"/>
      <x:c r="Z185" s="5"/>
      <x:c r="AA185" s="5"/>
      <x:c r="AB185" s="5"/>
      <x:c r="AC185" s="5"/>
      <x:c r="AD185" s="5"/>
      <x:c r="AE185" s="5"/>
      <x:c r="AF185" s="5"/>
      <x:c r="AG185" s="5"/>
      <x:c r="AH185" s="5"/>
    </x:row>
    <x:row r="186" ht="12" hidden="0" customHeight="1">
      <x:c r="A186" s="2"/>
      <x:c r="B186" s="2"/>
      <x:c r="C186" s="2"/>
      <x:c r="D186" s="2"/>
      <x:c r="E186" s="2"/>
      <x:c r="F186" s="2"/>
      <x:c r="G186" s="5"/>
      <x:c r="H186" s="2"/>
      <x:c r="I186" s="7"/>
      <x:c r="J186" s="2"/>
      <x:c r="K186" s="2"/>
      <x:c r="L186" s="2"/>
      <x:c r="M186" s="2"/>
      <x:c r="N186" s="2"/>
      <x:c r="O186" s="2"/>
      <x:c r="P186" s="2"/>
      <x:c r="Q186" s="2"/>
      <x:c r="R186" s="2"/>
      <x:c r="S186" s="2"/>
      <x:c r="T186" s="2"/>
      <x:c r="U186" s="2"/>
      <x:c r="V186" s="5"/>
      <x:c r="W186" s="5"/>
      <x:c r="X186" s="5"/>
      <x:c r="Y186" s="5"/>
      <x:c r="Z186" s="5"/>
      <x:c r="AA186" s="5"/>
      <x:c r="AB186" s="5"/>
      <x:c r="AC186" s="5"/>
      <x:c r="AD186" s="5"/>
      <x:c r="AE186" s="5"/>
      <x:c r="AF186" s="5"/>
      <x:c r="AG186" s="5"/>
      <x:c r="AH186" s="5"/>
    </x:row>
    <x:row r="187" ht="12" hidden="0" customHeight="1">
      <x:c r="A187" s="2"/>
      <x:c r="B187" s="2"/>
      <x:c r="C187" s="2"/>
      <x:c r="D187" s="2"/>
      <x:c r="E187" s="2"/>
      <x:c r="F187" s="2"/>
      <x:c r="G187" s="5"/>
      <x:c r="H187" s="2"/>
      <x:c r="I187" s="7"/>
      <x:c r="J187" s="2"/>
      <x:c r="K187" s="2"/>
      <x:c r="L187" s="2"/>
      <x:c r="M187" s="2"/>
      <x:c r="N187" s="2"/>
      <x:c r="O187" s="2"/>
      <x:c r="P187" s="2"/>
      <x:c r="Q187" s="2"/>
      <x:c r="R187" s="2"/>
      <x:c r="S187" s="2"/>
      <x:c r="T187" s="2"/>
      <x:c r="U187" s="2"/>
      <x:c r="V187" s="5"/>
      <x:c r="W187" s="5"/>
      <x:c r="X187" s="5"/>
      <x:c r="Y187" s="5"/>
      <x:c r="Z187" s="5"/>
      <x:c r="AA187" s="5"/>
      <x:c r="AB187" s="5"/>
      <x:c r="AC187" s="5"/>
      <x:c r="AD187" s="5"/>
      <x:c r="AE187" s="5"/>
      <x:c r="AF187" s="5"/>
      <x:c r="AG187" s="5"/>
      <x:c r="AH187" s="5"/>
    </x:row>
    <x:row r="188" ht="12" hidden="0" customHeight="1">
      <x:c r="A188" s="2"/>
      <x:c r="B188" s="2"/>
      <x:c r="C188" s="2"/>
      <x:c r="D188" s="2"/>
      <x:c r="E188" s="2"/>
      <x:c r="F188" s="2"/>
      <x:c r="G188" s="5"/>
      <x:c r="H188" s="2"/>
      <x:c r="I188" s="7"/>
      <x:c r="J188" s="2"/>
      <x:c r="K188" s="2"/>
      <x:c r="L188" s="2"/>
      <x:c r="M188" s="2"/>
      <x:c r="N188" s="2"/>
      <x:c r="O188" s="2"/>
      <x:c r="P188" s="2"/>
      <x:c r="Q188" s="2"/>
      <x:c r="R188" s="2"/>
      <x:c r="S188" s="2"/>
      <x:c r="T188" s="2"/>
      <x:c r="U188" s="2"/>
      <x:c r="V188" s="5"/>
      <x:c r="W188" s="5"/>
      <x:c r="X188" s="5"/>
      <x:c r="Y188" s="5"/>
      <x:c r="Z188" s="5"/>
      <x:c r="AA188" s="5"/>
      <x:c r="AB188" s="5"/>
      <x:c r="AC188" s="5"/>
      <x:c r="AD188" s="5"/>
      <x:c r="AE188" s="5"/>
      <x:c r="AF188" s="5"/>
      <x:c r="AG188" s="5"/>
      <x:c r="AH188" s="5"/>
    </x:row>
    <x:row r="189" ht="12" hidden="0" customHeight="1">
      <x:c r="A189" s="2"/>
      <x:c r="B189" s="2"/>
      <x:c r="C189" s="2"/>
      <x:c r="D189" s="2"/>
      <x:c r="E189" s="2"/>
      <x:c r="F189" s="2"/>
      <x:c r="G189" s="5"/>
      <x:c r="H189" s="2"/>
      <x:c r="I189" s="7"/>
      <x:c r="J189" s="2"/>
      <x:c r="K189" s="2"/>
      <x:c r="L189" s="2"/>
      <x:c r="M189" s="2"/>
      <x:c r="N189" s="2"/>
      <x:c r="O189" s="2"/>
      <x:c r="P189" s="2"/>
      <x:c r="Q189" s="2"/>
      <x:c r="R189" s="2"/>
      <x:c r="S189" s="2"/>
      <x:c r="T189" s="2"/>
      <x:c r="U189" s="2"/>
      <x:c r="V189" s="5"/>
      <x:c r="W189" s="5"/>
      <x:c r="X189" s="5"/>
      <x:c r="Y189" s="5"/>
      <x:c r="Z189" s="5"/>
      <x:c r="AA189" s="5"/>
      <x:c r="AB189" s="5"/>
      <x:c r="AC189" s="5"/>
      <x:c r="AD189" s="5"/>
      <x:c r="AE189" s="5"/>
      <x:c r="AF189" s="5"/>
      <x:c r="AG189" s="5"/>
      <x:c r="AH189" s="5"/>
    </x:row>
    <x:row r="190" ht="12" hidden="0" customHeight="1">
      <x:c r="A190" s="2"/>
      <x:c r="B190" s="2"/>
      <x:c r="C190" s="2"/>
      <x:c r="D190" s="2"/>
      <x:c r="E190" s="2"/>
      <x:c r="F190" s="2"/>
      <x:c r="G190" s="5"/>
      <x:c r="H190" s="2"/>
      <x:c r="I190" s="7"/>
      <x:c r="J190" s="2"/>
      <x:c r="K190" s="2"/>
      <x:c r="L190" s="2"/>
      <x:c r="M190" s="2"/>
      <x:c r="N190" s="2"/>
      <x:c r="O190" s="2"/>
      <x:c r="P190" s="2"/>
      <x:c r="Q190" s="2"/>
      <x:c r="R190" s="2"/>
      <x:c r="S190" s="2"/>
      <x:c r="T190" s="2"/>
      <x:c r="U190" s="2"/>
      <x:c r="V190" s="5"/>
      <x:c r="W190" s="5"/>
      <x:c r="X190" s="5"/>
      <x:c r="Y190" s="5"/>
      <x:c r="Z190" s="5"/>
      <x:c r="AA190" s="5"/>
      <x:c r="AB190" s="5"/>
      <x:c r="AC190" s="5"/>
      <x:c r="AD190" s="5"/>
      <x:c r="AE190" s="5"/>
      <x:c r="AF190" s="5"/>
      <x:c r="AG190" s="5"/>
      <x:c r="AH190" s="5"/>
    </x:row>
    <x:row r="191" ht="12" hidden="0" customHeight="1">
      <x:c r="A191" s="2"/>
      <x:c r="B191" s="2"/>
      <x:c r="C191" s="2"/>
      <x:c r="D191" s="2"/>
      <x:c r="E191" s="2"/>
      <x:c r="F191" s="2"/>
      <x:c r="G191" s="5"/>
      <x:c r="H191" s="2"/>
      <x:c r="I191" s="7"/>
      <x:c r="J191" s="2"/>
      <x:c r="K191" s="2"/>
      <x:c r="L191" s="2"/>
      <x:c r="M191" s="2"/>
      <x:c r="N191" s="2"/>
      <x:c r="O191" s="2"/>
      <x:c r="P191" s="2"/>
      <x:c r="Q191" s="2"/>
      <x:c r="R191" s="2"/>
      <x:c r="S191" s="2"/>
      <x:c r="T191" s="2"/>
      <x:c r="U191" s="2"/>
      <x:c r="V191" s="5"/>
      <x:c r="W191" s="5"/>
      <x:c r="X191" s="5"/>
      <x:c r="Y191" s="5"/>
      <x:c r="Z191" s="5"/>
      <x:c r="AA191" s="5"/>
      <x:c r="AB191" s="5"/>
      <x:c r="AC191" s="5"/>
      <x:c r="AD191" s="5"/>
      <x:c r="AE191" s="5"/>
      <x:c r="AF191" s="5"/>
      <x:c r="AG191" s="5"/>
      <x:c r="AH191" s="5"/>
    </x:row>
    <x:row r="192" ht="12" hidden="0" customHeight="1">
      <x:c r="A192" s="2"/>
      <x:c r="B192" s="2"/>
      <x:c r="C192" s="2"/>
      <x:c r="D192" s="2"/>
      <x:c r="E192" s="2"/>
      <x:c r="F192" s="2"/>
      <x:c r="G192" s="2"/>
      <x:c r="H192" s="2"/>
      <x:c r="I192" s="7"/>
      <x:c r="J192" s="2"/>
      <x:c r="K192" s="2"/>
      <x:c r="L192" s="2"/>
      <x:c r="M192" s="2"/>
      <x:c r="N192" s="2"/>
      <x:c r="O192" s="2"/>
      <x:c r="P192" s="2"/>
      <x:c r="Q192" s="2"/>
      <x:c r="R192" s="2"/>
      <x:c r="S192" s="2"/>
      <x:c r="T192" s="2"/>
      <x:c r="U192" s="2"/>
      <x:c r="V192" s="5"/>
      <x:c r="W192" s="5"/>
      <x:c r="X192" s="5"/>
      <x:c r="Y192" s="5"/>
      <x:c r="Z192" s="5"/>
      <x:c r="AA192" s="5"/>
      <x:c r="AB192" s="5"/>
      <x:c r="AC192" s="5"/>
      <x:c r="AD192" s="5"/>
      <x:c r="AE192" s="5"/>
      <x:c r="AF192" s="5"/>
      <x:c r="AG192" s="5"/>
      <x:c r="AH192" s="5"/>
    </x:row>
    <x:row r="193" ht="12" hidden="0" customHeight="1">
      <x:c r="A193" s="2"/>
      <x:c r="B193" s="2"/>
      <x:c r="C193" s="2"/>
      <x:c r="D193" s="2"/>
      <x:c r="E193" s="2"/>
      <x:c r="F193" s="2"/>
      <x:c r="G193" s="2"/>
      <x:c r="H193" s="2"/>
      <x:c r="I193" s="7"/>
      <x:c r="J193" s="2"/>
      <x:c r="K193" s="2"/>
      <x:c r="L193" s="2"/>
      <x:c r="M193" s="2"/>
      <x:c r="N193" s="2"/>
      <x:c r="O193" s="2"/>
      <x:c r="P193" s="2"/>
      <x:c r="Q193" s="2"/>
      <x:c r="R193" s="2"/>
      <x:c r="S193" s="2"/>
      <x:c r="T193" s="2"/>
      <x:c r="U193" s="2"/>
      <x:c r="V193" s="5"/>
      <x:c r="W193" s="5"/>
      <x:c r="X193" s="5"/>
      <x:c r="Y193" s="5"/>
      <x:c r="Z193" s="5"/>
      <x:c r="AA193" s="5"/>
      <x:c r="AB193" s="5"/>
      <x:c r="AC193" s="5"/>
      <x:c r="AD193" s="5"/>
      <x:c r="AE193" s="5"/>
      <x:c r="AF193" s="5"/>
      <x:c r="AG193" s="5"/>
      <x:c r="AH193" s="5"/>
    </x:row>
    <x:row r="194" ht="12" hidden="0" customHeight="1">
      <x:c r="A194" s="2"/>
      <x:c r="B194" s="2"/>
      <x:c r="C194" s="2"/>
      <x:c r="D194" s="2"/>
      <x:c r="E194" s="2"/>
      <x:c r="F194" s="2"/>
      <x:c r="G194" s="2"/>
      <x:c r="H194" s="2"/>
      <x:c r="I194" s="7"/>
      <x:c r="J194" s="2"/>
      <x:c r="K194" s="2"/>
      <x:c r="L194" s="2"/>
      <x:c r="M194" s="2"/>
      <x:c r="N194" s="2"/>
      <x:c r="O194" s="2"/>
      <x:c r="P194" s="2"/>
      <x:c r="Q194" s="2"/>
      <x:c r="R194" s="2"/>
      <x:c r="S194" s="2"/>
      <x:c r="T194" s="2"/>
      <x:c r="U194" s="2"/>
      <x:c r="V194" s="5"/>
      <x:c r="W194" s="5"/>
      <x:c r="X194" s="5"/>
      <x:c r="Y194" s="5"/>
      <x:c r="Z194" s="5"/>
      <x:c r="AA194" s="5"/>
      <x:c r="AB194" s="5"/>
      <x:c r="AC194" s="5"/>
      <x:c r="AD194" s="5"/>
      <x:c r="AE194" s="5"/>
      <x:c r="AF194" s="5"/>
      <x:c r="AG194" s="5"/>
      <x:c r="AH194" s="5"/>
    </x:row>
    <x:row r="195" ht="12" hidden="0" customHeight="1">
      <x:c r="A195" s="2"/>
      <x:c r="B195" s="2"/>
      <x:c r="C195" s="2"/>
      <x:c r="D195" s="2"/>
      <x:c r="E195" s="2"/>
      <x:c r="F195" s="2"/>
      <x:c r="G195" s="2"/>
      <x:c r="H195" s="2"/>
      <x:c r="I195" s="7"/>
      <x:c r="J195" s="2"/>
      <x:c r="K195" s="2"/>
      <x:c r="L195" s="2"/>
      <x:c r="M195" s="2"/>
      <x:c r="N195" s="2"/>
      <x:c r="O195" s="2"/>
      <x:c r="P195" s="2"/>
      <x:c r="Q195" s="2"/>
      <x:c r="R195" s="2"/>
      <x:c r="S195" s="2"/>
      <x:c r="T195" s="2"/>
      <x:c r="U195" s="2"/>
      <x:c r="V195" s="5"/>
      <x:c r="W195" s="5"/>
      <x:c r="X195" s="5"/>
      <x:c r="Y195" s="5"/>
      <x:c r="Z195" s="5"/>
      <x:c r="AA195" s="5"/>
      <x:c r="AB195" s="5"/>
      <x:c r="AC195" s="5"/>
      <x:c r="AD195" s="5"/>
      <x:c r="AE195" s="5"/>
      <x:c r="AF195" s="5"/>
      <x:c r="AG195" s="5"/>
      <x:c r="AH195" s="5"/>
    </x:row>
    <x:row r="196" ht="12" hidden="0" customHeight="1">
      <x:c r="A196" s="2"/>
      <x:c r="B196" s="2"/>
      <x:c r="C196" s="2"/>
      <x:c r="D196" s="2"/>
      <x:c r="E196" s="2"/>
      <x:c r="F196" s="2"/>
      <x:c r="G196" s="2"/>
      <x:c r="H196" s="2"/>
      <x:c r="I196" s="7"/>
      <x:c r="J196" s="2"/>
      <x:c r="K196" s="2"/>
      <x:c r="L196" s="2"/>
      <x:c r="M196" s="2"/>
      <x:c r="N196" s="2"/>
      <x:c r="O196" s="2"/>
      <x:c r="P196" s="2"/>
      <x:c r="Q196" s="2"/>
      <x:c r="R196" s="2"/>
      <x:c r="S196" s="2"/>
      <x:c r="T196" s="2"/>
      <x:c r="U196" s="2"/>
      <x:c r="V196" s="5"/>
      <x:c r="W196" s="5"/>
      <x:c r="X196" s="5"/>
      <x:c r="Y196" s="5"/>
      <x:c r="Z196" s="5"/>
      <x:c r="AA196" s="5"/>
      <x:c r="AB196" s="5"/>
      <x:c r="AC196" s="5"/>
      <x:c r="AD196" s="5"/>
      <x:c r="AE196" s="5"/>
      <x:c r="AF196" s="5"/>
      <x:c r="AG196" s="5"/>
      <x:c r="AH196" s="5"/>
    </x:row>
    <x:row r="197" ht="12" hidden="0" customHeight="1">
      <x:c r="A197" s="2"/>
      <x:c r="B197" s="2"/>
      <x:c r="C197" s="2"/>
      <x:c r="D197" s="2"/>
      <x:c r="E197" s="2"/>
      <x:c r="F197" s="2"/>
      <x:c r="G197" s="2"/>
      <x:c r="H197" s="2"/>
      <x:c r="I197" s="7"/>
      <x:c r="J197" s="2"/>
      <x:c r="K197" s="2"/>
      <x:c r="L197" s="2"/>
      <x:c r="M197" s="2"/>
      <x:c r="N197" s="2"/>
      <x:c r="O197" s="2"/>
      <x:c r="P197" s="2"/>
      <x:c r="Q197" s="2"/>
      <x:c r="R197" s="2"/>
      <x:c r="S197" s="2"/>
      <x:c r="T197" s="2"/>
      <x:c r="U197" s="2"/>
      <x:c r="V197" s="5"/>
      <x:c r="W197" s="5"/>
      <x:c r="X197" s="5"/>
      <x:c r="Y197" s="5"/>
      <x:c r="Z197" s="5"/>
      <x:c r="AA197" s="5"/>
      <x:c r="AB197" s="5"/>
      <x:c r="AC197" s="5"/>
      <x:c r="AD197" s="5"/>
      <x:c r="AE197" s="5"/>
      <x:c r="AF197" s="5"/>
      <x:c r="AG197" s="5"/>
      <x:c r="AH197" s="5"/>
    </x:row>
    <x:row r="198" ht="12" hidden="0" customHeight="1">
      <x:c r="A198" s="2"/>
      <x:c r="B198" s="2"/>
      <x:c r="C198" s="2"/>
      <x:c r="D198" s="2"/>
      <x:c r="E198" s="2"/>
      <x:c r="F198" s="2"/>
      <x:c r="G198" s="2"/>
      <x:c r="H198" s="2"/>
      <x:c r="I198" s="7"/>
      <x:c r="J198" s="2"/>
      <x:c r="K198" s="2"/>
      <x:c r="L198" s="2"/>
      <x:c r="M198" s="2"/>
      <x:c r="N198" s="2"/>
      <x:c r="O198" s="2"/>
      <x:c r="P198" s="2"/>
      <x:c r="Q198" s="2"/>
      <x:c r="R198" s="2"/>
      <x:c r="S198" s="2"/>
      <x:c r="T198" s="2"/>
      <x:c r="U198" s="2"/>
      <x:c r="V198" s="5"/>
      <x:c r="W198" s="5"/>
      <x:c r="X198" s="5"/>
      <x:c r="Y198" s="5"/>
      <x:c r="Z198" s="5"/>
      <x:c r="AA198" s="5"/>
      <x:c r="AB198" s="5"/>
      <x:c r="AC198" s="5"/>
      <x:c r="AD198" s="5"/>
      <x:c r="AE198" s="5"/>
      <x:c r="AF198" s="5"/>
      <x:c r="AG198" s="5"/>
      <x:c r="AH198" s="5"/>
    </x:row>
    <x:row r="199" ht="12" hidden="0" customHeight="1">
      <x:c r="A199" s="2"/>
      <x:c r="B199" s="2"/>
      <x:c r="C199" s="2"/>
      <x:c r="D199" s="2"/>
      <x:c r="E199" s="2"/>
      <x:c r="F199" s="2"/>
      <x:c r="G199" s="2"/>
      <x:c r="H199" s="2"/>
      <x:c r="I199" s="7"/>
      <x:c r="J199" s="2"/>
      <x:c r="K199" s="2"/>
      <x:c r="L199" s="2"/>
      <x:c r="M199" s="2"/>
      <x:c r="N199" s="2"/>
      <x:c r="O199" s="2"/>
      <x:c r="P199" s="2"/>
      <x:c r="Q199" s="2"/>
      <x:c r="R199" s="2"/>
      <x:c r="S199" s="2"/>
      <x:c r="T199" s="2"/>
      <x:c r="U199" s="2"/>
      <x:c r="V199" s="5"/>
      <x:c r="W199" s="5"/>
      <x:c r="X199" s="5"/>
      <x:c r="Y199" s="5"/>
      <x:c r="Z199" s="5"/>
      <x:c r="AA199" s="5"/>
      <x:c r="AB199" s="5"/>
      <x:c r="AC199" s="5"/>
      <x:c r="AD199" s="5"/>
      <x:c r="AE199" s="5"/>
      <x:c r="AF199" s="5"/>
      <x:c r="AG199" s="5"/>
      <x:c r="AH199" s="5"/>
    </x:row>
    <x:row r="200" ht="12" hidden="0" customHeight="1">
      <x:c r="A200" s="2"/>
      <x:c r="B200" s="2"/>
      <x:c r="C200" s="2"/>
      <x:c r="D200" s="2"/>
      <x:c r="E200" s="2"/>
      <x:c r="F200" s="2"/>
      <x:c r="G200" s="2"/>
      <x:c r="H200" s="2"/>
      <x:c r="I200" s="7"/>
      <x:c r="J200" s="2"/>
      <x:c r="K200" s="2"/>
      <x:c r="L200" s="2"/>
      <x:c r="M200" s="2"/>
      <x:c r="N200" s="2"/>
      <x:c r="O200" s="2"/>
      <x:c r="P200" s="2"/>
      <x:c r="Q200" s="2"/>
      <x:c r="R200" s="2"/>
      <x:c r="S200" s="2"/>
      <x:c r="T200" s="2"/>
      <x:c r="U200" s="2"/>
      <x:c r="V200" s="5"/>
      <x:c r="W200" s="5"/>
      <x:c r="X200" s="5"/>
      <x:c r="Y200" s="5"/>
      <x:c r="Z200" s="5"/>
      <x:c r="AA200" s="5"/>
      <x:c r="AB200" s="5"/>
      <x:c r="AC200" s="5"/>
      <x:c r="AD200" s="5"/>
      <x:c r="AE200" s="5"/>
      <x:c r="AF200" s="5"/>
      <x:c r="AG200" s="5"/>
      <x:c r="AH200" s="5"/>
    </x:row>
    <x:row r="201" ht="12" hidden="0" customHeight="1">
      <x:c r="A201" s="2"/>
      <x:c r="B201" s="2"/>
      <x:c r="C201" s="2"/>
      <x:c r="D201" s="2"/>
      <x:c r="E201" s="2"/>
      <x:c r="F201" s="2"/>
      <x:c r="G201" s="2"/>
      <x:c r="H201" s="2"/>
      <x:c r="I201" s="7"/>
      <x:c r="J201" s="2"/>
      <x:c r="K201" s="2"/>
      <x:c r="L201" s="2"/>
      <x:c r="M201" s="2"/>
      <x:c r="N201" s="2"/>
      <x:c r="O201" s="2"/>
      <x:c r="P201" s="2"/>
      <x:c r="Q201" s="2"/>
      <x:c r="R201" s="2"/>
      <x:c r="S201" s="2"/>
      <x:c r="T201" s="2"/>
      <x:c r="U201" s="2"/>
      <x:c r="V201" s="5"/>
      <x:c r="W201" s="5"/>
      <x:c r="X201" s="5"/>
      <x:c r="Y201" s="5"/>
      <x:c r="Z201" s="5"/>
      <x:c r="AA201" s="5"/>
      <x:c r="AB201" s="5"/>
      <x:c r="AC201" s="5"/>
      <x:c r="AD201" s="5"/>
      <x:c r="AE201" s="5"/>
      <x:c r="AF201" s="5"/>
      <x:c r="AG201" s="5"/>
      <x:c r="AH201" s="5"/>
    </x:row>
    <x:row r="202" ht="12" hidden="0" customHeight="1">
      <x:c r="A202" s="2"/>
      <x:c r="B202" s="2"/>
      <x:c r="C202" s="2"/>
      <x:c r="D202" s="2"/>
      <x:c r="E202" s="2"/>
      <x:c r="F202" s="2"/>
      <x:c r="G202" s="2"/>
      <x:c r="H202" s="2"/>
      <x:c r="I202" s="7"/>
      <x:c r="J202" s="2"/>
      <x:c r="K202" s="2"/>
      <x:c r="L202" s="2"/>
      <x:c r="M202" s="2"/>
      <x:c r="N202" s="2"/>
      <x:c r="O202" s="2"/>
      <x:c r="P202" s="2"/>
      <x:c r="Q202" s="2"/>
      <x:c r="R202" s="2"/>
      <x:c r="S202" s="2"/>
      <x:c r="T202" s="2"/>
      <x:c r="U202" s="2"/>
      <x:c r="V202" s="5"/>
      <x:c r="W202" s="5"/>
      <x:c r="X202" s="5"/>
      <x:c r="Y202" s="5"/>
      <x:c r="Z202" s="5"/>
      <x:c r="AA202" s="5"/>
      <x:c r="AB202" s="5"/>
      <x:c r="AC202" s="5"/>
      <x:c r="AD202" s="5"/>
      <x:c r="AE202" s="5"/>
      <x:c r="AF202" s="5"/>
      <x:c r="AG202" s="5"/>
      <x:c r="AH202" s="5"/>
    </x:row>
    <x:row r="203" ht="12" hidden="0" customHeight="1">
      <x:c r="A203" s="2"/>
      <x:c r="B203" s="2"/>
      <x:c r="C203" s="2"/>
      <x:c r="D203" s="2"/>
      <x:c r="E203" s="2"/>
      <x:c r="F203" s="2"/>
      <x:c r="G203" s="2"/>
      <x:c r="H203" s="2"/>
      <x:c r="I203" s="7"/>
      <x:c r="J203" s="2"/>
      <x:c r="K203" s="2"/>
      <x:c r="L203" s="2"/>
      <x:c r="M203" s="2"/>
      <x:c r="N203" s="2"/>
      <x:c r="O203" s="2"/>
      <x:c r="P203" s="2"/>
      <x:c r="Q203" s="2"/>
      <x:c r="R203" s="2"/>
      <x:c r="S203" s="2"/>
      <x:c r="T203" s="2"/>
      <x:c r="U203" s="2"/>
      <x:c r="V203" s="5"/>
      <x:c r="W203" s="5"/>
      <x:c r="X203" s="5"/>
      <x:c r="Y203" s="5"/>
      <x:c r="Z203" s="5"/>
      <x:c r="AA203" s="5"/>
      <x:c r="AB203" s="5"/>
      <x:c r="AC203" s="5"/>
      <x:c r="AD203" s="5"/>
      <x:c r="AE203" s="5"/>
      <x:c r="AF203" s="5"/>
      <x:c r="AG203" s="5"/>
      <x:c r="AH203" s="5"/>
    </x:row>
    <x:row r="204" ht="12" hidden="0" customHeight="1">
      <x:c r="A204" s="2"/>
      <x:c r="B204" s="2"/>
      <x:c r="C204" s="2"/>
      <x:c r="D204" s="2"/>
      <x:c r="E204" s="2"/>
      <x:c r="F204" s="2"/>
      <x:c r="G204" s="2"/>
      <x:c r="H204" s="2"/>
      <x:c r="I204" s="7"/>
      <x:c r="J204" s="2"/>
      <x:c r="K204" s="2"/>
      <x:c r="L204" s="2"/>
      <x:c r="M204" s="2"/>
      <x:c r="N204" s="2"/>
      <x:c r="O204" s="2"/>
      <x:c r="P204" s="2"/>
      <x:c r="Q204" s="2"/>
      <x:c r="R204" s="2"/>
      <x:c r="S204" s="2"/>
      <x:c r="T204" s="2"/>
      <x:c r="U204" s="2"/>
      <x:c r="V204" s="5"/>
      <x:c r="W204" s="5"/>
      <x:c r="X204" s="5"/>
      <x:c r="Y204" s="5"/>
      <x:c r="Z204" s="5"/>
      <x:c r="AA204" s="5"/>
      <x:c r="AB204" s="5"/>
      <x:c r="AC204" s="5"/>
      <x:c r="AD204" s="5"/>
      <x:c r="AE204" s="5"/>
      <x:c r="AF204" s="5"/>
      <x:c r="AG204" s="5"/>
      <x:c r="AH204" s="5"/>
    </x:row>
    <x:row r="205" ht="12" hidden="0" customHeight="1">
      <x:c r="A205" s="2"/>
      <x:c r="B205" s="2"/>
      <x:c r="C205" s="2"/>
      <x:c r="D205" s="2"/>
      <x:c r="E205" s="2"/>
      <x:c r="F205" s="2"/>
      <x:c r="G205" s="2"/>
      <x:c r="H205" s="2"/>
      <x:c r="I205" s="7"/>
      <x:c r="J205" s="2"/>
      <x:c r="K205" s="2"/>
      <x:c r="L205" s="2"/>
      <x:c r="M205" s="2"/>
      <x:c r="N205" s="2"/>
      <x:c r="O205" s="2"/>
      <x:c r="P205" s="2"/>
      <x:c r="Q205" s="2"/>
      <x:c r="R205" s="2"/>
      <x:c r="S205" s="2"/>
      <x:c r="T205" s="2"/>
      <x:c r="U205" s="2"/>
      <x:c r="V205" s="5"/>
      <x:c r="W205" s="5"/>
      <x:c r="X205" s="5"/>
      <x:c r="Y205" s="5"/>
      <x:c r="Z205" s="5"/>
      <x:c r="AA205" s="5"/>
      <x:c r="AB205" s="5"/>
      <x:c r="AC205" s="5"/>
      <x:c r="AD205" s="5"/>
      <x:c r="AE205" s="5"/>
      <x:c r="AF205" s="5"/>
      <x:c r="AG205" s="5"/>
      <x:c r="AH205" s="5"/>
    </x:row>
    <x:row r="206" ht="12" hidden="0" customHeight="1">
      <x:c r="A206" s="2"/>
      <x:c r="B206" s="2"/>
      <x:c r="C206" s="2"/>
      <x:c r="D206" s="2"/>
      <x:c r="E206" s="2"/>
      <x:c r="F206" s="2"/>
      <x:c r="G206" s="2"/>
      <x:c r="H206" s="2"/>
      <x:c r="I206" s="7"/>
      <x:c r="J206" s="2"/>
      <x:c r="K206" s="2"/>
      <x:c r="L206" s="2"/>
      <x:c r="M206" s="2"/>
      <x:c r="N206" s="2"/>
      <x:c r="O206" s="2"/>
      <x:c r="P206" s="2"/>
      <x:c r="Q206" s="2"/>
      <x:c r="R206" s="2"/>
      <x:c r="S206" s="2"/>
      <x:c r="T206" s="2"/>
      <x:c r="U206" s="2"/>
      <x:c r="V206" s="5"/>
      <x:c r="W206" s="5"/>
      <x:c r="X206" s="5"/>
      <x:c r="Y206" s="5"/>
      <x:c r="Z206" s="5"/>
      <x:c r="AA206" s="5"/>
      <x:c r="AB206" s="5"/>
      <x:c r="AC206" s="5"/>
      <x:c r="AD206" s="5"/>
      <x:c r="AE206" s="5"/>
      <x:c r="AF206" s="5"/>
      <x:c r="AG206" s="5"/>
      <x:c r="AH206" s="5"/>
    </x:row>
    <x:row r="207" ht="12" hidden="0" customHeight="1">
      <x:c r="A207" s="2"/>
      <x:c r="B207" s="2"/>
      <x:c r="C207" s="2"/>
      <x:c r="D207" s="2"/>
      <x:c r="E207" s="2"/>
      <x:c r="F207" s="2"/>
      <x:c r="G207" s="2"/>
      <x:c r="H207" s="2"/>
      <x:c r="I207" s="7"/>
      <x:c r="J207" s="2"/>
      <x:c r="K207" s="2"/>
      <x:c r="L207" s="2"/>
      <x:c r="M207" s="2"/>
      <x:c r="N207" s="2"/>
      <x:c r="O207" s="2"/>
      <x:c r="P207" s="2"/>
      <x:c r="Q207" s="2"/>
      <x:c r="R207" s="2"/>
      <x:c r="S207" s="2"/>
      <x:c r="T207" s="2"/>
      <x:c r="U207" s="2"/>
      <x:c r="V207" s="5"/>
      <x:c r="W207" s="5"/>
      <x:c r="X207" s="5"/>
      <x:c r="Y207" s="5"/>
      <x:c r="Z207" s="5"/>
      <x:c r="AA207" s="5"/>
      <x:c r="AB207" s="5"/>
      <x:c r="AC207" s="5"/>
      <x:c r="AD207" s="5"/>
      <x:c r="AE207" s="5"/>
      <x:c r="AF207" s="5"/>
      <x:c r="AG207" s="5"/>
      <x:c r="AH207" s="5"/>
    </x:row>
    <x:row r="208" ht="12" hidden="0" customHeight="1">
      <x:c r="A208" s="2"/>
      <x:c r="B208" s="2"/>
      <x:c r="C208" s="2"/>
      <x:c r="D208" s="2"/>
      <x:c r="E208" s="2"/>
      <x:c r="F208" s="2"/>
      <x:c r="G208" s="2"/>
      <x:c r="H208" s="2"/>
      <x:c r="I208" s="7"/>
      <x:c r="J208" s="2"/>
      <x:c r="K208" s="2"/>
      <x:c r="L208" s="2"/>
      <x:c r="M208" s="2"/>
      <x:c r="N208" s="2"/>
      <x:c r="O208" s="2"/>
      <x:c r="P208" s="2"/>
      <x:c r="Q208" s="2"/>
      <x:c r="R208" s="2"/>
      <x:c r="S208" s="2"/>
      <x:c r="T208" s="2"/>
      <x:c r="U208" s="2"/>
      <x:c r="V208" s="5"/>
      <x:c r="W208" s="5"/>
      <x:c r="X208" s="5"/>
      <x:c r="Y208" s="5"/>
      <x:c r="Z208" s="5"/>
      <x:c r="AA208" s="5"/>
      <x:c r="AB208" s="5"/>
      <x:c r="AC208" s="5"/>
      <x:c r="AD208" s="5"/>
      <x:c r="AE208" s="5"/>
      <x:c r="AF208" s="5"/>
      <x:c r="AG208" s="5"/>
      <x:c r="AH208" s="5"/>
    </x:row>
    <x:row r="209" ht="12" hidden="0" customHeight="1">
      <x:c r="A209" s="2"/>
      <x:c r="B209" s="2"/>
      <x:c r="C209" s="2"/>
      <x:c r="D209" s="2"/>
      <x:c r="E209" s="2"/>
      <x:c r="F209" s="2"/>
      <x:c r="G209" s="2"/>
      <x:c r="H209" s="2"/>
      <x:c r="I209" s="7"/>
      <x:c r="J209" s="2"/>
      <x:c r="K209" s="2"/>
      <x:c r="L209" s="2"/>
      <x:c r="M209" s="2"/>
      <x:c r="N209" s="2"/>
      <x:c r="O209" s="2"/>
      <x:c r="P209" s="2"/>
      <x:c r="Q209" s="2"/>
      <x:c r="R209" s="2"/>
      <x:c r="S209" s="2"/>
      <x:c r="T209" s="2"/>
      <x:c r="U209" s="2"/>
      <x:c r="V209" s="5"/>
      <x:c r="W209" s="5"/>
      <x:c r="X209" s="5"/>
      <x:c r="Y209" s="5"/>
      <x:c r="Z209" s="5"/>
      <x:c r="AA209" s="5"/>
      <x:c r="AB209" s="5"/>
      <x:c r="AC209" s="5"/>
      <x:c r="AD209" s="5"/>
      <x:c r="AE209" s="5"/>
      <x:c r="AF209" s="5"/>
      <x:c r="AG209" s="5"/>
      <x:c r="AH209" s="5"/>
    </x:row>
    <x:row r="210" ht="12" hidden="0" customHeight="1">
      <x:c r="A210" s="2"/>
      <x:c r="B210" s="2"/>
      <x:c r="C210" s="2"/>
      <x:c r="D210" s="2"/>
      <x:c r="E210" s="2"/>
      <x:c r="F210" s="2"/>
      <x:c r="G210" s="2"/>
      <x:c r="H210" s="2"/>
      <x:c r="I210" s="7"/>
      <x:c r="J210" s="2"/>
      <x:c r="K210" s="2"/>
      <x:c r="L210" s="2"/>
      <x:c r="M210" s="2"/>
      <x:c r="N210" s="2"/>
      <x:c r="O210" s="2"/>
      <x:c r="P210" s="2"/>
      <x:c r="Q210" s="2"/>
      <x:c r="R210" s="2"/>
      <x:c r="S210" s="2"/>
      <x:c r="T210" s="2"/>
      <x:c r="U210" s="2"/>
      <x:c r="V210" s="5"/>
      <x:c r="W210" s="5"/>
      <x:c r="X210" s="5"/>
      <x:c r="Y210" s="5"/>
      <x:c r="Z210" s="5"/>
      <x:c r="AA210" s="5"/>
      <x:c r="AB210" s="5"/>
      <x:c r="AC210" s="5"/>
      <x:c r="AD210" s="5"/>
      <x:c r="AE210" s="5"/>
      <x:c r="AF210" s="5"/>
      <x:c r="AG210" s="5"/>
      <x:c r="AH210" s="5"/>
    </x:row>
    <x:row r="211" ht="12" hidden="0" customHeight="1">
      <x:c r="A211" s="2"/>
      <x:c r="B211" s="2"/>
      <x:c r="C211" s="2"/>
      <x:c r="D211" s="2"/>
      <x:c r="E211" s="2"/>
      <x:c r="F211" s="2"/>
      <x:c r="G211" s="2"/>
      <x:c r="H211" s="2"/>
      <x:c r="I211" s="7"/>
      <x:c r="J211" s="2"/>
      <x:c r="K211" s="2"/>
      <x:c r="L211" s="2"/>
      <x:c r="M211" s="2"/>
      <x:c r="N211" s="2"/>
      <x:c r="O211" s="2"/>
      <x:c r="P211" s="2"/>
      <x:c r="Q211" s="2"/>
      <x:c r="R211" s="2"/>
      <x:c r="S211" s="2"/>
      <x:c r="T211" s="2"/>
      <x:c r="U211" s="2"/>
      <x:c r="V211" s="5"/>
      <x:c r="W211" s="5"/>
      <x:c r="X211" s="5"/>
      <x:c r="Y211" s="5"/>
      <x:c r="Z211" s="5"/>
      <x:c r="AA211" s="5"/>
      <x:c r="AB211" s="5"/>
      <x:c r="AC211" s="5"/>
      <x:c r="AD211" s="5"/>
      <x:c r="AE211" s="5"/>
      <x:c r="AF211" s="5"/>
      <x:c r="AG211" s="5"/>
      <x:c r="AH211" s="5"/>
    </x:row>
    <x:row r="212" ht="12" hidden="0" customHeight="1">
      <x:c r="A212" s="2"/>
      <x:c r="B212" s="2"/>
      <x:c r="C212" s="2"/>
      <x:c r="D212" s="2"/>
      <x:c r="E212" s="2"/>
      <x:c r="F212" s="2"/>
      <x:c r="G212" s="2"/>
      <x:c r="H212" s="2"/>
      <x:c r="I212" s="7"/>
      <x:c r="J212" s="2"/>
      <x:c r="K212" s="2"/>
      <x:c r="L212" s="2"/>
      <x:c r="M212" s="2"/>
      <x:c r="N212" s="2"/>
      <x:c r="O212" s="2"/>
      <x:c r="P212" s="2"/>
      <x:c r="Q212" s="2"/>
      <x:c r="R212" s="2"/>
      <x:c r="S212" s="2"/>
      <x:c r="T212" s="2"/>
      <x:c r="U212" s="2"/>
      <x:c r="V212" s="5"/>
      <x:c r="W212" s="5"/>
      <x:c r="X212" s="5"/>
      <x:c r="Y212" s="5"/>
      <x:c r="Z212" s="5"/>
      <x:c r="AA212" s="5"/>
      <x:c r="AB212" s="5"/>
      <x:c r="AC212" s="5"/>
      <x:c r="AD212" s="5"/>
      <x:c r="AE212" s="5"/>
      <x:c r="AF212" s="5"/>
      <x:c r="AG212" s="5"/>
      <x:c r="AH212" s="5"/>
    </x:row>
    <x:row r="213" ht="12" hidden="0" customHeight="1">
      <x:c r="A213" s="2"/>
      <x:c r="B213" s="2"/>
      <x:c r="C213" s="2"/>
      <x:c r="D213" s="2"/>
      <x:c r="E213" s="2"/>
      <x:c r="F213" s="2"/>
      <x:c r="G213" s="2"/>
      <x:c r="H213" s="2"/>
      <x:c r="I213" s="7"/>
      <x:c r="J213" s="2"/>
      <x:c r="K213" s="2"/>
      <x:c r="L213" s="2"/>
      <x:c r="M213" s="2"/>
      <x:c r="N213" s="2"/>
      <x:c r="O213" s="2"/>
      <x:c r="P213" s="2"/>
      <x:c r="Q213" s="2"/>
      <x:c r="R213" s="2"/>
      <x:c r="S213" s="2"/>
      <x:c r="T213" s="2"/>
      <x:c r="U213" s="2"/>
      <x:c r="V213" s="5"/>
      <x:c r="W213" s="5"/>
      <x:c r="X213" s="5"/>
      <x:c r="Y213" s="5"/>
      <x:c r="Z213" s="5"/>
      <x:c r="AA213" s="5"/>
      <x:c r="AB213" s="5"/>
      <x:c r="AC213" s="5"/>
      <x:c r="AD213" s="5"/>
      <x:c r="AE213" s="5"/>
      <x:c r="AF213" s="5"/>
      <x:c r="AG213" s="5"/>
      <x:c r="AH213" s="5"/>
    </x:row>
    <x:row r="214" ht="12" hidden="0" customHeight="1">
      <x:c r="A214" s="2"/>
      <x:c r="B214" s="2"/>
      <x:c r="C214" s="2"/>
      <x:c r="D214" s="2"/>
      <x:c r="E214" s="2"/>
      <x:c r="F214" s="2"/>
      <x:c r="G214" s="2"/>
      <x:c r="H214" s="2"/>
      <x:c r="I214" s="7"/>
      <x:c r="J214" s="2"/>
      <x:c r="K214" s="2"/>
      <x:c r="L214" s="2"/>
      <x:c r="M214" s="2"/>
      <x:c r="N214" s="2"/>
      <x:c r="O214" s="2"/>
      <x:c r="P214" s="2"/>
      <x:c r="Q214" s="2"/>
      <x:c r="R214" s="2"/>
      <x:c r="S214" s="2"/>
      <x:c r="T214" s="2"/>
      <x:c r="U214" s="2"/>
      <x:c r="V214" s="5"/>
      <x:c r="W214" s="5"/>
      <x:c r="X214" s="5"/>
      <x:c r="Y214" s="5"/>
      <x:c r="Z214" s="5"/>
      <x:c r="AA214" s="5"/>
      <x:c r="AB214" s="5"/>
      <x:c r="AC214" s="5"/>
      <x:c r="AD214" s="5"/>
      <x:c r="AE214" s="5"/>
      <x:c r="AF214" s="5"/>
      <x:c r="AG214" s="5"/>
      <x:c r="AH214" s="5"/>
    </x:row>
    <x:row r="215" ht="12" hidden="0" customHeight="1">
      <x:c r="A215" s="2"/>
      <x:c r="B215" s="2"/>
      <x:c r="C215" s="2"/>
      <x:c r="D215" s="2"/>
      <x:c r="E215" s="2"/>
      <x:c r="F215" s="2"/>
      <x:c r="G215" s="2"/>
      <x:c r="H215" s="2"/>
      <x:c r="I215" s="7"/>
      <x:c r="J215" s="2"/>
      <x:c r="K215" s="2"/>
      <x:c r="L215" s="2"/>
      <x:c r="M215" s="2"/>
      <x:c r="N215" s="2"/>
      <x:c r="O215" s="2"/>
      <x:c r="P215" s="2"/>
      <x:c r="Q215" s="2"/>
      <x:c r="R215" s="2"/>
      <x:c r="S215" s="2"/>
      <x:c r="T215" s="2"/>
      <x:c r="U215" s="2"/>
      <x:c r="V215" s="5"/>
      <x:c r="W215" s="5"/>
      <x:c r="X215" s="5"/>
      <x:c r="Y215" s="5"/>
      <x:c r="Z215" s="5"/>
      <x:c r="AA215" s="5"/>
      <x:c r="AB215" s="5"/>
      <x:c r="AC215" s="5"/>
      <x:c r="AD215" s="5"/>
      <x:c r="AE215" s="5"/>
      <x:c r="AF215" s="5"/>
      <x:c r="AG215" s="5"/>
      <x:c r="AH215" s="5"/>
    </x:row>
    <x:row r="216" ht="12" hidden="0" customHeight="1">
      <x:c r="A216" s="2"/>
      <x:c r="B216" s="2"/>
      <x:c r="C216" s="2"/>
      <x:c r="D216" s="2"/>
      <x:c r="E216" s="2"/>
      <x:c r="F216" s="2"/>
      <x:c r="G216" s="2"/>
      <x:c r="H216" s="2"/>
      <x:c r="I216" s="7"/>
      <x:c r="J216" s="2"/>
      <x:c r="K216" s="2"/>
      <x:c r="L216" s="2"/>
      <x:c r="M216" s="2"/>
      <x:c r="N216" s="2"/>
      <x:c r="O216" s="2"/>
      <x:c r="P216" s="2"/>
      <x:c r="Q216" s="2"/>
      <x:c r="R216" s="2"/>
      <x:c r="S216" s="2"/>
      <x:c r="T216" s="2"/>
      <x:c r="U216" s="2"/>
      <x:c r="V216" s="5"/>
      <x:c r="W216" s="5"/>
      <x:c r="X216" s="5"/>
      <x:c r="Y216" s="5"/>
      <x:c r="Z216" s="5"/>
      <x:c r="AA216" s="5"/>
      <x:c r="AB216" s="5"/>
      <x:c r="AC216" s="5"/>
      <x:c r="AD216" s="5"/>
      <x:c r="AE216" s="5"/>
      <x:c r="AF216" s="5"/>
      <x:c r="AG216" s="5"/>
      <x:c r="AH216" s="5"/>
    </x:row>
    <x:row r="217" ht="12" hidden="0" customHeight="1">
      <x:c r="A217" s="2"/>
      <x:c r="B217" s="2"/>
      <x:c r="C217" s="2"/>
      <x:c r="D217" s="2"/>
      <x:c r="E217" s="2"/>
      <x:c r="F217" s="2"/>
      <x:c r="G217" s="2"/>
      <x:c r="H217" s="2"/>
      <x:c r="I217" s="7"/>
      <x:c r="J217" s="2"/>
      <x:c r="K217" s="2"/>
      <x:c r="L217" s="2"/>
      <x:c r="M217" s="2"/>
      <x:c r="N217" s="2"/>
      <x:c r="O217" s="2"/>
      <x:c r="P217" s="2"/>
      <x:c r="Q217" s="2"/>
      <x:c r="R217" s="2"/>
      <x:c r="S217" s="2"/>
      <x:c r="T217" s="2"/>
      <x:c r="U217" s="2"/>
      <x:c r="V217" s="5"/>
      <x:c r="W217" s="5"/>
      <x:c r="X217" s="5"/>
      <x:c r="Y217" s="5"/>
      <x:c r="Z217" s="5"/>
      <x:c r="AA217" s="5"/>
      <x:c r="AB217" s="5"/>
      <x:c r="AC217" s="5"/>
      <x:c r="AD217" s="5"/>
      <x:c r="AE217" s="5"/>
      <x:c r="AF217" s="5"/>
      <x:c r="AG217" s="5"/>
      <x:c r="AH217" s="5"/>
    </x:row>
    <x:row r="218" ht="12" hidden="0" customHeight="1">
      <x:c r="A218" s="2"/>
      <x:c r="B218" s="2"/>
      <x:c r="C218" s="2"/>
      <x:c r="D218" s="2"/>
      <x:c r="E218" s="2"/>
      <x:c r="F218" s="2"/>
      <x:c r="G218" s="2"/>
      <x:c r="H218" s="2"/>
      <x:c r="I218" s="7"/>
      <x:c r="J218" s="2"/>
      <x:c r="K218" s="2"/>
      <x:c r="L218" s="2"/>
      <x:c r="M218" s="2"/>
      <x:c r="N218" s="2"/>
      <x:c r="O218" s="2"/>
      <x:c r="P218" s="2"/>
      <x:c r="Q218" s="2"/>
      <x:c r="R218" s="2"/>
      <x:c r="S218" s="2"/>
      <x:c r="T218" s="2"/>
      <x:c r="U218" s="2"/>
      <x:c r="V218" s="5"/>
      <x:c r="W218" s="5"/>
      <x:c r="X218" s="5"/>
      <x:c r="Y218" s="5"/>
      <x:c r="Z218" s="5"/>
      <x:c r="AA218" s="5"/>
      <x:c r="AB218" s="5"/>
      <x:c r="AC218" s="5"/>
      <x:c r="AD218" s="5"/>
      <x:c r="AE218" s="5"/>
      <x:c r="AF218" s="5"/>
      <x:c r="AG218" s="5"/>
      <x:c r="AH218" s="5"/>
    </x:row>
    <x:row r="219" ht="12" hidden="0" customHeight="1">
      <x:c r="A219" s="2"/>
      <x:c r="B219" s="2"/>
      <x:c r="C219" s="2"/>
      <x:c r="D219" s="2"/>
      <x:c r="E219" s="2"/>
      <x:c r="F219" s="2"/>
      <x:c r="G219" s="2"/>
      <x:c r="H219" s="2"/>
      <x:c r="I219" s="7"/>
      <x:c r="J219" s="2"/>
      <x:c r="K219" s="2"/>
      <x:c r="L219" s="2"/>
      <x:c r="M219" s="2"/>
      <x:c r="N219" s="2"/>
      <x:c r="O219" s="2"/>
      <x:c r="P219" s="2"/>
      <x:c r="Q219" s="2"/>
      <x:c r="R219" s="2"/>
      <x:c r="S219" s="2"/>
      <x:c r="T219" s="2"/>
      <x:c r="U219" s="2"/>
      <x:c r="V219" s="5"/>
      <x:c r="W219" s="5"/>
      <x:c r="X219" s="5"/>
      <x:c r="Y219" s="5"/>
      <x:c r="Z219" s="5"/>
      <x:c r="AA219" s="5"/>
      <x:c r="AB219" s="5"/>
      <x:c r="AC219" s="5"/>
      <x:c r="AD219" s="5"/>
      <x:c r="AE219" s="5"/>
      <x:c r="AF219" s="5"/>
      <x:c r="AG219" s="5"/>
      <x:c r="AH219" s="5"/>
    </x:row>
    <x:row r="220" ht="12" hidden="0" customHeight="1">
      <x:c r="A220" s="2"/>
      <x:c r="B220" s="2"/>
      <x:c r="C220" s="2"/>
      <x:c r="D220" s="2"/>
      <x:c r="E220" s="2"/>
      <x:c r="F220" s="2"/>
      <x:c r="G220" s="2"/>
      <x:c r="H220" s="2"/>
      <x:c r="I220" s="7"/>
      <x:c r="J220" s="2"/>
      <x:c r="K220" s="2"/>
      <x:c r="L220" s="2"/>
      <x:c r="M220" s="2"/>
      <x:c r="N220" s="2"/>
      <x:c r="O220" s="2"/>
      <x:c r="P220" s="2"/>
      <x:c r="Q220" s="2"/>
      <x:c r="R220" s="2"/>
      <x:c r="S220" s="2"/>
      <x:c r="T220" s="2"/>
      <x:c r="U220" s="2"/>
      <x:c r="V220" s="5"/>
      <x:c r="W220" s="5"/>
      <x:c r="X220" s="5"/>
      <x:c r="Y220" s="5"/>
      <x:c r="Z220" s="5"/>
      <x:c r="AA220" s="5"/>
      <x:c r="AB220" s="5"/>
      <x:c r="AC220" s="5"/>
      <x:c r="AD220" s="5"/>
      <x:c r="AE220" s="5"/>
      <x:c r="AF220" s="5"/>
      <x:c r="AG220" s="5"/>
      <x:c r="AH220" s="5"/>
    </x:row>
    <x:row r="221" ht="12" hidden="0" customHeight="1">
      <x:c r="A221" s="2"/>
      <x:c r="B221" s="2"/>
      <x:c r="C221" s="2"/>
      <x:c r="D221" s="2"/>
      <x:c r="E221" s="2"/>
      <x:c r="F221" s="2"/>
      <x:c r="G221" s="2"/>
      <x:c r="H221" s="2"/>
      <x:c r="I221" s="7"/>
      <x:c r="J221" s="2"/>
      <x:c r="K221" s="2"/>
      <x:c r="L221" s="2"/>
      <x:c r="M221" s="2"/>
      <x:c r="N221" s="2"/>
      <x:c r="O221" s="2"/>
      <x:c r="P221" s="2"/>
      <x:c r="Q221" s="2"/>
      <x:c r="R221" s="2"/>
      <x:c r="S221" s="2"/>
      <x:c r="T221" s="2"/>
      <x:c r="U221" s="2"/>
      <x:c r="V221" s="5"/>
      <x:c r="W221" s="5"/>
      <x:c r="X221" s="5"/>
      <x:c r="Y221" s="5"/>
      <x:c r="Z221" s="5"/>
      <x:c r="AA221" s="5"/>
      <x:c r="AB221" s="5"/>
      <x:c r="AC221" s="5"/>
      <x:c r="AD221" s="5"/>
      <x:c r="AE221" s="5"/>
      <x:c r="AF221" s="5"/>
      <x:c r="AG221" s="5"/>
      <x:c r="AH221" s="5"/>
    </x:row>
    <x:row r="222" ht="12" hidden="0" customHeight="1">
      <x:c r="A222" s="2"/>
      <x:c r="B222" s="2"/>
      <x:c r="C222" s="2"/>
      <x:c r="D222" s="2"/>
      <x:c r="E222" s="2"/>
      <x:c r="F222" s="2"/>
      <x:c r="G222" s="2"/>
      <x:c r="H222" s="2"/>
      <x:c r="I222" s="7"/>
      <x:c r="J222" s="2"/>
      <x:c r="K222" s="2"/>
      <x:c r="L222" s="2"/>
      <x:c r="M222" s="2"/>
      <x:c r="N222" s="2"/>
      <x:c r="O222" s="2"/>
      <x:c r="P222" s="2"/>
      <x:c r="Q222" s="2"/>
      <x:c r="R222" s="2"/>
      <x:c r="S222" s="2"/>
      <x:c r="T222" s="2"/>
      <x:c r="U222" s="2"/>
      <x:c r="V222" s="5"/>
      <x:c r="W222" s="5"/>
      <x:c r="X222" s="5"/>
      <x:c r="Y222" s="5"/>
      <x:c r="Z222" s="5"/>
      <x:c r="AA222" s="5"/>
      <x:c r="AB222" s="5"/>
      <x:c r="AC222" s="5"/>
      <x:c r="AD222" s="5"/>
      <x:c r="AE222" s="5"/>
      <x:c r="AF222" s="5"/>
      <x:c r="AG222" s="5"/>
      <x:c r="AH222" s="5"/>
    </x:row>
    <x:row r="223" ht="12" hidden="0" customHeight="1">
      <x:c r="A223" s="2"/>
      <x:c r="B223" s="2"/>
      <x:c r="C223" s="2"/>
      <x:c r="D223" s="2"/>
      <x:c r="E223" s="2"/>
      <x:c r="F223" s="2"/>
      <x:c r="G223" s="2"/>
      <x:c r="H223" s="2"/>
      <x:c r="I223" s="7"/>
      <x:c r="J223" s="2"/>
      <x:c r="K223" s="2"/>
      <x:c r="L223" s="2"/>
      <x:c r="M223" s="2"/>
      <x:c r="N223" s="2"/>
      <x:c r="O223" s="2"/>
      <x:c r="P223" s="2"/>
      <x:c r="Q223" s="2"/>
      <x:c r="R223" s="2"/>
      <x:c r="S223" s="2"/>
      <x:c r="T223" s="2"/>
      <x:c r="U223" s="2"/>
      <x:c r="V223" s="5"/>
      <x:c r="W223" s="5"/>
      <x:c r="X223" s="5"/>
      <x:c r="Y223" s="5"/>
      <x:c r="Z223" s="5"/>
      <x:c r="AA223" s="5"/>
      <x:c r="AB223" s="5"/>
      <x:c r="AC223" s="5"/>
      <x:c r="AD223" s="5"/>
      <x:c r="AE223" s="5"/>
      <x:c r="AF223" s="5"/>
      <x:c r="AG223" s="5"/>
      <x:c r="AH223" s="5"/>
    </x:row>
    <x:row r="224" ht="12" hidden="0" customHeight="1">
      <x:c r="A224" s="2"/>
      <x:c r="B224" s="2"/>
      <x:c r="C224" s="2"/>
      <x:c r="D224" s="2"/>
      <x:c r="E224" s="2"/>
      <x:c r="F224" s="2"/>
      <x:c r="G224" s="2"/>
      <x:c r="H224" s="2"/>
      <x:c r="I224" s="7"/>
      <x:c r="J224" s="2"/>
      <x:c r="K224" s="2"/>
      <x:c r="L224" s="2"/>
      <x:c r="M224" s="2"/>
      <x:c r="N224" s="2"/>
      <x:c r="O224" s="2"/>
      <x:c r="P224" s="2"/>
      <x:c r="Q224" s="2"/>
      <x:c r="R224" s="2"/>
      <x:c r="S224" s="2"/>
      <x:c r="T224" s="2"/>
      <x:c r="U224" s="2"/>
      <x:c r="V224" s="5"/>
      <x:c r="W224" s="5"/>
      <x:c r="X224" s="5"/>
      <x:c r="Y224" s="5"/>
      <x:c r="Z224" s="5"/>
      <x:c r="AA224" s="5"/>
      <x:c r="AB224" s="5"/>
      <x:c r="AC224" s="5"/>
      <x:c r="AD224" s="5"/>
      <x:c r="AE224" s="5"/>
      <x:c r="AF224" s="5"/>
      <x:c r="AG224" s="5"/>
      <x:c r="AH224" s="5"/>
    </x:row>
    <x:row r="225" ht="12" hidden="0" customHeight="1">
      <x:c r="A225" s="2"/>
      <x:c r="B225" s="2"/>
      <x:c r="C225" s="2"/>
      <x:c r="D225" s="2"/>
      <x:c r="E225" s="2"/>
      <x:c r="F225" s="2"/>
      <x:c r="G225" s="2"/>
      <x:c r="H225" s="2"/>
      <x:c r="I225" s="7"/>
      <x:c r="J225" s="2"/>
      <x:c r="K225" s="2"/>
      <x:c r="L225" s="2"/>
      <x:c r="M225" s="2"/>
      <x:c r="N225" s="2"/>
      <x:c r="O225" s="2"/>
      <x:c r="P225" s="2"/>
      <x:c r="Q225" s="2"/>
      <x:c r="R225" s="2"/>
      <x:c r="S225" s="2"/>
      <x:c r="T225" s="2"/>
      <x:c r="U225" s="2"/>
      <x:c r="V225" s="5"/>
      <x:c r="W225" s="5"/>
      <x:c r="X225" s="5"/>
      <x:c r="Y225" s="5"/>
      <x:c r="Z225" s="5"/>
      <x:c r="AA225" s="5"/>
      <x:c r="AB225" s="5"/>
      <x:c r="AC225" s="5"/>
      <x:c r="AD225" s="5"/>
      <x:c r="AE225" s="5"/>
      <x:c r="AF225" s="5"/>
      <x:c r="AG225" s="5"/>
      <x:c r="AH225" s="5"/>
    </x:row>
    <x:row r="226" ht="12" hidden="0" customHeight="1">
      <x:c r="A226" s="2"/>
      <x:c r="B226" s="2"/>
      <x:c r="C226" s="2"/>
      <x:c r="D226" s="2"/>
      <x:c r="E226" s="2"/>
      <x:c r="F226" s="2"/>
      <x:c r="G226" s="2"/>
      <x:c r="H226" s="2"/>
      <x:c r="I226" s="7"/>
      <x:c r="J226" s="2"/>
      <x:c r="K226" s="2"/>
      <x:c r="L226" s="2"/>
      <x:c r="M226" s="2"/>
      <x:c r="N226" s="2"/>
      <x:c r="O226" s="2"/>
      <x:c r="P226" s="2"/>
      <x:c r="Q226" s="2"/>
      <x:c r="R226" s="2"/>
      <x:c r="S226" s="2"/>
      <x:c r="T226" s="2"/>
      <x:c r="U226" s="2"/>
      <x:c r="V226" s="5"/>
      <x:c r="W226" s="5"/>
      <x:c r="X226" s="5"/>
      <x:c r="Y226" s="5"/>
      <x:c r="Z226" s="5"/>
      <x:c r="AA226" s="5"/>
      <x:c r="AB226" s="5"/>
      <x:c r="AC226" s="5"/>
      <x:c r="AD226" s="5"/>
      <x:c r="AE226" s="5"/>
      <x:c r="AF226" s="5"/>
      <x:c r="AG226" s="5"/>
      <x:c r="AH226" s="5"/>
    </x:row>
    <x:row r="227" ht="12" hidden="0" customHeight="1">
      <x:c r="A227" s="2"/>
      <x:c r="B227" s="2"/>
      <x:c r="C227" s="2"/>
      <x:c r="D227" s="2"/>
      <x:c r="E227" s="2"/>
      <x:c r="F227" s="2"/>
      <x:c r="G227" s="2"/>
      <x:c r="H227" s="2"/>
      <x:c r="I227" s="7"/>
      <x:c r="J227" s="2"/>
      <x:c r="K227" s="2"/>
      <x:c r="L227" s="2"/>
      <x:c r="M227" s="2"/>
      <x:c r="N227" s="2"/>
      <x:c r="O227" s="2"/>
      <x:c r="P227" s="2"/>
      <x:c r="Q227" s="2"/>
      <x:c r="R227" s="2"/>
      <x:c r="S227" s="2"/>
      <x:c r="T227" s="2"/>
      <x:c r="U227" s="2"/>
      <x:c r="V227" s="5"/>
      <x:c r="W227" s="5"/>
      <x:c r="X227" s="5"/>
      <x:c r="Y227" s="5"/>
      <x:c r="Z227" s="5"/>
      <x:c r="AA227" s="5"/>
      <x:c r="AB227" s="5"/>
      <x:c r="AC227" s="5"/>
      <x:c r="AD227" s="5"/>
      <x:c r="AE227" s="5"/>
      <x:c r="AF227" s="5"/>
      <x:c r="AG227" s="5"/>
      <x:c r="AH227" s="5"/>
    </x:row>
    <x:row r="228" ht="12" hidden="0" customHeight="1">
      <x:c r="A228" s="2"/>
      <x:c r="B228" s="2"/>
      <x:c r="C228" s="2"/>
      <x:c r="D228" s="2"/>
      <x:c r="E228" s="2"/>
      <x:c r="F228" s="2"/>
      <x:c r="G228" s="2"/>
      <x:c r="H228" s="2"/>
      <x:c r="I228" s="7"/>
      <x:c r="J228" s="2"/>
      <x:c r="K228" s="2"/>
      <x:c r="L228" s="2"/>
      <x:c r="M228" s="2"/>
      <x:c r="N228" s="2"/>
      <x:c r="O228" s="2"/>
      <x:c r="P228" s="2"/>
      <x:c r="Q228" s="2"/>
      <x:c r="R228" s="2"/>
      <x:c r="S228" s="2"/>
      <x:c r="T228" s="2"/>
      <x:c r="U228" s="2"/>
      <x:c r="V228" s="5"/>
      <x:c r="W228" s="5"/>
      <x:c r="X228" s="5"/>
      <x:c r="Y228" s="5"/>
      <x:c r="Z228" s="5"/>
      <x:c r="AA228" s="5"/>
      <x:c r="AB228" s="5"/>
      <x:c r="AC228" s="5"/>
      <x:c r="AD228" s="5"/>
      <x:c r="AE228" s="5"/>
      <x:c r="AF228" s="5"/>
      <x:c r="AG228" s="5"/>
      <x:c r="AH228" s="5"/>
    </x:row>
    <x:row r="229" ht="12" hidden="0" customHeight="1">
      <x:c r="A229" s="2"/>
      <x:c r="B229" s="2"/>
      <x:c r="C229" s="2"/>
      <x:c r="D229" s="2"/>
      <x:c r="E229" s="2"/>
      <x:c r="F229" s="2"/>
      <x:c r="G229" s="2"/>
      <x:c r="H229" s="2"/>
      <x:c r="I229" s="7"/>
      <x:c r="J229" s="2"/>
      <x:c r="K229" s="2"/>
      <x:c r="L229" s="2"/>
      <x:c r="M229" s="2"/>
      <x:c r="N229" s="2"/>
      <x:c r="O229" s="2"/>
      <x:c r="P229" s="2"/>
      <x:c r="Q229" s="2"/>
      <x:c r="R229" s="2"/>
      <x:c r="S229" s="2"/>
      <x:c r="T229" s="2"/>
      <x:c r="U229" s="2"/>
      <x:c r="V229" s="5"/>
      <x:c r="W229" s="5"/>
      <x:c r="X229" s="5"/>
      <x:c r="Y229" s="5"/>
      <x:c r="Z229" s="5"/>
      <x:c r="AA229" s="5"/>
      <x:c r="AB229" s="5"/>
      <x:c r="AC229" s="5"/>
      <x:c r="AD229" s="5"/>
      <x:c r="AE229" s="5"/>
      <x:c r="AF229" s="5"/>
      <x:c r="AG229" s="5"/>
      <x:c r="AH229" s="5"/>
    </x:row>
    <x:row r="230" ht="12" hidden="0" customHeight="1">
      <x:c r="A230" s="2"/>
      <x:c r="B230" s="2"/>
      <x:c r="C230" s="2"/>
      <x:c r="D230" s="2"/>
      <x:c r="E230" s="2"/>
      <x:c r="F230" s="2"/>
      <x:c r="G230" s="2"/>
      <x:c r="H230" s="2"/>
      <x:c r="I230" s="7"/>
      <x:c r="J230" s="2"/>
      <x:c r="K230" s="2"/>
      <x:c r="L230" s="2"/>
      <x:c r="M230" s="2"/>
      <x:c r="N230" s="2"/>
      <x:c r="O230" s="2"/>
      <x:c r="P230" s="2"/>
      <x:c r="Q230" s="2"/>
      <x:c r="R230" s="2"/>
      <x:c r="S230" s="2"/>
      <x:c r="T230" s="2"/>
      <x:c r="U230" s="2"/>
      <x:c r="V230" s="5"/>
      <x:c r="W230" s="5"/>
      <x:c r="X230" s="5"/>
      <x:c r="Y230" s="5"/>
      <x:c r="Z230" s="5"/>
      <x:c r="AA230" s="5"/>
      <x:c r="AB230" s="5"/>
      <x:c r="AC230" s="5"/>
      <x:c r="AD230" s="5"/>
      <x:c r="AE230" s="5"/>
      <x:c r="AF230" s="5"/>
      <x:c r="AG230" s="5"/>
      <x:c r="AH230" s="5"/>
    </x:row>
    <x:row r="231" ht="12" hidden="0" customHeight="1">
      <x:c r="A231" s="2"/>
      <x:c r="B231" s="2"/>
      <x:c r="C231" s="2"/>
      <x:c r="D231" s="2"/>
      <x:c r="E231" s="2"/>
      <x:c r="F231" s="2"/>
      <x:c r="G231" s="2"/>
      <x:c r="H231" s="2"/>
      <x:c r="I231" s="7"/>
      <x:c r="J231" s="2"/>
      <x:c r="K231" s="2"/>
      <x:c r="L231" s="2"/>
      <x:c r="M231" s="2"/>
      <x:c r="N231" s="2"/>
      <x:c r="O231" s="2"/>
      <x:c r="P231" s="2"/>
      <x:c r="Q231" s="2"/>
      <x:c r="R231" s="2"/>
      <x:c r="S231" s="2"/>
      <x:c r="T231" s="2"/>
      <x:c r="U231" s="2"/>
      <x:c r="V231" s="5"/>
      <x:c r="W231" s="5"/>
      <x:c r="X231" s="5"/>
      <x:c r="Y231" s="5"/>
      <x:c r="Z231" s="5"/>
      <x:c r="AA231" s="5"/>
      <x:c r="AB231" s="5"/>
      <x:c r="AC231" s="5"/>
      <x:c r="AD231" s="5"/>
      <x:c r="AE231" s="5"/>
      <x:c r="AF231" s="5"/>
      <x:c r="AG231" s="5"/>
      <x:c r="AH231" s="5"/>
    </x:row>
    <x:row r="232" ht="12" hidden="0" customHeight="1">
      <x:c r="A232" s="2"/>
      <x:c r="B232" s="2"/>
      <x:c r="C232" s="2"/>
      <x:c r="D232" s="2"/>
      <x:c r="E232" s="2"/>
      <x:c r="F232" s="2"/>
      <x:c r="G232" s="2"/>
      <x:c r="H232" s="2"/>
      <x:c r="I232" s="7"/>
      <x:c r="J232" s="2"/>
      <x:c r="K232" s="2"/>
      <x:c r="L232" s="2"/>
      <x:c r="M232" s="2"/>
      <x:c r="N232" s="2"/>
      <x:c r="O232" s="2"/>
      <x:c r="P232" s="2"/>
      <x:c r="Q232" s="2"/>
      <x:c r="R232" s="2"/>
      <x:c r="S232" s="2"/>
      <x:c r="T232" s="2"/>
      <x:c r="U232" s="2"/>
      <x:c r="V232" s="5"/>
      <x:c r="W232" s="5"/>
      <x:c r="X232" s="5"/>
      <x:c r="Y232" s="5"/>
      <x:c r="Z232" s="5"/>
      <x:c r="AA232" s="5"/>
      <x:c r="AB232" s="5"/>
      <x:c r="AC232" s="5"/>
      <x:c r="AD232" s="5"/>
      <x:c r="AE232" s="5"/>
      <x:c r="AF232" s="5"/>
      <x:c r="AG232" s="5"/>
      <x:c r="AH232" s="5"/>
    </x:row>
    <x:row r="233" ht="12" hidden="0" customHeight="1">
      <x:c r="A233" s="2"/>
      <x:c r="B233" s="2"/>
      <x:c r="C233" s="2"/>
      <x:c r="D233" s="2"/>
      <x:c r="E233" s="2"/>
      <x:c r="F233" s="2"/>
      <x:c r="G233" s="2"/>
      <x:c r="H233" s="2"/>
      <x:c r="I233" s="7"/>
      <x:c r="J233" s="2"/>
      <x:c r="K233" s="2"/>
      <x:c r="L233" s="2"/>
      <x:c r="M233" s="2"/>
      <x:c r="N233" s="2"/>
      <x:c r="O233" s="2"/>
      <x:c r="P233" s="2"/>
      <x:c r="Q233" s="2"/>
      <x:c r="R233" s="2"/>
      <x:c r="S233" s="2"/>
      <x:c r="T233" s="2"/>
      <x:c r="U233" s="2"/>
      <x:c r="V233" s="5"/>
      <x:c r="W233" s="5"/>
      <x:c r="X233" s="5"/>
      <x:c r="Y233" s="5"/>
      <x:c r="Z233" s="5"/>
      <x:c r="AA233" s="5"/>
      <x:c r="AB233" s="5"/>
      <x:c r="AC233" s="5"/>
      <x:c r="AD233" s="5"/>
      <x:c r="AE233" s="5"/>
      <x:c r="AF233" s="5"/>
      <x:c r="AG233" s="5"/>
      <x:c r="AH233" s="5"/>
    </x:row>
    <x:row r="234" ht="12" hidden="0" customHeight="1">
      <x:c r="A234" s="2"/>
      <x:c r="B234" s="2"/>
      <x:c r="C234" s="2"/>
      <x:c r="D234" s="2"/>
      <x:c r="E234" s="2"/>
      <x:c r="F234" s="2"/>
      <x:c r="G234" s="2"/>
      <x:c r="H234" s="2"/>
      <x:c r="I234" s="7"/>
      <x:c r="J234" s="2"/>
      <x:c r="K234" s="2"/>
      <x:c r="L234" s="2"/>
      <x:c r="M234" s="2"/>
      <x:c r="N234" s="2"/>
      <x:c r="O234" s="2"/>
      <x:c r="P234" s="2"/>
      <x:c r="Q234" s="2"/>
      <x:c r="R234" s="2"/>
      <x:c r="S234" s="2"/>
      <x:c r="T234" s="2"/>
      <x:c r="U234" s="2"/>
      <x:c r="V234" s="5"/>
      <x:c r="W234" s="5"/>
      <x:c r="X234" s="5"/>
      <x:c r="Y234" s="5"/>
      <x:c r="Z234" s="5"/>
      <x:c r="AA234" s="5"/>
      <x:c r="AB234" s="5"/>
      <x:c r="AC234" s="5"/>
      <x:c r="AD234" s="5"/>
      <x:c r="AE234" s="5"/>
      <x:c r="AF234" s="5"/>
      <x:c r="AG234" s="5"/>
      <x:c r="AH234" s="5"/>
    </x:row>
    <x:row r="235" ht="12" hidden="0" customHeight="1">
      <x:c r="A235" s="2"/>
      <x:c r="B235" s="2"/>
      <x:c r="C235" s="2"/>
      <x:c r="D235" s="2"/>
      <x:c r="E235" s="2"/>
      <x:c r="F235" s="2"/>
      <x:c r="G235" s="2"/>
      <x:c r="H235" s="2"/>
      <x:c r="I235" s="7"/>
      <x:c r="J235" s="2"/>
      <x:c r="K235" s="2"/>
      <x:c r="L235" s="2"/>
      <x:c r="M235" s="2"/>
      <x:c r="N235" s="2"/>
      <x:c r="O235" s="2"/>
      <x:c r="P235" s="2"/>
      <x:c r="Q235" s="2"/>
      <x:c r="R235" s="2"/>
      <x:c r="S235" s="2"/>
      <x:c r="T235" s="2"/>
      <x:c r="U235" s="2"/>
      <x:c r="V235" s="5"/>
      <x:c r="W235" s="5"/>
      <x:c r="X235" s="5"/>
      <x:c r="Y235" s="5"/>
      <x:c r="Z235" s="5"/>
      <x:c r="AA235" s="5"/>
      <x:c r="AB235" s="5"/>
      <x:c r="AC235" s="5"/>
      <x:c r="AD235" s="5"/>
      <x:c r="AE235" s="5"/>
      <x:c r="AF235" s="5"/>
      <x:c r="AG235" s="5"/>
      <x:c r="AH235" s="5"/>
    </x:row>
    <x:row r="236" ht="12" hidden="0" customHeight="1">
      <x:c r="A236" s="2"/>
      <x:c r="B236" s="2"/>
      <x:c r="C236" s="2"/>
      <x:c r="D236" s="2"/>
      <x:c r="E236" s="2"/>
      <x:c r="F236" s="2"/>
      <x:c r="G236" s="2"/>
      <x:c r="H236" s="2"/>
      <x:c r="I236" s="7"/>
      <x:c r="J236" s="2"/>
      <x:c r="K236" s="2"/>
      <x:c r="L236" s="2"/>
      <x:c r="M236" s="2"/>
      <x:c r="N236" s="2"/>
      <x:c r="O236" s="2"/>
      <x:c r="P236" s="2"/>
      <x:c r="Q236" s="2"/>
      <x:c r="R236" s="2"/>
      <x:c r="S236" s="2"/>
      <x:c r="T236" s="2"/>
      <x:c r="U236" s="2"/>
      <x:c r="V236" s="5"/>
      <x:c r="W236" s="5"/>
      <x:c r="X236" s="5"/>
      <x:c r="Y236" s="5"/>
      <x:c r="Z236" s="5"/>
      <x:c r="AA236" s="5"/>
      <x:c r="AB236" s="5"/>
      <x:c r="AC236" s="5"/>
      <x:c r="AD236" s="5"/>
      <x:c r="AE236" s="5"/>
      <x:c r="AF236" s="5"/>
      <x:c r="AG236" s="5"/>
      <x:c r="AH236" s="5"/>
    </x:row>
    <x:row r="237" ht="12" hidden="0" customHeight="1">
      <x:c r="A237" s="2"/>
      <x:c r="B237" s="2"/>
      <x:c r="C237" s="2"/>
      <x:c r="D237" s="2"/>
      <x:c r="E237" s="2"/>
      <x:c r="F237" s="2"/>
      <x:c r="G237" s="2"/>
      <x:c r="H237" s="2"/>
      <x:c r="I237" s="7"/>
      <x:c r="J237" s="2"/>
      <x:c r="K237" s="2"/>
      <x:c r="L237" s="2"/>
      <x:c r="M237" s="2"/>
      <x:c r="N237" s="2"/>
      <x:c r="O237" s="2"/>
      <x:c r="P237" s="2"/>
      <x:c r="Q237" s="2"/>
      <x:c r="R237" s="2"/>
      <x:c r="S237" s="2"/>
      <x:c r="T237" s="2"/>
      <x:c r="U237" s="2"/>
      <x:c r="V237" s="5"/>
      <x:c r="W237" s="5"/>
      <x:c r="X237" s="5"/>
      <x:c r="Y237" s="5"/>
      <x:c r="Z237" s="5"/>
      <x:c r="AA237" s="5"/>
      <x:c r="AB237" s="5"/>
      <x:c r="AC237" s="5"/>
      <x:c r="AD237" s="5"/>
      <x:c r="AE237" s="5"/>
      <x:c r="AF237" s="5"/>
      <x:c r="AG237" s="5"/>
      <x:c r="AH237" s="5"/>
    </x:row>
    <x:row r="238" ht="12" hidden="0" customHeight="1">
      <x:c r="A238" s="2"/>
      <x:c r="B238" s="2"/>
      <x:c r="C238" s="2"/>
      <x:c r="D238" s="2"/>
      <x:c r="E238" s="2"/>
      <x:c r="F238" s="2"/>
      <x:c r="G238" s="2"/>
      <x:c r="H238" s="2"/>
      <x:c r="I238" s="7"/>
      <x:c r="J238" s="2"/>
      <x:c r="K238" s="2"/>
      <x:c r="L238" s="2"/>
      <x:c r="M238" s="2"/>
      <x:c r="N238" s="2"/>
      <x:c r="O238" s="2"/>
      <x:c r="P238" s="2"/>
      <x:c r="Q238" s="2"/>
      <x:c r="R238" s="2"/>
      <x:c r="S238" s="2"/>
      <x:c r="T238" s="2"/>
      <x:c r="U238" s="2"/>
      <x:c r="V238" s="5"/>
      <x:c r="W238" s="5"/>
      <x:c r="X238" s="5"/>
      <x:c r="Y238" s="5"/>
      <x:c r="Z238" s="5"/>
      <x:c r="AA238" s="5"/>
      <x:c r="AB238" s="5"/>
      <x:c r="AC238" s="5"/>
      <x:c r="AD238" s="5"/>
      <x:c r="AE238" s="5"/>
      <x:c r="AF238" s="5"/>
      <x:c r="AG238" s="5"/>
      <x:c r="AH238" s="5"/>
    </x:row>
    <x:row r="239" ht="12" hidden="0" customHeight="1">
      <x:c r="A239" s="2"/>
      <x:c r="B239" s="2"/>
      <x:c r="C239" s="2"/>
      <x:c r="D239" s="2"/>
      <x:c r="E239" s="2"/>
      <x:c r="F239" s="2"/>
      <x:c r="G239" s="2"/>
      <x:c r="H239" s="2"/>
      <x:c r="I239" s="7"/>
      <x:c r="J239" s="2"/>
      <x:c r="K239" s="2"/>
      <x:c r="L239" s="2"/>
      <x:c r="M239" s="2"/>
      <x:c r="N239" s="2"/>
      <x:c r="O239" s="2"/>
      <x:c r="P239" s="2"/>
      <x:c r="Q239" s="2"/>
      <x:c r="R239" s="2"/>
      <x:c r="S239" s="2"/>
      <x:c r="T239" s="2"/>
      <x:c r="U239" s="2"/>
      <x:c r="V239" s="5"/>
      <x:c r="W239" s="5"/>
      <x:c r="X239" s="5"/>
      <x:c r="Y239" s="5"/>
      <x:c r="Z239" s="5"/>
      <x:c r="AA239" s="5"/>
      <x:c r="AB239" s="5"/>
      <x:c r="AC239" s="5"/>
      <x:c r="AD239" s="5"/>
      <x:c r="AE239" s="5"/>
      <x:c r="AF239" s="5"/>
      <x:c r="AG239" s="5"/>
      <x:c r="AH239" s="5"/>
    </x:row>
    <x:row r="240" ht="12" hidden="0" customHeight="1">
      <x:c r="A240" s="2"/>
      <x:c r="B240" s="2"/>
      <x:c r="C240" s="2"/>
      <x:c r="D240" s="2"/>
      <x:c r="E240" s="2"/>
      <x:c r="F240" s="2"/>
      <x:c r="G240" s="2"/>
      <x:c r="H240" s="2"/>
      <x:c r="I240" s="7"/>
      <x:c r="J240" s="2"/>
      <x:c r="K240" s="2"/>
      <x:c r="L240" s="2"/>
      <x:c r="M240" s="2"/>
      <x:c r="N240" s="2"/>
      <x:c r="O240" s="2"/>
      <x:c r="P240" s="2"/>
      <x:c r="Q240" s="2"/>
      <x:c r="R240" s="2"/>
      <x:c r="S240" s="2"/>
      <x:c r="T240" s="2"/>
      <x:c r="U240" s="2"/>
      <x:c r="V240" s="5"/>
      <x:c r="W240" s="5"/>
      <x:c r="X240" s="5"/>
      <x:c r="Y240" s="5"/>
      <x:c r="Z240" s="5"/>
      <x:c r="AA240" s="5"/>
      <x:c r="AB240" s="5"/>
      <x:c r="AC240" s="5"/>
      <x:c r="AD240" s="5"/>
      <x:c r="AE240" s="5"/>
      <x:c r="AF240" s="5"/>
      <x:c r="AG240" s="5"/>
      <x:c r="AH240" s="5"/>
    </x:row>
    <x:row r="241" ht="12" hidden="0" customHeight="1">
      <x:c r="A241" s="2"/>
      <x:c r="B241" s="2"/>
      <x:c r="C241" s="2"/>
      <x:c r="D241" s="2"/>
      <x:c r="E241" s="2"/>
      <x:c r="F241" s="2"/>
      <x:c r="G241" s="2"/>
      <x:c r="H241" s="2"/>
      <x:c r="I241" s="7"/>
      <x:c r="J241" s="2"/>
      <x:c r="K241" s="2"/>
      <x:c r="L241" s="2"/>
      <x:c r="M241" s="2"/>
      <x:c r="N241" s="2"/>
      <x:c r="O241" s="2"/>
      <x:c r="P241" s="2"/>
      <x:c r="Q241" s="2"/>
      <x:c r="R241" s="2"/>
      <x:c r="S241" s="2"/>
      <x:c r="T241" s="2"/>
      <x:c r="U241" s="2"/>
      <x:c r="V241" s="5"/>
      <x:c r="W241" s="5"/>
      <x:c r="X241" s="5"/>
      <x:c r="Y241" s="5"/>
      <x:c r="Z241" s="5"/>
      <x:c r="AA241" s="5"/>
      <x:c r="AB241" s="5"/>
      <x:c r="AC241" s="5"/>
      <x:c r="AD241" s="5"/>
      <x:c r="AE241" s="5"/>
      <x:c r="AF241" s="5"/>
      <x:c r="AG241" s="5"/>
      <x:c r="AH241" s="5"/>
    </x:row>
    <x:row r="242" ht="12" hidden="0" customHeight="1">
      <x:c r="A242" s="2"/>
      <x:c r="B242" s="2"/>
      <x:c r="C242" s="2"/>
      <x:c r="D242" s="2"/>
      <x:c r="E242" s="2"/>
      <x:c r="F242" s="2"/>
      <x:c r="G242" s="2"/>
      <x:c r="H242" s="2"/>
      <x:c r="I242" s="7"/>
      <x:c r="J242" s="2"/>
      <x:c r="K242" s="2"/>
      <x:c r="L242" s="2"/>
      <x:c r="M242" s="2"/>
      <x:c r="N242" s="2"/>
      <x:c r="O242" s="2"/>
      <x:c r="P242" s="2"/>
      <x:c r="Q242" s="2"/>
      <x:c r="R242" s="2"/>
      <x:c r="S242" s="2"/>
      <x:c r="T242" s="2"/>
      <x:c r="U242" s="2"/>
      <x:c r="V242" s="5"/>
      <x:c r="W242" s="5"/>
      <x:c r="X242" s="5"/>
      <x:c r="Y242" s="5"/>
      <x:c r="Z242" s="5"/>
      <x:c r="AA242" s="5"/>
      <x:c r="AB242" s="5"/>
      <x:c r="AC242" s="5"/>
      <x:c r="AD242" s="5"/>
      <x:c r="AE242" s="5"/>
      <x:c r="AF242" s="5"/>
      <x:c r="AG242" s="5"/>
      <x:c r="AH242" s="5"/>
    </x:row>
    <x:row r="243" ht="12" hidden="0" customHeight="1">
      <x:c r="A243" s="2"/>
      <x:c r="B243" s="2"/>
      <x:c r="C243" s="2"/>
      <x:c r="D243" s="2"/>
      <x:c r="E243" s="2"/>
      <x:c r="F243" s="2"/>
      <x:c r="G243" s="2"/>
      <x:c r="H243" s="2"/>
      <x:c r="I243" s="7"/>
      <x:c r="J243" s="2"/>
      <x:c r="K243" s="2"/>
      <x:c r="L243" s="2"/>
      <x:c r="M243" s="2"/>
      <x:c r="N243" s="2"/>
      <x:c r="O243" s="2"/>
      <x:c r="P243" s="2"/>
      <x:c r="Q243" s="2"/>
      <x:c r="R243" s="2"/>
      <x:c r="S243" s="2"/>
      <x:c r="T243" s="2"/>
      <x:c r="U243" s="2"/>
      <x:c r="V243" s="5"/>
      <x:c r="W243" s="5"/>
      <x:c r="X243" s="5"/>
      <x:c r="Y243" s="5"/>
      <x:c r="Z243" s="5"/>
      <x:c r="AA243" s="5"/>
      <x:c r="AB243" s="5"/>
      <x:c r="AC243" s="5"/>
      <x:c r="AD243" s="5"/>
      <x:c r="AE243" s="5"/>
      <x:c r="AF243" s="5"/>
      <x:c r="AG243" s="5"/>
      <x:c r="AH243" s="5"/>
    </x:row>
    <x:row r="244" ht="12" hidden="0" customHeight="1">
      <x:c r="A244" s="2"/>
      <x:c r="B244" s="2"/>
      <x:c r="C244" s="2"/>
      <x:c r="D244" s="2"/>
      <x:c r="E244" s="2"/>
      <x:c r="F244" s="2"/>
      <x:c r="G244" s="2"/>
      <x:c r="H244" s="2"/>
      <x:c r="I244" s="7"/>
      <x:c r="J244" s="2"/>
      <x:c r="K244" s="2"/>
      <x:c r="L244" s="2"/>
      <x:c r="M244" s="2"/>
      <x:c r="N244" s="2"/>
      <x:c r="O244" s="2"/>
      <x:c r="P244" s="2"/>
      <x:c r="Q244" s="2"/>
      <x:c r="R244" s="2"/>
      <x:c r="S244" s="2"/>
      <x:c r="T244" s="2"/>
      <x:c r="U244" s="2"/>
      <x:c r="V244" s="5"/>
      <x:c r="W244" s="5"/>
      <x:c r="X244" s="5"/>
      <x:c r="Y244" s="5"/>
      <x:c r="Z244" s="5"/>
      <x:c r="AA244" s="5"/>
      <x:c r="AB244" s="5"/>
      <x:c r="AC244" s="5"/>
      <x:c r="AD244" s="5"/>
      <x:c r="AE244" s="5"/>
      <x:c r="AF244" s="5"/>
      <x:c r="AG244" s="5"/>
      <x:c r="AH244" s="5"/>
    </x:row>
    <x:row r="245" ht="12" hidden="0" customHeight="1">
      <x:c r="A245" s="2"/>
      <x:c r="B245" s="2"/>
      <x:c r="C245" s="2"/>
      <x:c r="D245" s="2"/>
      <x:c r="E245" s="2"/>
      <x:c r="F245" s="2"/>
      <x:c r="G245" s="2"/>
      <x:c r="H245" s="2"/>
      <x:c r="I245" s="7"/>
      <x:c r="J245" s="2"/>
      <x:c r="K245" s="2"/>
      <x:c r="L245" s="2"/>
      <x:c r="M245" s="2"/>
      <x:c r="N245" s="2"/>
      <x:c r="O245" s="2"/>
      <x:c r="P245" s="2"/>
      <x:c r="Q245" s="2"/>
      <x:c r="R245" s="2"/>
      <x:c r="S245" s="2"/>
      <x:c r="T245" s="2"/>
      <x:c r="U245" s="2"/>
      <x:c r="V245" s="5"/>
      <x:c r="W245" s="5"/>
      <x:c r="X245" s="5"/>
      <x:c r="Y245" s="5"/>
      <x:c r="Z245" s="5"/>
      <x:c r="AA245" s="5"/>
      <x:c r="AB245" s="5"/>
      <x:c r="AC245" s="5"/>
      <x:c r="AD245" s="5"/>
      <x:c r="AE245" s="5"/>
      <x:c r="AF245" s="5"/>
      <x:c r="AG245" s="5"/>
      <x:c r="AH245" s="5"/>
    </x:row>
    <x:row r="246" ht="12" hidden="0" customHeight="1">
      <x:c r="A246" s="2"/>
      <x:c r="B246" s="2"/>
      <x:c r="C246" s="2"/>
      <x:c r="D246" s="2"/>
      <x:c r="E246" s="2"/>
      <x:c r="F246" s="2"/>
      <x:c r="G246" s="2"/>
      <x:c r="H246" s="2"/>
      <x:c r="I246" s="7"/>
      <x:c r="J246" s="2"/>
      <x:c r="K246" s="2"/>
      <x:c r="L246" s="2"/>
      <x:c r="M246" s="2"/>
      <x:c r="N246" s="2"/>
      <x:c r="O246" s="2"/>
      <x:c r="P246" s="2"/>
      <x:c r="Q246" s="2"/>
      <x:c r="R246" s="2"/>
      <x:c r="S246" s="2"/>
      <x:c r="T246" s="2"/>
      <x:c r="U246" s="2"/>
      <x:c r="V246" s="5"/>
      <x:c r="W246" s="5"/>
      <x:c r="X246" s="5"/>
      <x:c r="Y246" s="5"/>
      <x:c r="Z246" s="5"/>
      <x:c r="AA246" s="5"/>
      <x:c r="AB246" s="5"/>
      <x:c r="AC246" s="5"/>
      <x:c r="AD246" s="5"/>
      <x:c r="AE246" s="5"/>
      <x:c r="AF246" s="5"/>
      <x:c r="AG246" s="5"/>
      <x:c r="AH246" s="5"/>
    </x:row>
    <x:row r="247" ht="12" hidden="0" customHeight="1">
      <x:c r="A247" s="2"/>
      <x:c r="B247" s="2"/>
      <x:c r="C247" s="2"/>
      <x:c r="D247" s="2"/>
      <x:c r="E247" s="2"/>
      <x:c r="F247" s="2"/>
      <x:c r="G247" s="2"/>
      <x:c r="H247" s="2"/>
      <x:c r="I247" s="7"/>
      <x:c r="J247" s="2"/>
      <x:c r="K247" s="2"/>
      <x:c r="L247" s="2"/>
      <x:c r="M247" s="2"/>
      <x:c r="N247" s="2"/>
      <x:c r="O247" s="2"/>
      <x:c r="P247" s="2"/>
      <x:c r="Q247" s="2"/>
      <x:c r="R247" s="2"/>
      <x:c r="S247" s="2"/>
      <x:c r="T247" s="2"/>
      <x:c r="U247" s="2"/>
      <x:c r="V247" s="5"/>
      <x:c r="W247" s="5"/>
      <x:c r="X247" s="5"/>
      <x:c r="Y247" s="5"/>
      <x:c r="Z247" s="5"/>
      <x:c r="AA247" s="5"/>
      <x:c r="AB247" s="5"/>
      <x:c r="AC247" s="5"/>
      <x:c r="AD247" s="5"/>
      <x:c r="AE247" s="5"/>
      <x:c r="AF247" s="5"/>
      <x:c r="AG247" s="5"/>
      <x:c r="AH247" s="5"/>
    </x:row>
    <x:row r="248" ht="12" hidden="0" customHeight="1">
      <x:c r="A248" s="2"/>
      <x:c r="B248" s="2"/>
      <x:c r="C248" s="2"/>
      <x:c r="D248" s="2"/>
      <x:c r="E248" s="2"/>
      <x:c r="F248" s="2"/>
      <x:c r="G248" s="2"/>
      <x:c r="H248" s="2"/>
      <x:c r="I248" s="7"/>
      <x:c r="J248" s="2"/>
      <x:c r="K248" s="2"/>
      <x:c r="L248" s="2"/>
      <x:c r="M248" s="2"/>
      <x:c r="N248" s="2"/>
      <x:c r="O248" s="2"/>
      <x:c r="P248" s="2"/>
      <x:c r="Q248" s="2"/>
      <x:c r="R248" s="2"/>
      <x:c r="S248" s="2"/>
      <x:c r="T248" s="2"/>
      <x:c r="U248" s="2"/>
      <x:c r="V248" s="5"/>
      <x:c r="W248" s="5"/>
      <x:c r="X248" s="5"/>
      <x:c r="Y248" s="5"/>
      <x:c r="Z248" s="5"/>
      <x:c r="AA248" s="5"/>
      <x:c r="AB248" s="5"/>
      <x:c r="AC248" s="5"/>
      <x:c r="AD248" s="5"/>
      <x:c r="AE248" s="5"/>
      <x:c r="AF248" s="5"/>
      <x:c r="AG248" s="5"/>
      <x:c r="AH248" s="5"/>
    </x:row>
    <x:row r="249" ht="12" hidden="0" customHeight="1">
      <x:c r="A249" s="2"/>
      <x:c r="B249" s="2"/>
      <x:c r="C249" s="2"/>
      <x:c r="D249" s="2"/>
      <x:c r="E249" s="2"/>
      <x:c r="F249" s="2"/>
      <x:c r="G249" s="2"/>
      <x:c r="H249" s="2"/>
      <x:c r="I249" s="7"/>
      <x:c r="J249" s="2"/>
      <x:c r="K249" s="2"/>
      <x:c r="L249" s="2"/>
      <x:c r="M249" s="2"/>
      <x:c r="N249" s="2"/>
      <x:c r="O249" s="2"/>
      <x:c r="P249" s="2"/>
      <x:c r="Q249" s="2"/>
      <x:c r="R249" s="2"/>
      <x:c r="S249" s="2"/>
      <x:c r="T249" s="2"/>
      <x:c r="U249" s="2"/>
      <x:c r="V249" s="5"/>
      <x:c r="W249" s="5"/>
      <x:c r="X249" s="5"/>
      <x:c r="Y249" s="5"/>
      <x:c r="Z249" s="5"/>
      <x:c r="AA249" s="5"/>
      <x:c r="AB249" s="5"/>
      <x:c r="AC249" s="5"/>
      <x:c r="AD249" s="5"/>
      <x:c r="AE249" s="5"/>
      <x:c r="AF249" s="5"/>
      <x:c r="AG249" s="5"/>
      <x:c r="AH249" s="5"/>
    </x:row>
    <x:row r="250" ht="12" hidden="0" customHeight="1">
      <x:c r="A250" s="2"/>
      <x:c r="B250" s="2"/>
      <x:c r="C250" s="2"/>
      <x:c r="D250" s="2"/>
      <x:c r="E250" s="2"/>
      <x:c r="F250" s="2"/>
      <x:c r="G250" s="2"/>
      <x:c r="H250" s="2"/>
      <x:c r="I250" s="7"/>
      <x:c r="J250" s="2"/>
      <x:c r="K250" s="2"/>
      <x:c r="L250" s="2"/>
      <x:c r="M250" s="2"/>
      <x:c r="N250" s="2"/>
      <x:c r="O250" s="2"/>
      <x:c r="P250" s="2"/>
      <x:c r="Q250" s="2"/>
      <x:c r="R250" s="2"/>
      <x:c r="S250" s="2"/>
      <x:c r="T250" s="2"/>
      <x:c r="U250" s="2"/>
      <x:c r="V250" s="5"/>
      <x:c r="W250" s="5"/>
      <x:c r="X250" s="5"/>
      <x:c r="Y250" s="5"/>
      <x:c r="Z250" s="5"/>
      <x:c r="AA250" s="5"/>
      <x:c r="AB250" s="5"/>
      <x:c r="AC250" s="5"/>
      <x:c r="AD250" s="5"/>
      <x:c r="AE250" s="5"/>
      <x:c r="AF250" s="5"/>
      <x:c r="AG250" s="5"/>
      <x:c r="AH250" s="5"/>
    </x:row>
    <x:row r="251" ht="12" hidden="0" customHeight="1">
      <x:c r="A251" s="2"/>
      <x:c r="B251" s="2"/>
      <x:c r="C251" s="2"/>
      <x:c r="D251" s="2"/>
      <x:c r="E251" s="2"/>
      <x:c r="F251" s="2"/>
      <x:c r="G251" s="2"/>
      <x:c r="H251" s="2"/>
      <x:c r="I251" s="7"/>
      <x:c r="J251" s="2"/>
      <x:c r="K251" s="2"/>
      <x:c r="L251" s="2"/>
      <x:c r="M251" s="2"/>
      <x:c r="N251" s="2"/>
      <x:c r="O251" s="2"/>
      <x:c r="P251" s="2"/>
      <x:c r="Q251" s="2"/>
      <x:c r="R251" s="2"/>
      <x:c r="S251" s="2"/>
      <x:c r="T251" s="2"/>
      <x:c r="U251" s="2"/>
      <x:c r="V251" s="5"/>
      <x:c r="W251" s="5"/>
      <x:c r="X251" s="5"/>
      <x:c r="Y251" s="5"/>
      <x:c r="Z251" s="5"/>
      <x:c r="AA251" s="5"/>
      <x:c r="AB251" s="5"/>
      <x:c r="AC251" s="5"/>
      <x:c r="AD251" s="5"/>
      <x:c r="AE251" s="5"/>
      <x:c r="AF251" s="5"/>
      <x:c r="AG251" s="5"/>
      <x:c r="AH251" s="5"/>
    </x:row>
    <x:row r="252" ht="12" hidden="0" customHeight="1">
      <x:c r="A252" s="2"/>
      <x:c r="B252" s="2"/>
      <x:c r="C252" s="2"/>
      <x:c r="D252" s="2"/>
      <x:c r="E252" s="2"/>
      <x:c r="F252" s="2"/>
      <x:c r="G252" s="2"/>
      <x:c r="H252" s="2"/>
      <x:c r="I252" s="7"/>
      <x:c r="J252" s="2"/>
      <x:c r="K252" s="2"/>
      <x:c r="L252" s="2"/>
      <x:c r="M252" s="2"/>
      <x:c r="N252" s="2"/>
      <x:c r="O252" s="2"/>
      <x:c r="P252" s="2"/>
      <x:c r="Q252" s="2"/>
      <x:c r="R252" s="2"/>
      <x:c r="S252" s="2"/>
      <x:c r="T252" s="2"/>
      <x:c r="U252" s="2"/>
      <x:c r="V252" s="5"/>
      <x:c r="W252" s="5"/>
      <x:c r="X252" s="5"/>
      <x:c r="Y252" s="5"/>
      <x:c r="Z252" s="5"/>
      <x:c r="AA252" s="5"/>
      <x:c r="AB252" s="5"/>
      <x:c r="AC252" s="5"/>
      <x:c r="AD252" s="5"/>
      <x:c r="AE252" s="5"/>
      <x:c r="AF252" s="5"/>
      <x:c r="AG252" s="5"/>
      <x:c r="AH252" s="5"/>
    </x:row>
    <x:row r="253" ht="12" hidden="0" customHeight="1">
      <x:c r="A253" s="2"/>
      <x:c r="B253" s="2"/>
      <x:c r="C253" s="2"/>
      <x:c r="D253" s="2"/>
      <x:c r="E253" s="2"/>
      <x:c r="F253" s="2"/>
      <x:c r="G253" s="2"/>
      <x:c r="H253" s="2"/>
      <x:c r="I253" s="7"/>
      <x:c r="J253" s="2"/>
      <x:c r="K253" s="2"/>
      <x:c r="L253" s="2"/>
      <x:c r="M253" s="2"/>
      <x:c r="N253" s="2"/>
      <x:c r="O253" s="2"/>
      <x:c r="P253" s="2"/>
      <x:c r="Q253" s="2"/>
      <x:c r="R253" s="2"/>
      <x:c r="S253" s="2"/>
      <x:c r="T253" s="2"/>
      <x:c r="U253" s="2"/>
      <x:c r="V253" s="5"/>
      <x:c r="W253" s="5"/>
      <x:c r="X253" s="5"/>
      <x:c r="Y253" s="5"/>
      <x:c r="Z253" s="5"/>
      <x:c r="AA253" s="5"/>
      <x:c r="AB253" s="5"/>
      <x:c r="AC253" s="5"/>
      <x:c r="AD253" s="5"/>
      <x:c r="AE253" s="5"/>
      <x:c r="AF253" s="5"/>
      <x:c r="AG253" s="5"/>
      <x:c r="AH253" s="5"/>
    </x:row>
    <x:row r="254" ht="12" hidden="0" customHeight="1">
      <x:c r="A254" s="2"/>
      <x:c r="B254" s="2"/>
      <x:c r="C254" s="2"/>
      <x:c r="D254" s="2"/>
      <x:c r="E254" s="2"/>
      <x:c r="F254" s="2"/>
      <x:c r="G254" s="2"/>
      <x:c r="H254" s="2"/>
      <x:c r="I254" s="7"/>
      <x:c r="J254" s="2"/>
      <x:c r="K254" s="2"/>
      <x:c r="L254" s="2"/>
      <x:c r="M254" s="2"/>
      <x:c r="N254" s="2"/>
      <x:c r="O254" s="2"/>
      <x:c r="P254" s="2"/>
      <x:c r="Q254" s="2"/>
      <x:c r="R254" s="2"/>
      <x:c r="S254" s="2"/>
      <x:c r="T254" s="2"/>
      <x:c r="U254" s="2"/>
      <x:c r="V254" s="5"/>
      <x:c r="W254" s="5"/>
      <x:c r="X254" s="5"/>
      <x:c r="Y254" s="5"/>
      <x:c r="Z254" s="5"/>
      <x:c r="AA254" s="5"/>
      <x:c r="AB254" s="5"/>
      <x:c r="AC254" s="5"/>
      <x:c r="AD254" s="5"/>
      <x:c r="AE254" s="5"/>
      <x:c r="AF254" s="5"/>
      <x:c r="AG254" s="5"/>
      <x:c r="AH254" s="5"/>
    </x:row>
    <x:row r="255" ht="12" hidden="0" customHeight="1">
      <x:c r="A255" s="2"/>
      <x:c r="B255" s="2"/>
      <x:c r="C255" s="2"/>
      <x:c r="D255" s="2"/>
      <x:c r="E255" s="2"/>
      <x:c r="F255" s="2"/>
      <x:c r="G255" s="2"/>
      <x:c r="H255" s="2"/>
      <x:c r="I255" s="7"/>
      <x:c r="J255" s="2"/>
      <x:c r="K255" s="2"/>
      <x:c r="L255" s="2"/>
      <x:c r="M255" s="2"/>
      <x:c r="N255" s="2"/>
      <x:c r="O255" s="2"/>
      <x:c r="P255" s="2"/>
      <x:c r="Q255" s="2"/>
      <x:c r="R255" s="2"/>
      <x:c r="S255" s="2"/>
      <x:c r="T255" s="2"/>
      <x:c r="U255" s="2"/>
      <x:c r="V255" s="5"/>
      <x:c r="W255" s="5"/>
      <x:c r="X255" s="5"/>
      <x:c r="Y255" s="5"/>
      <x:c r="Z255" s="5"/>
      <x:c r="AA255" s="5"/>
      <x:c r="AB255" s="5"/>
      <x:c r="AC255" s="5"/>
      <x:c r="AD255" s="5"/>
      <x:c r="AE255" s="5"/>
      <x:c r="AF255" s="5"/>
      <x:c r="AG255" s="5"/>
      <x:c r="AH255" s="5"/>
    </x:row>
    <x:row r="256" ht="12" hidden="0" customHeight="1">
      <x:c r="A256" s="2"/>
      <x:c r="B256" s="2"/>
      <x:c r="C256" s="2"/>
      <x:c r="D256" s="2"/>
      <x:c r="E256" s="2"/>
      <x:c r="F256" s="2"/>
      <x:c r="G256" s="2"/>
      <x:c r="H256" s="2"/>
      <x:c r="I256" s="7"/>
      <x:c r="J256" s="2"/>
      <x:c r="K256" s="2"/>
      <x:c r="L256" s="2"/>
      <x:c r="M256" s="2"/>
      <x:c r="N256" s="2"/>
      <x:c r="O256" s="2"/>
      <x:c r="P256" s="2"/>
      <x:c r="Q256" s="2"/>
      <x:c r="R256" s="2"/>
      <x:c r="S256" s="2"/>
      <x:c r="T256" s="2"/>
      <x:c r="U256" s="2"/>
      <x:c r="V256" s="5"/>
      <x:c r="W256" s="5"/>
      <x:c r="X256" s="5"/>
      <x:c r="Y256" s="5"/>
      <x:c r="Z256" s="5"/>
      <x:c r="AA256" s="5"/>
      <x:c r="AB256" s="5"/>
      <x:c r="AC256" s="5"/>
      <x:c r="AD256" s="5"/>
      <x:c r="AE256" s="5"/>
      <x:c r="AF256" s="5"/>
      <x:c r="AG256" s="5"/>
      <x:c r="AH256" s="5"/>
    </x:row>
    <x:row r="257" ht="12" hidden="0" customHeight="1">
      <x:c r="A257" s="2"/>
      <x:c r="B257" s="2"/>
      <x:c r="C257" s="2"/>
      <x:c r="D257" s="2"/>
      <x:c r="E257" s="2"/>
      <x:c r="F257" s="2"/>
      <x:c r="G257" s="2"/>
      <x:c r="H257" s="2"/>
      <x:c r="I257" s="7"/>
      <x:c r="J257" s="2"/>
      <x:c r="K257" s="2"/>
      <x:c r="L257" s="2"/>
      <x:c r="M257" s="2"/>
      <x:c r="N257" s="2"/>
      <x:c r="O257" s="2"/>
      <x:c r="P257" s="2"/>
      <x:c r="Q257" s="2"/>
      <x:c r="R257" s="2"/>
      <x:c r="S257" s="2"/>
      <x:c r="T257" s="2"/>
      <x:c r="U257" s="2"/>
      <x:c r="V257" s="5"/>
      <x:c r="W257" s="5"/>
      <x:c r="X257" s="5"/>
      <x:c r="Y257" s="5"/>
      <x:c r="Z257" s="5"/>
      <x:c r="AA257" s="5"/>
      <x:c r="AB257" s="5"/>
      <x:c r="AC257" s="5"/>
      <x:c r="AD257" s="5"/>
      <x:c r="AE257" s="5"/>
      <x:c r="AF257" s="5"/>
      <x:c r="AG257" s="5"/>
      <x:c r="AH257" s="5"/>
    </x:row>
    <x:row r="258" ht="12" hidden="0" customHeight="1">
      <x:c r="A258" s="2"/>
      <x:c r="B258" s="2"/>
      <x:c r="C258" s="2"/>
      <x:c r="D258" s="2"/>
      <x:c r="E258" s="2"/>
      <x:c r="F258" s="2"/>
      <x:c r="G258" s="2"/>
      <x:c r="H258" s="2"/>
      <x:c r="I258" s="7"/>
      <x:c r="J258" s="2"/>
      <x:c r="K258" s="2"/>
      <x:c r="L258" s="2"/>
      <x:c r="M258" s="2"/>
      <x:c r="N258" s="2"/>
      <x:c r="O258" s="2"/>
      <x:c r="P258" s="2"/>
      <x:c r="Q258" s="2"/>
      <x:c r="R258" s="2"/>
      <x:c r="S258" s="2"/>
      <x:c r="T258" s="2"/>
      <x:c r="U258" s="2"/>
      <x:c r="V258" s="5"/>
      <x:c r="W258" s="5"/>
      <x:c r="X258" s="5"/>
      <x:c r="Y258" s="5"/>
      <x:c r="Z258" s="5"/>
      <x:c r="AA258" s="5"/>
      <x:c r="AB258" s="5"/>
      <x:c r="AC258" s="5"/>
      <x:c r="AD258" s="5"/>
      <x:c r="AE258" s="5"/>
      <x:c r="AF258" s="5"/>
      <x:c r="AG258" s="5"/>
      <x:c r="AH258" s="5"/>
    </x:row>
    <x:row r="259" ht="12" hidden="0" customHeight="1">
      <x:c r="A259" s="2"/>
      <x:c r="B259" s="2"/>
      <x:c r="C259" s="2"/>
      <x:c r="D259" s="2"/>
      <x:c r="E259" s="2"/>
      <x:c r="F259" s="2"/>
      <x:c r="G259" s="2"/>
      <x:c r="H259" s="2"/>
      <x:c r="I259" s="7"/>
      <x:c r="J259" s="2"/>
      <x:c r="K259" s="2"/>
      <x:c r="L259" s="2"/>
      <x:c r="M259" s="2"/>
      <x:c r="N259" s="2"/>
      <x:c r="O259" s="2"/>
      <x:c r="P259" s="2"/>
      <x:c r="Q259" s="2"/>
      <x:c r="R259" s="2"/>
      <x:c r="S259" s="2"/>
      <x:c r="T259" s="2"/>
      <x:c r="U259" s="2"/>
      <x:c r="V259" s="5"/>
      <x:c r="W259" s="5"/>
      <x:c r="X259" s="5"/>
      <x:c r="Y259" s="5"/>
      <x:c r="Z259" s="5"/>
      <x:c r="AA259" s="5"/>
      <x:c r="AB259" s="5"/>
      <x:c r="AC259" s="5"/>
      <x:c r="AD259" s="5"/>
      <x:c r="AE259" s="5"/>
      <x:c r="AF259" s="5"/>
      <x:c r="AG259" s="5"/>
      <x:c r="AH259" s="5"/>
    </x:row>
    <x:row r="260" ht="12" hidden="0" customHeight="1">
      <x:c r="A260" s="2"/>
      <x:c r="B260" s="2"/>
      <x:c r="C260" s="2"/>
      <x:c r="D260" s="2"/>
      <x:c r="E260" s="2"/>
      <x:c r="F260" s="2"/>
      <x:c r="G260" s="2"/>
      <x:c r="H260" s="2"/>
      <x:c r="I260" s="7"/>
      <x:c r="J260" s="2"/>
      <x:c r="K260" s="2"/>
      <x:c r="L260" s="2"/>
      <x:c r="M260" s="2"/>
      <x:c r="N260" s="2"/>
      <x:c r="O260" s="2"/>
      <x:c r="P260" s="2"/>
      <x:c r="Q260" s="2"/>
      <x:c r="R260" s="2"/>
      <x:c r="S260" s="2"/>
      <x:c r="T260" s="2"/>
      <x:c r="U260" s="2"/>
      <x:c r="V260" s="5"/>
      <x:c r="W260" s="5"/>
      <x:c r="X260" s="5"/>
      <x:c r="Y260" s="5"/>
      <x:c r="Z260" s="5"/>
      <x:c r="AA260" s="5"/>
      <x:c r="AB260" s="5"/>
      <x:c r="AC260" s="5"/>
      <x:c r="AD260" s="5"/>
      <x:c r="AE260" s="5"/>
      <x:c r="AF260" s="5"/>
      <x:c r="AG260" s="5"/>
      <x:c r="AH260" s="5"/>
    </x:row>
    <x:row r="261" ht="12" hidden="0" customHeight="1">
      <x:c r="A261" s="2"/>
      <x:c r="B261" s="2"/>
      <x:c r="C261" s="2"/>
      <x:c r="D261" s="2"/>
      <x:c r="E261" s="2"/>
      <x:c r="F261" s="2"/>
      <x:c r="G261" s="2"/>
      <x:c r="H261" s="2"/>
      <x:c r="I261" s="7"/>
      <x:c r="J261" s="2"/>
      <x:c r="K261" s="2"/>
      <x:c r="L261" s="2"/>
      <x:c r="M261" s="2"/>
      <x:c r="N261" s="2"/>
      <x:c r="O261" s="2"/>
      <x:c r="P261" s="2"/>
      <x:c r="Q261" s="2"/>
      <x:c r="R261" s="2"/>
      <x:c r="S261" s="2"/>
      <x:c r="T261" s="2"/>
      <x:c r="U261" s="2"/>
      <x:c r="V261" s="5"/>
      <x:c r="W261" s="5"/>
      <x:c r="X261" s="5"/>
      <x:c r="Y261" s="5"/>
      <x:c r="Z261" s="5"/>
      <x:c r="AA261" s="5"/>
      <x:c r="AB261" s="5"/>
      <x:c r="AC261" s="5"/>
      <x:c r="AD261" s="5"/>
      <x:c r="AE261" s="5"/>
      <x:c r="AF261" s="5"/>
      <x:c r="AG261" s="5"/>
      <x:c r="AH261" s="5"/>
    </x:row>
    <x:row r="262" ht="12" hidden="0" customHeight="1">
      <x:c r="A262" s="2"/>
      <x:c r="B262" s="2"/>
      <x:c r="C262" s="2"/>
      <x:c r="D262" s="2"/>
      <x:c r="E262" s="2"/>
      <x:c r="F262" s="2"/>
      <x:c r="G262" s="2"/>
      <x:c r="H262" s="2"/>
      <x:c r="I262" s="7"/>
      <x:c r="J262" s="2"/>
      <x:c r="K262" s="2"/>
      <x:c r="L262" s="2"/>
      <x:c r="M262" s="2"/>
      <x:c r="N262" s="2"/>
      <x:c r="O262" s="2"/>
      <x:c r="P262" s="2"/>
      <x:c r="Q262" s="2"/>
      <x:c r="R262" s="2"/>
      <x:c r="S262" s="2"/>
      <x:c r="T262" s="2"/>
      <x:c r="U262" s="2"/>
      <x:c r="V262" s="5"/>
      <x:c r="W262" s="5"/>
      <x:c r="X262" s="5"/>
      <x:c r="Y262" s="5"/>
      <x:c r="Z262" s="5"/>
      <x:c r="AA262" s="5"/>
      <x:c r="AB262" s="5"/>
      <x:c r="AC262" s="5"/>
      <x:c r="AD262" s="5"/>
      <x:c r="AE262" s="5"/>
      <x:c r="AF262" s="5"/>
      <x:c r="AG262" s="5"/>
      <x:c r="AH262" s="5"/>
    </x:row>
    <x:row r="263" ht="12" hidden="0" customHeight="1">
      <x:c r="A263" s="2"/>
      <x:c r="B263" s="2"/>
      <x:c r="C263" s="2"/>
      <x:c r="D263" s="2"/>
      <x:c r="E263" s="2"/>
      <x:c r="F263" s="2"/>
      <x:c r="G263" s="2"/>
      <x:c r="H263" s="2"/>
      <x:c r="I263" s="7"/>
      <x:c r="J263" s="2"/>
      <x:c r="K263" s="2"/>
      <x:c r="L263" s="2"/>
      <x:c r="M263" s="2"/>
      <x:c r="N263" s="2"/>
      <x:c r="O263" s="2"/>
      <x:c r="P263" s="2"/>
      <x:c r="Q263" s="2"/>
      <x:c r="R263" s="2"/>
      <x:c r="S263" s="2"/>
      <x:c r="T263" s="2"/>
      <x:c r="U263" s="2"/>
      <x:c r="V263" s="5"/>
      <x:c r="W263" s="5"/>
      <x:c r="X263" s="5"/>
      <x:c r="Y263" s="5"/>
      <x:c r="Z263" s="5"/>
      <x:c r="AA263" s="5"/>
      <x:c r="AB263" s="5"/>
      <x:c r="AC263" s="5"/>
      <x:c r="AD263" s="5"/>
      <x:c r="AE263" s="5"/>
      <x:c r="AF263" s="5"/>
      <x:c r="AG263" s="5"/>
      <x:c r="AH263" s="5"/>
    </x:row>
    <x:row r="264" ht="12" hidden="0" customHeight="1">
      <x:c r="A264" s="2"/>
      <x:c r="B264" s="2"/>
      <x:c r="C264" s="2"/>
      <x:c r="D264" s="2"/>
      <x:c r="E264" s="2"/>
      <x:c r="F264" s="2"/>
      <x:c r="G264" s="2"/>
      <x:c r="H264" s="2"/>
      <x:c r="I264" s="7"/>
      <x:c r="J264" s="2"/>
      <x:c r="K264" s="2"/>
      <x:c r="L264" s="2"/>
      <x:c r="M264" s="2"/>
      <x:c r="N264" s="2"/>
      <x:c r="O264" s="2"/>
      <x:c r="P264" s="2"/>
      <x:c r="Q264" s="2"/>
      <x:c r="R264" s="2"/>
      <x:c r="S264" s="2"/>
      <x:c r="T264" s="2"/>
      <x:c r="U264" s="2"/>
      <x:c r="V264" s="5"/>
      <x:c r="W264" s="5"/>
      <x:c r="X264" s="5"/>
      <x:c r="Y264" s="5"/>
      <x:c r="Z264" s="5"/>
      <x:c r="AA264" s="5"/>
      <x:c r="AB264" s="5"/>
      <x:c r="AC264" s="5"/>
      <x:c r="AD264" s="5"/>
      <x:c r="AE264" s="5"/>
      <x:c r="AF264" s="5"/>
      <x:c r="AG264" s="5"/>
      <x:c r="AH264" s="5"/>
    </x:row>
    <x:row r="265" ht="12" hidden="0" customHeight="1">
      <x:c r="A265" s="2"/>
      <x:c r="B265" s="2"/>
      <x:c r="C265" s="2"/>
      <x:c r="D265" s="2"/>
      <x:c r="E265" s="2"/>
      <x:c r="F265" s="2"/>
      <x:c r="G265" s="2"/>
      <x:c r="H265" s="2"/>
      <x:c r="I265" s="7"/>
      <x:c r="J265" s="2"/>
      <x:c r="K265" s="2"/>
      <x:c r="L265" s="2"/>
      <x:c r="M265" s="2"/>
      <x:c r="N265" s="2"/>
      <x:c r="O265" s="2"/>
      <x:c r="P265" s="2"/>
      <x:c r="Q265" s="2"/>
      <x:c r="R265" s="2"/>
      <x:c r="S265" s="2"/>
      <x:c r="T265" s="2"/>
      <x:c r="U265" s="2"/>
      <x:c r="V265" s="5"/>
      <x:c r="W265" s="5"/>
      <x:c r="X265" s="5"/>
      <x:c r="Y265" s="5"/>
      <x:c r="Z265" s="5"/>
      <x:c r="AA265" s="5"/>
      <x:c r="AB265" s="5"/>
      <x:c r="AC265" s="5"/>
      <x:c r="AD265" s="5"/>
      <x:c r="AE265" s="5"/>
      <x:c r="AF265" s="5"/>
      <x:c r="AG265" s="5"/>
      <x:c r="AH265" s="5"/>
    </x:row>
    <x:row r="266" ht="12" hidden="0" customHeight="1">
      <x:c r="A266" s="2"/>
      <x:c r="B266" s="2"/>
      <x:c r="C266" s="2"/>
      <x:c r="D266" s="2"/>
      <x:c r="E266" s="2"/>
      <x:c r="F266" s="2"/>
      <x:c r="G266" s="2"/>
      <x:c r="H266" s="2"/>
      <x:c r="I266" s="7"/>
      <x:c r="J266" s="2"/>
      <x:c r="K266" s="2"/>
      <x:c r="L266" s="2"/>
      <x:c r="M266" s="2"/>
      <x:c r="N266" s="2"/>
      <x:c r="O266" s="2"/>
      <x:c r="P266" s="2"/>
      <x:c r="Q266" s="2"/>
      <x:c r="R266" s="2"/>
      <x:c r="S266" s="2"/>
      <x:c r="T266" s="2"/>
      <x:c r="U266" s="2"/>
      <x:c r="V266" s="5"/>
      <x:c r="W266" s="5"/>
      <x:c r="X266" s="5"/>
      <x:c r="Y266" s="5"/>
      <x:c r="Z266" s="5"/>
      <x:c r="AA266" s="5"/>
      <x:c r="AB266" s="5"/>
      <x:c r="AC266" s="5"/>
      <x:c r="AD266" s="5"/>
      <x:c r="AE266" s="5"/>
      <x:c r="AF266" s="5"/>
      <x:c r="AG266" s="5"/>
      <x:c r="AH266" s="5"/>
    </x:row>
    <x:row r="267" ht="12" hidden="0" customHeight="1">
      <x:c r="A267" s="2"/>
      <x:c r="B267" s="2"/>
      <x:c r="C267" s="2"/>
      <x:c r="D267" s="2"/>
      <x:c r="E267" s="2"/>
      <x:c r="F267" s="2"/>
      <x:c r="G267" s="2"/>
      <x:c r="H267" s="2"/>
      <x:c r="I267" s="7"/>
      <x:c r="J267" s="2"/>
      <x:c r="K267" s="2"/>
      <x:c r="L267" s="2"/>
      <x:c r="M267" s="2"/>
      <x:c r="N267" s="2"/>
      <x:c r="O267" s="2"/>
      <x:c r="P267" s="2"/>
      <x:c r="Q267" s="2"/>
      <x:c r="R267" s="2"/>
      <x:c r="S267" s="2"/>
      <x:c r="T267" s="2"/>
      <x:c r="U267" s="2"/>
      <x:c r="V267" s="5"/>
      <x:c r="W267" s="5"/>
      <x:c r="X267" s="5"/>
      <x:c r="Y267" s="5"/>
      <x:c r="Z267" s="5"/>
      <x:c r="AA267" s="5"/>
      <x:c r="AB267" s="5"/>
      <x:c r="AC267" s="5"/>
      <x:c r="AD267" s="5"/>
      <x:c r="AE267" s="5"/>
      <x:c r="AF267" s="5"/>
      <x:c r="AG267" s="5"/>
      <x:c r="AH267" s="5"/>
    </x:row>
    <x:row r="268" ht="12" hidden="0" customHeight="1">
      <x:c r="A268" s="2"/>
      <x:c r="B268" s="2"/>
      <x:c r="C268" s="2"/>
      <x:c r="D268" s="2"/>
      <x:c r="E268" s="2"/>
      <x:c r="F268" s="2"/>
      <x:c r="G268" s="2"/>
      <x:c r="H268" s="2"/>
      <x:c r="I268" s="7"/>
      <x:c r="J268" s="2"/>
      <x:c r="K268" s="2"/>
      <x:c r="L268" s="2"/>
      <x:c r="M268" s="2"/>
      <x:c r="N268" s="2"/>
      <x:c r="O268" s="2"/>
      <x:c r="P268" s="2"/>
      <x:c r="Q268" s="2"/>
      <x:c r="R268" s="2"/>
      <x:c r="S268" s="2"/>
      <x:c r="T268" s="2"/>
      <x:c r="U268" s="2"/>
      <x:c r="V268" s="5"/>
      <x:c r="W268" s="5"/>
      <x:c r="X268" s="5"/>
      <x:c r="Y268" s="5"/>
      <x:c r="Z268" s="5"/>
      <x:c r="AA268" s="5"/>
      <x:c r="AB268" s="5"/>
      <x:c r="AC268" s="5"/>
      <x:c r="AD268" s="5"/>
      <x:c r="AE268" s="5"/>
      <x:c r="AF268" s="5"/>
      <x:c r="AG268" s="5"/>
      <x:c r="AH268" s="5"/>
    </x:row>
    <x:row r="269" ht="12" hidden="0" customHeight="1">
      <x:c r="A269" s="2"/>
      <x:c r="B269" s="2"/>
      <x:c r="C269" s="2"/>
      <x:c r="D269" s="2"/>
      <x:c r="E269" s="2"/>
      <x:c r="F269" s="2"/>
      <x:c r="G269" s="2"/>
      <x:c r="H269" s="2"/>
      <x:c r="I269" s="7"/>
      <x:c r="J269" s="2"/>
      <x:c r="K269" s="2"/>
      <x:c r="L269" s="2"/>
      <x:c r="M269" s="2"/>
      <x:c r="N269" s="2"/>
      <x:c r="O269" s="2"/>
      <x:c r="P269" s="2"/>
      <x:c r="Q269" s="2"/>
      <x:c r="R269" s="2"/>
      <x:c r="S269" s="2"/>
      <x:c r="T269" s="2"/>
      <x:c r="U269" s="2"/>
      <x:c r="V269" s="5"/>
      <x:c r="W269" s="5"/>
      <x:c r="X269" s="5"/>
      <x:c r="Y269" s="5"/>
      <x:c r="Z269" s="5"/>
      <x:c r="AA269" s="5"/>
      <x:c r="AB269" s="5"/>
      <x:c r="AC269" s="5"/>
      <x:c r="AD269" s="5"/>
      <x:c r="AE269" s="5"/>
      <x:c r="AF269" s="5"/>
      <x:c r="AG269" s="5"/>
      <x:c r="AH269" s="5"/>
    </x:row>
    <x:row r="270" ht="12" hidden="0" customHeight="1">
      <x:c r="A270" s="2"/>
      <x:c r="B270" s="2"/>
      <x:c r="C270" s="2"/>
      <x:c r="D270" s="2"/>
      <x:c r="E270" s="2"/>
      <x:c r="F270" s="2"/>
      <x:c r="G270" s="2"/>
      <x:c r="H270" s="2"/>
      <x:c r="I270" s="7"/>
      <x:c r="J270" s="2"/>
      <x:c r="K270" s="2"/>
      <x:c r="L270" s="2"/>
      <x:c r="M270" s="2"/>
      <x:c r="N270" s="2"/>
      <x:c r="O270" s="2"/>
      <x:c r="P270" s="2"/>
      <x:c r="Q270" s="2"/>
      <x:c r="R270" s="2"/>
      <x:c r="S270" s="2"/>
      <x:c r="T270" s="2"/>
      <x:c r="U270" s="2"/>
      <x:c r="V270" s="5"/>
      <x:c r="W270" s="5"/>
      <x:c r="X270" s="5"/>
      <x:c r="Y270" s="5"/>
      <x:c r="Z270" s="5"/>
      <x:c r="AA270" s="5"/>
      <x:c r="AB270" s="5"/>
      <x:c r="AC270" s="5"/>
      <x:c r="AD270" s="5"/>
      <x:c r="AE270" s="5"/>
      <x:c r="AF270" s="5"/>
      <x:c r="AG270" s="5"/>
      <x:c r="AH270" s="5"/>
    </x:row>
    <x:row r="271" ht="12" hidden="0" customHeight="1">
      <x:c r="A271" s="2"/>
      <x:c r="B271" s="2"/>
      <x:c r="C271" s="2"/>
      <x:c r="D271" s="2"/>
      <x:c r="E271" s="2"/>
      <x:c r="F271" s="2"/>
      <x:c r="G271" s="2"/>
      <x:c r="H271" s="2"/>
      <x:c r="I271" s="7"/>
      <x:c r="J271" s="2"/>
      <x:c r="K271" s="2"/>
      <x:c r="L271" s="2"/>
      <x:c r="M271" s="2"/>
      <x:c r="N271" s="2"/>
      <x:c r="O271" s="2"/>
      <x:c r="P271" s="2"/>
      <x:c r="Q271" s="2"/>
      <x:c r="R271" s="2"/>
      <x:c r="S271" s="2"/>
      <x:c r="T271" s="2"/>
      <x:c r="U271" s="2"/>
      <x:c r="V271" s="5"/>
      <x:c r="W271" s="5"/>
      <x:c r="X271" s="5"/>
      <x:c r="Y271" s="5"/>
      <x:c r="Z271" s="5"/>
      <x:c r="AA271" s="5"/>
      <x:c r="AB271" s="5"/>
      <x:c r="AC271" s="5"/>
      <x:c r="AD271" s="5"/>
      <x:c r="AE271" s="5"/>
      <x:c r="AF271" s="5"/>
      <x:c r="AG271" s="5"/>
      <x:c r="AH271" s="5"/>
    </x:row>
    <x:row r="272" ht="12" hidden="0" customHeight="1">
      <x:c r="A272" s="2"/>
      <x:c r="B272" s="2"/>
      <x:c r="C272" s="2"/>
      <x:c r="D272" s="2"/>
      <x:c r="E272" s="2"/>
      <x:c r="F272" s="2"/>
      <x:c r="G272" s="2"/>
      <x:c r="H272" s="2"/>
      <x:c r="I272" s="7"/>
      <x:c r="J272" s="2"/>
      <x:c r="K272" s="2"/>
      <x:c r="L272" s="2"/>
      <x:c r="M272" s="2"/>
      <x:c r="N272" s="2"/>
      <x:c r="O272" s="2"/>
      <x:c r="P272" s="2"/>
      <x:c r="Q272" s="2"/>
      <x:c r="R272" s="2"/>
      <x:c r="S272" s="2"/>
      <x:c r="T272" s="2"/>
      <x:c r="U272" s="2"/>
      <x:c r="V272" s="5"/>
      <x:c r="W272" s="5"/>
      <x:c r="X272" s="5"/>
      <x:c r="Y272" s="5"/>
      <x:c r="Z272" s="5"/>
      <x:c r="AA272" s="5"/>
      <x:c r="AB272" s="5"/>
      <x:c r="AC272" s="5"/>
      <x:c r="AD272" s="5"/>
      <x:c r="AE272" s="5"/>
      <x:c r="AF272" s="5"/>
      <x:c r="AG272" s="5"/>
      <x:c r="AH272" s="5"/>
    </x:row>
    <x:row r="273" ht="12" hidden="0" customHeight="1">
      <x:c r="A273" s="2"/>
      <x:c r="B273" s="2"/>
      <x:c r="C273" s="2"/>
      <x:c r="D273" s="2"/>
      <x:c r="E273" s="2"/>
      <x:c r="F273" s="2"/>
      <x:c r="G273" s="2"/>
      <x:c r="H273" s="2"/>
      <x:c r="I273" s="7"/>
      <x:c r="J273" s="2"/>
      <x:c r="K273" s="2"/>
      <x:c r="L273" s="2"/>
      <x:c r="M273" s="2"/>
      <x:c r="N273" s="2"/>
      <x:c r="O273" s="2"/>
      <x:c r="P273" s="2"/>
      <x:c r="Q273" s="2"/>
      <x:c r="R273" s="2"/>
      <x:c r="S273" s="2"/>
      <x:c r="T273" s="2"/>
      <x:c r="U273" s="2"/>
      <x:c r="V273" s="5"/>
      <x:c r="W273" s="5"/>
      <x:c r="X273" s="5"/>
      <x:c r="Y273" s="5"/>
      <x:c r="Z273" s="5"/>
      <x:c r="AA273" s="5"/>
      <x:c r="AB273" s="5"/>
      <x:c r="AC273" s="5"/>
      <x:c r="AD273" s="5"/>
      <x:c r="AE273" s="5"/>
      <x:c r="AF273" s="5"/>
      <x:c r="AG273" s="5"/>
      <x:c r="AH273" s="5"/>
    </x:row>
    <x:row r="274" ht="12" hidden="0" customHeight="1">
      <x:c r="A274" s="2"/>
      <x:c r="B274" s="2"/>
      <x:c r="C274" s="2"/>
      <x:c r="D274" s="2"/>
      <x:c r="E274" s="2"/>
      <x:c r="F274" s="2"/>
      <x:c r="G274" s="2"/>
      <x:c r="H274" s="2"/>
      <x:c r="I274" s="7"/>
      <x:c r="J274" s="2"/>
      <x:c r="K274" s="2"/>
      <x:c r="L274" s="2"/>
      <x:c r="M274" s="2"/>
      <x:c r="N274" s="2"/>
      <x:c r="O274" s="2"/>
      <x:c r="P274" s="2"/>
      <x:c r="Q274" s="2"/>
      <x:c r="R274" s="2"/>
      <x:c r="S274" s="2"/>
      <x:c r="T274" s="2"/>
      <x:c r="U274" s="2"/>
      <x:c r="V274" s="5"/>
      <x:c r="W274" s="5"/>
      <x:c r="X274" s="5"/>
      <x:c r="Y274" s="5"/>
      <x:c r="Z274" s="5"/>
      <x:c r="AA274" s="5"/>
      <x:c r="AB274" s="5"/>
      <x:c r="AC274" s="5"/>
      <x:c r="AD274" s="5"/>
      <x:c r="AE274" s="5"/>
      <x:c r="AF274" s="5"/>
      <x:c r="AG274" s="5"/>
      <x:c r="AH274" s="5"/>
    </x:row>
    <x:row r="275" ht="12" hidden="0" customHeight="1">
      <x:c r="A275" s="2"/>
      <x:c r="B275" s="2"/>
      <x:c r="C275" s="2"/>
      <x:c r="D275" s="2"/>
      <x:c r="E275" s="2"/>
      <x:c r="F275" s="2"/>
      <x:c r="G275" s="2"/>
      <x:c r="H275" s="2"/>
      <x:c r="I275" s="7"/>
      <x:c r="J275" s="2"/>
      <x:c r="K275" s="2"/>
      <x:c r="L275" s="2"/>
      <x:c r="M275" s="2"/>
      <x:c r="N275" s="2"/>
      <x:c r="O275" s="2"/>
      <x:c r="P275" s="2"/>
      <x:c r="Q275" s="2"/>
      <x:c r="R275" s="2"/>
      <x:c r="S275" s="2"/>
      <x:c r="T275" s="2"/>
      <x:c r="U275" s="2"/>
      <x:c r="V275" s="5"/>
      <x:c r="W275" s="5"/>
      <x:c r="X275" s="5"/>
      <x:c r="Y275" s="5"/>
      <x:c r="Z275" s="5"/>
      <x:c r="AA275" s="5"/>
      <x:c r="AB275" s="5"/>
      <x:c r="AC275" s="5"/>
      <x:c r="AD275" s="5"/>
      <x:c r="AE275" s="5"/>
      <x:c r="AF275" s="5"/>
      <x:c r="AG275" s="5"/>
      <x:c r="AH275" s="5"/>
    </x:row>
    <x:row r="276" ht="12" hidden="0" customHeight="1">
      <x:c r="A276" s="2"/>
      <x:c r="B276" s="2"/>
      <x:c r="C276" s="2"/>
      <x:c r="D276" s="2"/>
      <x:c r="E276" s="2"/>
      <x:c r="F276" s="2"/>
      <x:c r="G276" s="2"/>
      <x:c r="H276" s="2"/>
      <x:c r="I276" s="7"/>
      <x:c r="J276" s="2"/>
      <x:c r="K276" s="2"/>
      <x:c r="L276" s="2"/>
      <x:c r="M276" s="2"/>
      <x:c r="N276" s="2"/>
      <x:c r="O276" s="2"/>
      <x:c r="P276" s="2"/>
      <x:c r="Q276" s="2"/>
      <x:c r="R276" s="2"/>
      <x:c r="S276" s="2"/>
      <x:c r="T276" s="2"/>
      <x:c r="U276" s="2"/>
      <x:c r="V276" s="5"/>
      <x:c r="W276" s="5"/>
      <x:c r="X276" s="5"/>
      <x:c r="Y276" s="5"/>
      <x:c r="Z276" s="5"/>
      <x:c r="AA276" s="5"/>
      <x:c r="AB276" s="5"/>
      <x:c r="AC276" s="5"/>
      <x:c r="AD276" s="5"/>
      <x:c r="AE276" s="5"/>
      <x:c r="AF276" s="5"/>
      <x:c r="AG276" s="5"/>
      <x:c r="AH276" s="5"/>
    </x:row>
    <x:row r="277" ht="12" hidden="0" customHeight="1">
      <x:c r="A277" s="2"/>
      <x:c r="B277" s="2"/>
      <x:c r="C277" s="2"/>
      <x:c r="D277" s="2"/>
      <x:c r="E277" s="2"/>
      <x:c r="F277" s="2"/>
      <x:c r="G277" s="2"/>
      <x:c r="H277" s="2"/>
      <x:c r="I277" s="7"/>
      <x:c r="J277" s="2"/>
      <x:c r="K277" s="2"/>
      <x:c r="L277" s="2"/>
      <x:c r="M277" s="2"/>
      <x:c r="N277" s="2"/>
      <x:c r="O277" s="2"/>
      <x:c r="P277" s="2"/>
      <x:c r="Q277" s="2"/>
      <x:c r="R277" s="2"/>
      <x:c r="S277" s="2"/>
      <x:c r="T277" s="2"/>
      <x:c r="U277" s="2"/>
      <x:c r="V277" s="5"/>
      <x:c r="W277" s="5"/>
      <x:c r="X277" s="5"/>
      <x:c r="Y277" s="5"/>
      <x:c r="Z277" s="5"/>
      <x:c r="AA277" s="5"/>
      <x:c r="AB277" s="5"/>
      <x:c r="AC277" s="5"/>
      <x:c r="AD277" s="5"/>
      <x:c r="AE277" s="5"/>
      <x:c r="AF277" s="5"/>
      <x:c r="AG277" s="5"/>
      <x:c r="AH277" s="5"/>
    </x:row>
    <x:row r="278" ht="12" hidden="0" customHeight="1">
      <x:c r="A278" s="2"/>
      <x:c r="B278" s="2"/>
      <x:c r="C278" s="2"/>
      <x:c r="D278" s="2"/>
      <x:c r="E278" s="2"/>
      <x:c r="F278" s="2"/>
      <x:c r="G278" s="2"/>
      <x:c r="H278" s="2"/>
      <x:c r="I278" s="7"/>
      <x:c r="J278" s="2"/>
      <x:c r="K278" s="2"/>
      <x:c r="L278" s="2"/>
      <x:c r="M278" s="2"/>
      <x:c r="N278" s="2"/>
      <x:c r="O278" s="2"/>
      <x:c r="P278" s="2"/>
      <x:c r="Q278" s="2"/>
      <x:c r="R278" s="2"/>
      <x:c r="S278" s="2"/>
      <x:c r="T278" s="2"/>
      <x:c r="U278" s="2"/>
      <x:c r="V278" s="5"/>
      <x:c r="W278" s="5"/>
      <x:c r="X278" s="5"/>
      <x:c r="Y278" s="5"/>
      <x:c r="Z278" s="5"/>
      <x:c r="AA278" s="5"/>
      <x:c r="AB278" s="5"/>
      <x:c r="AC278" s="5"/>
      <x:c r="AD278" s="5"/>
      <x:c r="AE278" s="5"/>
      <x:c r="AF278" s="5"/>
      <x:c r="AG278" s="5"/>
      <x:c r="AH278" s="5"/>
    </x:row>
    <x:row r="279" ht="12" hidden="0" customHeight="1">
      <x:c r="A279" s="2"/>
      <x:c r="B279" s="2"/>
      <x:c r="C279" s="2"/>
      <x:c r="D279" s="2"/>
      <x:c r="E279" s="2"/>
      <x:c r="F279" s="2"/>
      <x:c r="G279" s="2"/>
      <x:c r="H279" s="2"/>
      <x:c r="I279" s="7"/>
      <x:c r="J279" s="2"/>
      <x:c r="K279" s="2"/>
      <x:c r="L279" s="2"/>
      <x:c r="M279" s="2"/>
      <x:c r="N279" s="2"/>
      <x:c r="O279" s="2"/>
      <x:c r="P279" s="2"/>
      <x:c r="Q279" s="2"/>
      <x:c r="R279" s="2"/>
      <x:c r="S279" s="2"/>
      <x:c r="T279" s="2"/>
      <x:c r="U279" s="2"/>
      <x:c r="V279" s="5"/>
      <x:c r="W279" s="5"/>
      <x:c r="X279" s="5"/>
      <x:c r="Y279" s="5"/>
      <x:c r="Z279" s="5"/>
      <x:c r="AA279" s="5"/>
      <x:c r="AB279" s="5"/>
      <x:c r="AC279" s="5"/>
      <x:c r="AD279" s="5"/>
      <x:c r="AE279" s="5"/>
      <x:c r="AF279" s="5"/>
      <x:c r="AG279" s="5"/>
      <x:c r="AH279" s="5"/>
    </x:row>
    <x:row r="280" ht="12" hidden="0" customHeight="1">
      <x:c r="A280" s="2"/>
      <x:c r="B280" s="2"/>
      <x:c r="C280" s="2"/>
      <x:c r="D280" s="2"/>
      <x:c r="E280" s="2"/>
      <x:c r="F280" s="2"/>
      <x:c r="G280" s="2"/>
      <x:c r="H280" s="2"/>
      <x:c r="I280" s="7"/>
      <x:c r="J280" s="2"/>
      <x:c r="K280" s="2"/>
      <x:c r="L280" s="2"/>
      <x:c r="M280" s="2"/>
      <x:c r="N280" s="2"/>
      <x:c r="O280" s="2"/>
      <x:c r="P280" s="2"/>
      <x:c r="Q280" s="2"/>
      <x:c r="R280" s="2"/>
      <x:c r="S280" s="2"/>
      <x:c r="T280" s="2"/>
      <x:c r="U280" s="2"/>
      <x:c r="V280" s="5"/>
      <x:c r="W280" s="5"/>
      <x:c r="X280" s="5"/>
      <x:c r="Y280" s="5"/>
      <x:c r="Z280" s="5"/>
      <x:c r="AA280" s="5"/>
      <x:c r="AB280" s="5"/>
      <x:c r="AC280" s="5"/>
      <x:c r="AD280" s="5"/>
      <x:c r="AE280" s="5"/>
      <x:c r="AF280" s="5"/>
      <x:c r="AG280" s="5"/>
      <x:c r="AH280" s="5"/>
    </x:row>
    <x:row r="281" ht="12" hidden="0" customHeight="1">
      <x:c r="A281" s="2"/>
      <x:c r="B281" s="2"/>
      <x:c r="C281" s="2"/>
      <x:c r="D281" s="2"/>
      <x:c r="E281" s="2"/>
      <x:c r="F281" s="2"/>
      <x:c r="G281" s="2"/>
      <x:c r="H281" s="2"/>
      <x:c r="I281" s="7"/>
      <x:c r="J281" s="2"/>
      <x:c r="K281" s="2"/>
      <x:c r="L281" s="2"/>
      <x:c r="M281" s="2"/>
      <x:c r="N281" s="2"/>
      <x:c r="O281" s="2"/>
      <x:c r="P281" s="2"/>
      <x:c r="Q281" s="2"/>
      <x:c r="R281" s="2"/>
      <x:c r="S281" s="2"/>
      <x:c r="T281" s="2"/>
      <x:c r="U281" s="2"/>
      <x:c r="V281" s="5"/>
      <x:c r="W281" s="5"/>
      <x:c r="X281" s="5"/>
      <x:c r="Y281" s="5"/>
      <x:c r="Z281" s="5"/>
      <x:c r="AA281" s="5"/>
      <x:c r="AB281" s="5"/>
      <x:c r="AC281" s="5"/>
      <x:c r="AD281" s="5"/>
      <x:c r="AE281" s="5"/>
      <x:c r="AF281" s="5"/>
      <x:c r="AG281" s="5"/>
      <x:c r="AH281" s="5"/>
    </x:row>
    <x:row r="282" ht="12" hidden="0" customHeight="1">
      <x:c r="A282" s="2"/>
      <x:c r="B282" s="2"/>
      <x:c r="C282" s="2"/>
      <x:c r="D282" s="2"/>
      <x:c r="E282" s="2"/>
      <x:c r="F282" s="2"/>
      <x:c r="G282" s="2"/>
      <x:c r="H282" s="2"/>
      <x:c r="I282" s="7"/>
      <x:c r="J282" s="2"/>
      <x:c r="K282" s="2"/>
      <x:c r="L282" s="2"/>
      <x:c r="M282" s="2"/>
      <x:c r="N282" s="2"/>
      <x:c r="O282" s="2"/>
      <x:c r="P282" s="2"/>
      <x:c r="Q282" s="2"/>
      <x:c r="R282" s="2"/>
      <x:c r="S282" s="2"/>
      <x:c r="T282" s="2"/>
      <x:c r="U282" s="2"/>
      <x:c r="V282" s="5"/>
      <x:c r="W282" s="5"/>
      <x:c r="X282" s="5"/>
      <x:c r="Y282" s="5"/>
      <x:c r="Z282" s="5"/>
      <x:c r="AA282" s="5"/>
      <x:c r="AB282" s="5"/>
      <x:c r="AC282" s="5"/>
      <x:c r="AD282" s="5"/>
      <x:c r="AE282" s="5"/>
      <x:c r="AF282" s="5"/>
      <x:c r="AG282" s="5"/>
      <x:c r="AH282" s="5"/>
    </x:row>
    <x:row r="283" ht="12" hidden="0" customHeight="1">
      <x:c r="A283" s="2"/>
      <x:c r="B283" s="2"/>
      <x:c r="C283" s="2"/>
      <x:c r="D283" s="2"/>
      <x:c r="E283" s="2"/>
      <x:c r="F283" s="2"/>
      <x:c r="G283" s="2"/>
      <x:c r="H283" s="2"/>
      <x:c r="I283" s="7"/>
      <x:c r="J283" s="2"/>
      <x:c r="K283" s="2"/>
      <x:c r="L283" s="2"/>
      <x:c r="M283" s="2"/>
      <x:c r="N283" s="2"/>
      <x:c r="O283" s="2"/>
      <x:c r="P283" s="2"/>
      <x:c r="Q283" s="2"/>
      <x:c r="R283" s="2"/>
      <x:c r="S283" s="2"/>
      <x:c r="T283" s="2"/>
      <x:c r="U283" s="2"/>
      <x:c r="V283" s="5"/>
      <x:c r="W283" s="5"/>
      <x:c r="X283" s="5"/>
      <x:c r="Y283" s="5"/>
      <x:c r="Z283" s="5"/>
      <x:c r="AA283" s="5"/>
      <x:c r="AB283" s="5"/>
      <x:c r="AC283" s="5"/>
      <x:c r="AD283" s="5"/>
      <x:c r="AE283" s="5"/>
      <x:c r="AF283" s="5"/>
      <x:c r="AG283" s="5"/>
      <x:c r="AH283" s="5"/>
    </x:row>
    <x:row r="284" ht="12" hidden="0" customHeight="1">
      <x:c r="A284" s="2"/>
      <x:c r="B284" s="2"/>
      <x:c r="C284" s="2"/>
      <x:c r="D284" s="2"/>
      <x:c r="E284" s="2"/>
      <x:c r="F284" s="2"/>
      <x:c r="G284" s="2"/>
      <x:c r="H284" s="2"/>
      <x:c r="I284" s="7"/>
      <x:c r="J284" s="2"/>
      <x:c r="K284" s="2"/>
      <x:c r="L284" s="2"/>
      <x:c r="M284" s="2"/>
      <x:c r="N284" s="2"/>
      <x:c r="O284" s="2"/>
      <x:c r="P284" s="2"/>
      <x:c r="Q284" s="2"/>
      <x:c r="R284" s="2"/>
      <x:c r="S284" s="2"/>
      <x:c r="T284" s="2"/>
      <x:c r="U284" s="2"/>
      <x:c r="V284" s="5"/>
      <x:c r="W284" s="5"/>
      <x:c r="X284" s="5"/>
      <x:c r="Y284" s="5"/>
      <x:c r="Z284" s="5"/>
      <x:c r="AA284" s="5"/>
      <x:c r="AB284" s="5"/>
      <x:c r="AC284" s="5"/>
      <x:c r="AD284" s="5"/>
      <x:c r="AE284" s="5"/>
      <x:c r="AF284" s="5"/>
      <x:c r="AG284" s="5"/>
      <x:c r="AH284" s="5"/>
    </x:row>
    <x:row r="285" ht="12" hidden="0" customHeight="1">
      <x:c r="A285" s="2"/>
      <x:c r="B285" s="2"/>
      <x:c r="C285" s="2"/>
      <x:c r="D285" s="2"/>
      <x:c r="E285" s="2"/>
      <x:c r="F285" s="2"/>
      <x:c r="G285" s="2"/>
      <x:c r="H285" s="2"/>
      <x:c r="I285" s="7"/>
      <x:c r="J285" s="2"/>
      <x:c r="K285" s="2"/>
      <x:c r="L285" s="2"/>
      <x:c r="M285" s="2"/>
      <x:c r="N285" s="2"/>
      <x:c r="O285" s="2"/>
      <x:c r="P285" s="2"/>
      <x:c r="Q285" s="2"/>
      <x:c r="R285" s="2"/>
      <x:c r="S285" s="2"/>
      <x:c r="T285" s="2"/>
      <x:c r="U285" s="2"/>
      <x:c r="V285" s="5"/>
      <x:c r="W285" s="5"/>
      <x:c r="X285" s="5"/>
      <x:c r="Y285" s="5"/>
      <x:c r="Z285" s="5"/>
      <x:c r="AA285" s="5"/>
      <x:c r="AB285" s="5"/>
      <x:c r="AC285" s="5"/>
      <x:c r="AD285" s="5"/>
      <x:c r="AE285" s="5"/>
      <x:c r="AF285" s="5"/>
      <x:c r="AG285" s="5"/>
      <x:c r="AH285" s="5"/>
    </x:row>
    <x:row r="286" ht="12" hidden="0" customHeight="1">
      <x:c r="A286" s="2"/>
      <x:c r="B286" s="2"/>
      <x:c r="C286" s="2"/>
      <x:c r="D286" s="2"/>
      <x:c r="E286" s="2"/>
      <x:c r="F286" s="2"/>
      <x:c r="G286" s="2"/>
      <x:c r="H286" s="2"/>
      <x:c r="I286" s="7"/>
      <x:c r="J286" s="2"/>
      <x:c r="K286" s="2"/>
      <x:c r="L286" s="2"/>
      <x:c r="M286" s="2"/>
      <x:c r="N286" s="2"/>
      <x:c r="O286" s="2"/>
      <x:c r="P286" s="2"/>
      <x:c r="Q286" s="2"/>
      <x:c r="R286" s="2"/>
      <x:c r="S286" s="2"/>
      <x:c r="T286" s="2"/>
      <x:c r="U286" s="2"/>
      <x:c r="V286" s="5"/>
      <x:c r="W286" s="5"/>
      <x:c r="X286" s="5"/>
      <x:c r="Y286" s="5"/>
      <x:c r="Z286" s="5"/>
      <x:c r="AA286" s="5"/>
      <x:c r="AB286" s="5"/>
      <x:c r="AC286" s="5"/>
      <x:c r="AD286" s="5"/>
      <x:c r="AE286" s="5"/>
      <x:c r="AF286" s="5"/>
      <x:c r="AG286" s="5"/>
      <x:c r="AH286" s="5"/>
    </x:row>
    <x:row r="287" ht="12" hidden="0" customHeight="1">
      <x:c r="A287" s="2"/>
      <x:c r="B287" s="2"/>
      <x:c r="C287" s="2"/>
      <x:c r="D287" s="2"/>
      <x:c r="E287" s="2"/>
      <x:c r="F287" s="2"/>
      <x:c r="G287" s="2"/>
      <x:c r="H287" s="2"/>
      <x:c r="I287" s="7"/>
      <x:c r="J287" s="2"/>
      <x:c r="K287" s="2"/>
      <x:c r="L287" s="2"/>
      <x:c r="M287" s="2"/>
      <x:c r="N287" s="2"/>
      <x:c r="O287" s="2"/>
      <x:c r="P287" s="2"/>
      <x:c r="Q287" s="2"/>
      <x:c r="R287" s="2"/>
      <x:c r="S287" s="2"/>
      <x:c r="T287" s="2"/>
      <x:c r="U287" s="2"/>
      <x:c r="V287" s="5"/>
      <x:c r="W287" s="5"/>
      <x:c r="X287" s="5"/>
      <x:c r="Y287" s="5"/>
      <x:c r="Z287" s="5"/>
      <x:c r="AA287" s="5"/>
      <x:c r="AB287" s="5"/>
      <x:c r="AC287" s="5"/>
      <x:c r="AD287" s="5"/>
      <x:c r="AE287" s="5"/>
      <x:c r="AF287" s="5"/>
      <x:c r="AG287" s="5"/>
      <x:c r="AH287" s="5"/>
    </x:row>
    <x:row r="288" ht="12" hidden="0" customHeight="1">
      <x:c r="A288" s="2"/>
      <x:c r="B288" s="2"/>
      <x:c r="C288" s="2"/>
      <x:c r="D288" s="2"/>
      <x:c r="E288" s="2"/>
      <x:c r="F288" s="2"/>
      <x:c r="G288" s="2"/>
      <x:c r="H288" s="2"/>
      <x:c r="I288" s="7"/>
      <x:c r="J288" s="2"/>
      <x:c r="K288" s="2"/>
      <x:c r="L288" s="2"/>
      <x:c r="M288" s="2"/>
      <x:c r="N288" s="2"/>
      <x:c r="O288" s="2"/>
      <x:c r="P288" s="2"/>
      <x:c r="Q288" s="2"/>
      <x:c r="R288" s="2"/>
      <x:c r="S288" s="2"/>
      <x:c r="T288" s="2"/>
      <x:c r="U288" s="2"/>
      <x:c r="V288" s="5"/>
      <x:c r="W288" s="5"/>
      <x:c r="X288" s="5"/>
      <x:c r="Y288" s="5"/>
      <x:c r="Z288" s="5"/>
      <x:c r="AA288" s="5"/>
      <x:c r="AB288" s="5"/>
      <x:c r="AC288" s="5"/>
      <x:c r="AD288" s="5"/>
      <x:c r="AE288" s="5"/>
      <x:c r="AF288" s="5"/>
      <x:c r="AG288" s="5"/>
      <x:c r="AH288" s="5"/>
    </x:row>
    <x:row r="289" ht="12" hidden="0" customHeight="1">
      <x:c r="A289" s="2"/>
      <x:c r="B289" s="2"/>
      <x:c r="C289" s="2"/>
      <x:c r="D289" s="2"/>
      <x:c r="E289" s="2"/>
      <x:c r="F289" s="2"/>
      <x:c r="G289" s="2"/>
      <x:c r="H289" s="2"/>
      <x:c r="I289" s="7"/>
      <x:c r="J289" s="2"/>
      <x:c r="K289" s="2"/>
      <x:c r="L289" s="2"/>
      <x:c r="M289" s="2"/>
      <x:c r="N289" s="2"/>
      <x:c r="O289" s="2"/>
      <x:c r="P289" s="2"/>
      <x:c r="Q289" s="2"/>
      <x:c r="R289" s="2"/>
      <x:c r="S289" s="2"/>
      <x:c r="T289" s="2"/>
      <x:c r="U289" s="2"/>
      <x:c r="V289" s="5"/>
      <x:c r="W289" s="5"/>
      <x:c r="X289" s="5"/>
      <x:c r="Y289" s="5"/>
      <x:c r="Z289" s="5"/>
      <x:c r="AA289" s="5"/>
      <x:c r="AB289" s="5"/>
      <x:c r="AC289" s="5"/>
      <x:c r="AD289" s="5"/>
      <x:c r="AE289" s="5"/>
      <x:c r="AF289" s="5"/>
      <x:c r="AG289" s="5"/>
      <x:c r="AH289" s="5"/>
    </x:row>
    <x:row r="290" ht="12" hidden="0" customHeight="1">
      <x:c r="A290" s="2"/>
      <x:c r="B290" s="2"/>
      <x:c r="C290" s="2"/>
      <x:c r="D290" s="2"/>
      <x:c r="E290" s="2"/>
      <x:c r="F290" s="2"/>
      <x:c r="G290" s="2"/>
      <x:c r="H290" s="2"/>
      <x:c r="I290" s="7"/>
      <x:c r="J290" s="2"/>
      <x:c r="K290" s="2"/>
      <x:c r="L290" s="2"/>
      <x:c r="M290" s="2"/>
      <x:c r="N290" s="2"/>
      <x:c r="O290" s="2"/>
      <x:c r="P290" s="2"/>
      <x:c r="Q290" s="2"/>
      <x:c r="R290" s="2"/>
      <x:c r="S290" s="2"/>
      <x:c r="T290" s="2"/>
      <x:c r="U290" s="2"/>
      <x:c r="V290" s="5"/>
      <x:c r="W290" s="5"/>
      <x:c r="X290" s="5"/>
      <x:c r="Y290" s="5"/>
      <x:c r="Z290" s="5"/>
      <x:c r="AA290" s="5"/>
      <x:c r="AB290" s="5"/>
      <x:c r="AC290" s="5"/>
      <x:c r="AD290" s="5"/>
      <x:c r="AE290" s="5"/>
      <x:c r="AF290" s="5"/>
      <x:c r="AG290" s="5"/>
      <x:c r="AH290" s="5"/>
    </x:row>
    <x:row r="291" ht="12" hidden="0" customHeight="1">
      <x:c r="A291" s="2"/>
      <x:c r="B291" s="2"/>
      <x:c r="C291" s="2"/>
      <x:c r="D291" s="2"/>
      <x:c r="E291" s="2"/>
      <x:c r="F291" s="2"/>
      <x:c r="G291" s="2"/>
      <x:c r="H291" s="2"/>
      <x:c r="I291" s="7"/>
      <x:c r="J291" s="2"/>
      <x:c r="K291" s="2"/>
      <x:c r="L291" s="2"/>
      <x:c r="M291" s="2"/>
      <x:c r="N291" s="2"/>
      <x:c r="O291" s="2"/>
      <x:c r="P291" s="2"/>
      <x:c r="Q291" s="2"/>
      <x:c r="R291" s="2"/>
      <x:c r="S291" s="2"/>
      <x:c r="T291" s="2"/>
      <x:c r="U291" s="2"/>
      <x:c r="V291" s="5"/>
      <x:c r="W291" s="5"/>
      <x:c r="X291" s="5"/>
      <x:c r="Y291" s="5"/>
      <x:c r="Z291" s="5"/>
      <x:c r="AA291" s="5"/>
      <x:c r="AB291" s="5"/>
      <x:c r="AC291" s="5"/>
      <x:c r="AD291" s="5"/>
      <x:c r="AE291" s="5"/>
      <x:c r="AF291" s="5"/>
      <x:c r="AG291" s="5"/>
      <x:c r="AH291" s="5"/>
    </x:row>
    <x:row r="292" ht="12" hidden="0" customHeight="1">
      <x:c r="A292" s="2"/>
      <x:c r="B292" s="2"/>
      <x:c r="C292" s="2"/>
      <x:c r="D292" s="2"/>
      <x:c r="E292" s="2"/>
      <x:c r="F292" s="2"/>
      <x:c r="G292" s="2"/>
      <x:c r="H292" s="2"/>
      <x:c r="I292" s="7"/>
      <x:c r="J292" s="2"/>
      <x:c r="K292" s="2"/>
      <x:c r="L292" s="2"/>
      <x:c r="M292" s="2"/>
      <x:c r="N292" s="2"/>
      <x:c r="O292" s="2"/>
      <x:c r="P292" s="2"/>
      <x:c r="Q292" s="2"/>
      <x:c r="R292" s="2"/>
      <x:c r="S292" s="2"/>
      <x:c r="T292" s="2"/>
      <x:c r="U292" s="2"/>
      <x:c r="V292" s="5"/>
      <x:c r="W292" s="5"/>
      <x:c r="X292" s="5"/>
      <x:c r="Y292" s="5"/>
      <x:c r="Z292" s="5"/>
      <x:c r="AA292" s="5"/>
      <x:c r="AB292" s="5"/>
      <x:c r="AC292" s="5"/>
      <x:c r="AD292" s="5"/>
      <x:c r="AE292" s="5"/>
      <x:c r="AF292" s="5"/>
      <x:c r="AG292" s="5"/>
      <x:c r="AH292" s="5"/>
    </x:row>
    <x:row r="293" ht="12" hidden="0" customHeight="1">
      <x:c r="A293" s="2"/>
      <x:c r="B293" s="2"/>
      <x:c r="C293" s="2"/>
      <x:c r="D293" s="2"/>
      <x:c r="E293" s="2"/>
      <x:c r="F293" s="2"/>
      <x:c r="G293" s="2"/>
      <x:c r="H293" s="2"/>
      <x:c r="I293" s="7"/>
      <x:c r="J293" s="2"/>
      <x:c r="K293" s="2"/>
      <x:c r="L293" s="2"/>
      <x:c r="M293" s="2"/>
      <x:c r="N293" s="2"/>
      <x:c r="O293" s="2"/>
      <x:c r="P293" s="2"/>
      <x:c r="Q293" s="2"/>
      <x:c r="R293" s="2"/>
      <x:c r="S293" s="2"/>
      <x:c r="T293" s="2"/>
      <x:c r="U293" s="2"/>
      <x:c r="V293" s="5"/>
      <x:c r="W293" s="5"/>
      <x:c r="X293" s="5"/>
      <x:c r="Y293" s="5"/>
      <x:c r="Z293" s="5"/>
      <x:c r="AA293" s="5"/>
      <x:c r="AB293" s="5"/>
      <x:c r="AC293" s="5"/>
      <x:c r="AD293" s="5"/>
      <x:c r="AE293" s="5"/>
      <x:c r="AF293" s="5"/>
      <x:c r="AG293" s="5"/>
      <x:c r="AH293" s="5"/>
    </x:row>
    <x:row r="294" ht="12" hidden="0" customHeight="1">
      <x:c r="A294" s="2"/>
      <x:c r="B294" s="2"/>
      <x:c r="C294" s="2"/>
      <x:c r="D294" s="2"/>
      <x:c r="E294" s="2"/>
      <x:c r="F294" s="2"/>
      <x:c r="G294" s="2"/>
      <x:c r="H294" s="2"/>
      <x:c r="I294" s="7"/>
      <x:c r="J294" s="2"/>
      <x:c r="K294" s="2"/>
      <x:c r="L294" s="2"/>
      <x:c r="M294" s="2"/>
      <x:c r="N294" s="2"/>
      <x:c r="O294" s="2"/>
      <x:c r="P294" s="2"/>
      <x:c r="Q294" s="2"/>
      <x:c r="R294" s="2"/>
      <x:c r="S294" s="2"/>
      <x:c r="T294" s="2"/>
      <x:c r="U294" s="2"/>
      <x:c r="V294" s="5"/>
      <x:c r="W294" s="5"/>
      <x:c r="X294" s="5"/>
      <x:c r="Y294" s="5"/>
      <x:c r="Z294" s="5"/>
      <x:c r="AA294" s="5"/>
      <x:c r="AB294" s="5"/>
      <x:c r="AC294" s="5"/>
      <x:c r="AD294" s="5"/>
      <x:c r="AE294" s="5"/>
      <x:c r="AF294" s="5"/>
      <x:c r="AG294" s="5"/>
      <x:c r="AH294" s="5"/>
    </x:row>
    <x:row r="295" ht="12" hidden="0" customHeight="1">
      <x:c r="A295" s="2"/>
      <x:c r="B295" s="2"/>
      <x:c r="C295" s="2"/>
      <x:c r="D295" s="2"/>
      <x:c r="E295" s="2"/>
      <x:c r="F295" s="2"/>
      <x:c r="G295" s="2"/>
      <x:c r="H295" s="2"/>
      <x:c r="I295" s="7"/>
      <x:c r="J295" s="2"/>
      <x:c r="K295" s="2"/>
      <x:c r="L295" s="2"/>
      <x:c r="M295" s="2"/>
      <x:c r="N295" s="2"/>
      <x:c r="O295" s="2"/>
      <x:c r="P295" s="2"/>
      <x:c r="Q295" s="2"/>
      <x:c r="R295" s="2"/>
      <x:c r="S295" s="2"/>
      <x:c r="T295" s="2"/>
      <x:c r="U295" s="2"/>
      <x:c r="V295" s="5"/>
      <x:c r="W295" s="5"/>
      <x:c r="X295" s="5"/>
      <x:c r="Y295" s="5"/>
      <x:c r="Z295" s="5"/>
      <x:c r="AA295" s="5"/>
      <x:c r="AB295" s="5"/>
      <x:c r="AC295" s="5"/>
      <x:c r="AD295" s="5"/>
      <x:c r="AE295" s="5"/>
      <x:c r="AF295" s="5"/>
      <x:c r="AG295" s="5"/>
      <x:c r="AH295" s="5"/>
    </x:row>
    <x:row r="296" ht="12" hidden="0" customHeight="1">
      <x:c r="A296" s="2"/>
      <x:c r="B296" s="2"/>
      <x:c r="C296" s="2"/>
      <x:c r="D296" s="2"/>
      <x:c r="E296" s="2"/>
      <x:c r="F296" s="2"/>
      <x:c r="G296" s="2"/>
      <x:c r="H296" s="2"/>
      <x:c r="I296" s="7"/>
      <x:c r="J296" s="2"/>
      <x:c r="K296" s="2"/>
      <x:c r="L296" s="2"/>
      <x:c r="M296" s="2"/>
      <x:c r="N296" s="2"/>
      <x:c r="O296" s="2"/>
      <x:c r="P296" s="2"/>
      <x:c r="Q296" s="2"/>
      <x:c r="R296" s="2"/>
      <x:c r="S296" s="2"/>
      <x:c r="T296" s="2"/>
      <x:c r="U296" s="2"/>
      <x:c r="V296" s="5"/>
      <x:c r="W296" s="5"/>
      <x:c r="X296" s="5"/>
      <x:c r="Y296" s="5"/>
      <x:c r="Z296" s="5"/>
      <x:c r="AA296" s="5"/>
      <x:c r="AB296" s="5"/>
      <x:c r="AC296" s="5"/>
      <x:c r="AD296" s="5"/>
      <x:c r="AE296" s="5"/>
      <x:c r="AF296" s="5"/>
      <x:c r="AG296" s="5"/>
      <x:c r="AH296" s="5"/>
    </x:row>
    <x:row r="297" ht="12" hidden="0" customHeight="1">
      <x:c r="A297" s="2"/>
      <x:c r="B297" s="2"/>
      <x:c r="C297" s="2"/>
      <x:c r="D297" s="2"/>
      <x:c r="E297" s="2"/>
      <x:c r="F297" s="2"/>
      <x:c r="G297" s="2"/>
      <x:c r="H297" s="2"/>
      <x:c r="I297" s="7"/>
      <x:c r="J297" s="2"/>
      <x:c r="K297" s="2"/>
      <x:c r="L297" s="2"/>
      <x:c r="M297" s="2"/>
      <x:c r="N297" s="2"/>
      <x:c r="O297" s="2"/>
      <x:c r="P297" s="2"/>
      <x:c r="Q297" s="2"/>
      <x:c r="R297" s="2"/>
      <x:c r="S297" s="2"/>
      <x:c r="T297" s="2"/>
      <x:c r="U297" s="2"/>
      <x:c r="V297" s="5"/>
      <x:c r="W297" s="5"/>
      <x:c r="X297" s="5"/>
      <x:c r="Y297" s="5"/>
      <x:c r="Z297" s="5"/>
      <x:c r="AA297" s="5"/>
      <x:c r="AB297" s="5"/>
      <x:c r="AC297" s="5"/>
      <x:c r="AD297" s="5"/>
      <x:c r="AE297" s="5"/>
      <x:c r="AF297" s="5"/>
      <x:c r="AG297" s="5"/>
      <x:c r="AH297" s="5"/>
    </x:row>
    <x:row r="298" ht="12" hidden="0" customHeight="1">
      <x:c r="A298" s="2"/>
      <x:c r="B298" s="2"/>
      <x:c r="C298" s="2"/>
      <x:c r="D298" s="2"/>
      <x:c r="E298" s="2"/>
      <x:c r="F298" s="2"/>
      <x:c r="G298" s="2"/>
      <x:c r="H298" s="2"/>
      <x:c r="I298" s="7"/>
      <x:c r="J298" s="2"/>
      <x:c r="K298" s="2"/>
      <x:c r="L298" s="2"/>
      <x:c r="M298" s="2"/>
      <x:c r="N298" s="2"/>
      <x:c r="O298" s="2"/>
      <x:c r="P298" s="2"/>
      <x:c r="Q298" s="2"/>
      <x:c r="R298" s="2"/>
      <x:c r="S298" s="2"/>
      <x:c r="T298" s="2"/>
      <x:c r="U298" s="2"/>
      <x:c r="V298" s="5"/>
      <x:c r="W298" s="5"/>
      <x:c r="X298" s="5"/>
      <x:c r="Y298" s="5"/>
      <x:c r="Z298" s="5"/>
      <x:c r="AA298" s="5"/>
      <x:c r="AB298" s="5"/>
      <x:c r="AC298" s="5"/>
      <x:c r="AD298" s="5"/>
      <x:c r="AE298" s="5"/>
      <x:c r="AF298" s="5"/>
      <x:c r="AG298" s="5"/>
      <x:c r="AH298" s="5"/>
    </x:row>
    <x:row r="299" ht="12" hidden="0" customHeight="1">
      <x:c r="A299" s="2"/>
      <x:c r="B299" s="2"/>
      <x:c r="C299" s="2"/>
      <x:c r="D299" s="2"/>
      <x:c r="E299" s="2"/>
      <x:c r="F299" s="2"/>
      <x:c r="G299" s="2"/>
      <x:c r="H299" s="2"/>
      <x:c r="I299" s="7"/>
      <x:c r="J299" s="2"/>
      <x:c r="K299" s="2"/>
      <x:c r="L299" s="2"/>
      <x:c r="M299" s="2"/>
      <x:c r="N299" s="2"/>
      <x:c r="O299" s="2"/>
      <x:c r="P299" s="2"/>
      <x:c r="Q299" s="2"/>
      <x:c r="R299" s="2"/>
      <x:c r="S299" s="2"/>
      <x:c r="T299" s="2"/>
      <x:c r="U299" s="2"/>
      <x:c r="V299" s="5"/>
      <x:c r="W299" s="5"/>
      <x:c r="X299" s="5"/>
      <x:c r="Y299" s="5"/>
      <x:c r="Z299" s="5"/>
      <x:c r="AA299" s="5"/>
      <x:c r="AB299" s="5"/>
      <x:c r="AC299" s="5"/>
      <x:c r="AD299" s="5"/>
      <x:c r="AE299" s="5"/>
      <x:c r="AF299" s="5"/>
      <x:c r="AG299" s="5"/>
      <x:c r="AH299" s="5"/>
    </x:row>
    <x:row r="300" ht="12" hidden="0" customHeight="1">
      <x:c r="A300" s="2"/>
      <x:c r="B300" s="2"/>
      <x:c r="C300" s="2"/>
      <x:c r="D300" s="2"/>
      <x:c r="E300" s="2"/>
      <x:c r="F300" s="2"/>
      <x:c r="G300" s="2"/>
      <x:c r="H300" s="2"/>
      <x:c r="I300" s="7"/>
      <x:c r="J300" s="2"/>
      <x:c r="K300" s="2"/>
      <x:c r="L300" s="2"/>
      <x:c r="M300" s="2"/>
      <x:c r="N300" s="2"/>
      <x:c r="O300" s="2"/>
      <x:c r="P300" s="2"/>
      <x:c r="Q300" s="2"/>
      <x:c r="R300" s="2"/>
      <x:c r="S300" s="2"/>
      <x:c r="T300" s="2"/>
      <x:c r="U300" s="2"/>
      <x:c r="V300" s="5"/>
      <x:c r="W300" s="5"/>
      <x:c r="X300" s="5"/>
      <x:c r="Y300" s="5"/>
      <x:c r="Z300" s="5"/>
      <x:c r="AA300" s="5"/>
      <x:c r="AB300" s="5"/>
      <x:c r="AC300" s="5"/>
      <x:c r="AD300" s="5"/>
      <x:c r="AE300" s="5"/>
      <x:c r="AF300" s="5"/>
      <x:c r="AG300" s="5"/>
      <x:c r="AH300" s="5"/>
    </x:row>
    <x:row r="301" ht="12" hidden="0" customHeight="1">
      <x:c r="A301" s="2"/>
      <x:c r="B301" s="2"/>
      <x:c r="C301" s="2"/>
      <x:c r="D301" s="2"/>
      <x:c r="E301" s="2"/>
      <x:c r="F301" s="2"/>
      <x:c r="G301" s="2"/>
      <x:c r="H301" s="2"/>
      <x:c r="I301" s="7"/>
      <x:c r="J301" s="2"/>
      <x:c r="K301" s="2"/>
      <x:c r="L301" s="2"/>
      <x:c r="M301" s="2"/>
      <x:c r="N301" s="2"/>
      <x:c r="O301" s="2"/>
      <x:c r="P301" s="2"/>
      <x:c r="Q301" s="2"/>
      <x:c r="R301" s="2"/>
      <x:c r="S301" s="2"/>
      <x:c r="T301" s="2"/>
      <x:c r="U301" s="2"/>
      <x:c r="V301" s="5"/>
      <x:c r="W301" s="5"/>
      <x:c r="X301" s="5"/>
      <x:c r="Y301" s="5"/>
      <x:c r="Z301" s="5"/>
      <x:c r="AA301" s="5"/>
      <x:c r="AB301" s="5"/>
      <x:c r="AC301" s="5"/>
      <x:c r="AD301" s="5"/>
      <x:c r="AE301" s="5"/>
      <x:c r="AF301" s="5"/>
      <x:c r="AG301" s="5"/>
      <x:c r="AH301" s="5"/>
    </x:row>
    <x:row r="302" ht="12" hidden="0" customHeight="1">
      <x:c r="A302" s="2"/>
      <x:c r="B302" s="2"/>
      <x:c r="C302" s="2"/>
      <x:c r="D302" s="2"/>
      <x:c r="E302" s="2"/>
      <x:c r="F302" s="2"/>
      <x:c r="G302" s="2"/>
      <x:c r="H302" s="2"/>
      <x:c r="I302" s="7"/>
      <x:c r="J302" s="2"/>
      <x:c r="K302" s="2"/>
      <x:c r="L302" s="2"/>
      <x:c r="M302" s="2"/>
      <x:c r="N302" s="2"/>
      <x:c r="O302" s="2"/>
      <x:c r="P302" s="2"/>
      <x:c r="Q302" s="2"/>
      <x:c r="R302" s="2"/>
      <x:c r="S302" s="2"/>
      <x:c r="T302" s="2"/>
      <x:c r="U302" s="2"/>
      <x:c r="V302" s="5"/>
      <x:c r="W302" s="5"/>
      <x:c r="X302" s="5"/>
      <x:c r="Y302" s="5"/>
      <x:c r="Z302" s="5"/>
      <x:c r="AA302" s="5"/>
      <x:c r="AB302" s="5"/>
      <x:c r="AC302" s="5"/>
      <x:c r="AD302" s="5"/>
      <x:c r="AE302" s="5"/>
      <x:c r="AF302" s="5"/>
      <x:c r="AG302" s="5"/>
      <x:c r="AH302" s="5"/>
    </x:row>
    <x:row r="303" ht="12" hidden="0" customHeight="1">
      <x:c r="A303" s="2"/>
      <x:c r="B303" s="2"/>
      <x:c r="C303" s="2"/>
      <x:c r="D303" s="2"/>
      <x:c r="E303" s="2"/>
      <x:c r="F303" s="2"/>
      <x:c r="G303" s="2"/>
      <x:c r="H303" s="2"/>
      <x:c r="I303" s="7"/>
      <x:c r="J303" s="2"/>
      <x:c r="K303" s="2"/>
      <x:c r="L303" s="2"/>
      <x:c r="M303" s="2"/>
      <x:c r="N303" s="2"/>
      <x:c r="O303" s="2"/>
      <x:c r="P303" s="2"/>
      <x:c r="Q303" s="2"/>
      <x:c r="R303" s="2"/>
      <x:c r="S303" s="2"/>
      <x:c r="T303" s="2"/>
      <x:c r="U303" s="2"/>
      <x:c r="V303" s="5"/>
      <x:c r="W303" s="5"/>
      <x:c r="X303" s="5"/>
      <x:c r="Y303" s="5"/>
      <x:c r="Z303" s="5"/>
      <x:c r="AA303" s="5"/>
      <x:c r="AB303" s="5"/>
      <x:c r="AC303" s="5"/>
      <x:c r="AD303" s="5"/>
      <x:c r="AE303" s="5"/>
      <x:c r="AF303" s="5"/>
      <x:c r="AG303" s="5"/>
      <x:c r="AH303" s="5"/>
    </x:row>
    <x:row r="304" ht="12" hidden="0" customHeight="1">
      <x:c r="A304" s="2"/>
      <x:c r="B304" s="2"/>
      <x:c r="C304" s="2"/>
      <x:c r="D304" s="2"/>
      <x:c r="E304" s="2"/>
      <x:c r="F304" s="2"/>
      <x:c r="G304" s="2"/>
      <x:c r="H304" s="2"/>
      <x:c r="I304" s="7"/>
      <x:c r="J304" s="2"/>
      <x:c r="K304" s="2"/>
      <x:c r="L304" s="2"/>
      <x:c r="M304" s="2"/>
      <x:c r="N304" s="2"/>
      <x:c r="O304" s="2"/>
      <x:c r="P304" s="2"/>
      <x:c r="Q304" s="2"/>
      <x:c r="R304" s="2"/>
      <x:c r="S304" s="2"/>
      <x:c r="T304" s="2"/>
      <x:c r="U304" s="2"/>
      <x:c r="V304" s="5"/>
      <x:c r="W304" s="5"/>
      <x:c r="X304" s="5"/>
      <x:c r="Y304" s="5"/>
      <x:c r="Z304" s="5"/>
      <x:c r="AA304" s="5"/>
      <x:c r="AB304" s="5"/>
      <x:c r="AC304" s="5"/>
      <x:c r="AD304" s="5"/>
      <x:c r="AE304" s="5"/>
      <x:c r="AF304" s="5"/>
      <x:c r="AG304" s="5"/>
      <x:c r="AH304" s="5"/>
    </x:row>
    <x:row r="305" ht="12" hidden="0" customHeight="1">
      <x:c r="A305" s="2"/>
      <x:c r="B305" s="2"/>
      <x:c r="C305" s="2"/>
      <x:c r="D305" s="2"/>
      <x:c r="E305" s="2"/>
      <x:c r="F305" s="2"/>
      <x:c r="G305" s="2"/>
      <x:c r="H305" s="2"/>
      <x:c r="I305" s="7"/>
      <x:c r="J305" s="2"/>
      <x:c r="K305" s="2"/>
      <x:c r="L305" s="2"/>
      <x:c r="M305" s="2"/>
      <x:c r="N305" s="2"/>
      <x:c r="O305" s="2"/>
      <x:c r="P305" s="2"/>
      <x:c r="Q305" s="2"/>
      <x:c r="R305" s="2"/>
      <x:c r="S305" s="2"/>
      <x:c r="T305" s="2"/>
      <x:c r="U305" s="2"/>
      <x:c r="V305" s="5"/>
      <x:c r="W305" s="5"/>
      <x:c r="X305" s="5"/>
      <x:c r="Y305" s="5"/>
      <x:c r="Z305" s="5"/>
      <x:c r="AA305" s="5"/>
      <x:c r="AB305" s="5"/>
      <x:c r="AC305" s="5"/>
      <x:c r="AD305" s="5"/>
      <x:c r="AE305" s="5"/>
      <x:c r="AF305" s="5"/>
      <x:c r="AG305" s="5"/>
      <x:c r="AH305" s="5"/>
    </x:row>
    <x:row r="306" ht="12" hidden="0" customHeight="1">
      <x:c r="A306" s="2"/>
      <x:c r="B306" s="2"/>
      <x:c r="C306" s="2"/>
      <x:c r="D306" s="2"/>
      <x:c r="E306" s="2"/>
      <x:c r="F306" s="2"/>
      <x:c r="G306" s="2"/>
      <x:c r="H306" s="2"/>
      <x:c r="I306" s="7"/>
      <x:c r="J306" s="2"/>
      <x:c r="K306" s="2"/>
      <x:c r="L306" s="2"/>
      <x:c r="M306" s="2"/>
      <x:c r="N306" s="2"/>
      <x:c r="O306" s="2"/>
      <x:c r="P306" s="2"/>
      <x:c r="Q306" s="2"/>
      <x:c r="R306" s="2"/>
      <x:c r="S306" s="2"/>
      <x:c r="T306" s="2"/>
      <x:c r="U306" s="2"/>
      <x:c r="V306" s="5"/>
      <x:c r="W306" s="5"/>
      <x:c r="X306" s="5"/>
      <x:c r="Y306" s="5"/>
      <x:c r="Z306" s="5"/>
      <x:c r="AA306" s="5"/>
      <x:c r="AB306" s="5"/>
      <x:c r="AC306" s="5"/>
      <x:c r="AD306" s="5"/>
      <x:c r="AE306" s="5"/>
      <x:c r="AF306" s="5"/>
      <x:c r="AG306" s="5"/>
      <x:c r="AH306" s="5"/>
    </x:row>
    <x:row r="307" ht="12" hidden="0" customHeight="1">
      <x:c r="A307" s="2"/>
      <x:c r="B307" s="2"/>
      <x:c r="C307" s="2"/>
      <x:c r="D307" s="2"/>
      <x:c r="E307" s="2"/>
      <x:c r="F307" s="2"/>
      <x:c r="G307" s="2"/>
      <x:c r="H307" s="2"/>
      <x:c r="I307" s="7"/>
      <x:c r="J307" s="2"/>
      <x:c r="K307" s="2"/>
      <x:c r="L307" s="2"/>
      <x:c r="M307" s="2"/>
      <x:c r="N307" s="2"/>
      <x:c r="O307" s="2"/>
      <x:c r="P307" s="2"/>
      <x:c r="Q307" s="2"/>
      <x:c r="R307" s="2"/>
      <x:c r="S307" s="2"/>
      <x:c r="T307" s="2"/>
      <x:c r="U307" s="2"/>
      <x:c r="V307" s="5"/>
      <x:c r="W307" s="5"/>
      <x:c r="X307" s="5"/>
      <x:c r="Y307" s="5"/>
      <x:c r="Z307" s="5"/>
      <x:c r="AA307" s="5"/>
      <x:c r="AB307" s="5"/>
      <x:c r="AC307" s="5"/>
      <x:c r="AD307" s="5"/>
      <x:c r="AE307" s="5"/>
      <x:c r="AF307" s="5"/>
      <x:c r="AG307" s="5"/>
      <x:c r="AH307" s="5"/>
    </x:row>
    <x:row r="308" ht="12" hidden="0" customHeight="1">
      <x:c r="A308" s="2"/>
      <x:c r="B308" s="2"/>
      <x:c r="C308" s="2"/>
      <x:c r="D308" s="2"/>
      <x:c r="E308" s="2"/>
      <x:c r="F308" s="2"/>
      <x:c r="G308" s="2"/>
      <x:c r="H308" s="2"/>
      <x:c r="I308" s="7"/>
      <x:c r="J308" s="2"/>
      <x:c r="K308" s="2"/>
      <x:c r="L308" s="2"/>
      <x:c r="M308" s="2"/>
      <x:c r="N308" s="2"/>
      <x:c r="O308" s="2"/>
      <x:c r="P308" s="2"/>
      <x:c r="Q308" s="2"/>
      <x:c r="R308" s="2"/>
      <x:c r="S308" s="2"/>
      <x:c r="T308" s="2"/>
      <x:c r="U308" s="2"/>
      <x:c r="V308" s="5"/>
      <x:c r="W308" s="5"/>
      <x:c r="X308" s="5"/>
      <x:c r="Y308" s="5"/>
      <x:c r="Z308" s="5"/>
      <x:c r="AA308" s="5"/>
      <x:c r="AB308" s="5"/>
      <x:c r="AC308" s="5"/>
      <x:c r="AD308" s="5"/>
      <x:c r="AE308" s="5"/>
      <x:c r="AF308" s="5"/>
      <x:c r="AG308" s="5"/>
      <x:c r="AH308" s="5"/>
    </x:row>
    <x:row r="309" ht="12" hidden="0" customHeight="1">
      <x:c r="A309" s="2"/>
      <x:c r="B309" s="2"/>
      <x:c r="C309" s="2"/>
      <x:c r="D309" s="2"/>
      <x:c r="E309" s="2"/>
      <x:c r="F309" s="2"/>
      <x:c r="G309" s="2"/>
      <x:c r="H309" s="2"/>
      <x:c r="I309" s="7"/>
      <x:c r="J309" s="2"/>
      <x:c r="K309" s="2"/>
      <x:c r="L309" s="2"/>
      <x:c r="M309" s="2"/>
      <x:c r="N309" s="2"/>
      <x:c r="O309" s="2"/>
      <x:c r="P309" s="2"/>
      <x:c r="Q309" s="2"/>
      <x:c r="R309" s="2"/>
      <x:c r="S309" s="2"/>
      <x:c r="T309" s="2"/>
      <x:c r="U309" s="2"/>
      <x:c r="V309" s="5"/>
      <x:c r="W309" s="5"/>
      <x:c r="X309" s="5"/>
      <x:c r="Y309" s="5"/>
      <x:c r="Z309" s="5"/>
      <x:c r="AA309" s="5"/>
      <x:c r="AB309" s="5"/>
      <x:c r="AC309" s="5"/>
      <x:c r="AD309" s="5"/>
      <x:c r="AE309" s="5"/>
      <x:c r="AF309" s="5"/>
      <x:c r="AG309" s="5"/>
      <x:c r="AH309" s="5"/>
    </x:row>
    <x:row r="310" ht="12" hidden="0" customHeight="1">
      <x:c r="A310" s="2"/>
      <x:c r="B310" s="2"/>
      <x:c r="C310" s="2"/>
      <x:c r="D310" s="2"/>
      <x:c r="E310" s="2"/>
      <x:c r="F310" s="2"/>
      <x:c r="G310" s="2"/>
      <x:c r="H310" s="2"/>
      <x:c r="I310" s="7"/>
      <x:c r="J310" s="2"/>
      <x:c r="K310" s="2"/>
      <x:c r="L310" s="2"/>
      <x:c r="M310" s="2"/>
      <x:c r="N310" s="2"/>
      <x:c r="O310" s="2"/>
      <x:c r="P310" s="2"/>
      <x:c r="Q310" s="2"/>
      <x:c r="R310" s="2"/>
      <x:c r="S310" s="2"/>
      <x:c r="T310" s="2"/>
      <x:c r="U310" s="2"/>
      <x:c r="V310" s="5"/>
      <x:c r="W310" s="5"/>
      <x:c r="X310" s="5"/>
      <x:c r="Y310" s="5"/>
      <x:c r="Z310" s="5"/>
      <x:c r="AA310" s="5"/>
      <x:c r="AB310" s="5"/>
      <x:c r="AC310" s="5"/>
      <x:c r="AD310" s="5"/>
      <x:c r="AE310" s="5"/>
      <x:c r="AF310" s="5"/>
      <x:c r="AG310" s="5"/>
      <x:c r="AH310" s="5"/>
    </x:row>
    <x:row r="311" ht="12" hidden="0" customHeight="1">
      <x:c r="A311" s="2"/>
      <x:c r="B311" s="2"/>
      <x:c r="C311" s="2"/>
      <x:c r="D311" s="2"/>
      <x:c r="E311" s="2"/>
      <x:c r="F311" s="2"/>
      <x:c r="G311" s="2"/>
      <x:c r="H311" s="2"/>
      <x:c r="I311" s="7"/>
      <x:c r="J311" s="2"/>
      <x:c r="K311" s="2"/>
      <x:c r="L311" s="2"/>
      <x:c r="M311" s="2"/>
      <x:c r="N311" s="2"/>
      <x:c r="O311" s="2"/>
      <x:c r="P311" s="2"/>
      <x:c r="Q311" s="2"/>
      <x:c r="R311" s="2"/>
      <x:c r="S311" s="2"/>
      <x:c r="T311" s="2"/>
      <x:c r="U311" s="2"/>
      <x:c r="V311" s="5"/>
      <x:c r="W311" s="5"/>
      <x:c r="X311" s="5"/>
      <x:c r="Y311" s="5"/>
      <x:c r="Z311" s="5"/>
      <x:c r="AA311" s="5"/>
      <x:c r="AB311" s="5"/>
      <x:c r="AC311" s="5"/>
      <x:c r="AD311" s="5"/>
      <x:c r="AE311" s="5"/>
      <x:c r="AF311" s="5"/>
      <x:c r="AG311" s="5"/>
      <x:c r="AH311" s="5"/>
    </x:row>
    <x:row r="312" ht="12" hidden="0" customHeight="1">
      <x:c r="A312" s="2"/>
      <x:c r="B312" s="2"/>
      <x:c r="C312" s="2"/>
      <x:c r="D312" s="2"/>
      <x:c r="E312" s="2"/>
      <x:c r="F312" s="2"/>
      <x:c r="G312" s="2"/>
      <x:c r="H312" s="2"/>
      <x:c r="I312" s="7"/>
      <x:c r="J312" s="2"/>
      <x:c r="K312" s="2"/>
      <x:c r="L312" s="2"/>
      <x:c r="M312" s="2"/>
      <x:c r="N312" s="2"/>
      <x:c r="O312" s="2"/>
      <x:c r="P312" s="2"/>
      <x:c r="Q312" s="2"/>
      <x:c r="R312" s="2"/>
      <x:c r="S312" s="2"/>
      <x:c r="T312" s="2"/>
      <x:c r="U312" s="2"/>
      <x:c r="V312" s="5"/>
      <x:c r="W312" s="5"/>
      <x:c r="X312" s="5"/>
      <x:c r="Y312" s="5"/>
      <x:c r="Z312" s="5"/>
      <x:c r="AA312" s="5"/>
      <x:c r="AB312" s="5"/>
      <x:c r="AC312" s="5"/>
      <x:c r="AD312" s="5"/>
      <x:c r="AE312" s="5"/>
      <x:c r="AF312" s="5"/>
      <x:c r="AG312" s="5"/>
      <x:c r="AH312" s="5"/>
    </x:row>
    <x:row r="313" ht="12" hidden="0" customHeight="1">
      <x:c r="A313" s="2"/>
      <x:c r="B313" s="2"/>
      <x:c r="C313" s="2"/>
      <x:c r="D313" s="2"/>
      <x:c r="E313" s="2"/>
      <x:c r="F313" s="2"/>
      <x:c r="G313" s="2"/>
      <x:c r="H313" s="2"/>
      <x:c r="I313" s="7"/>
      <x:c r="J313" s="2"/>
      <x:c r="K313" s="2"/>
      <x:c r="L313" s="2"/>
      <x:c r="M313" s="2"/>
      <x:c r="N313" s="2"/>
      <x:c r="O313" s="2"/>
      <x:c r="P313" s="2"/>
      <x:c r="Q313" s="2"/>
      <x:c r="R313" s="2"/>
      <x:c r="S313" s="2"/>
      <x:c r="V313" s="5"/>
      <x:c r="W313" s="5"/>
      <x:c r="X313" s="5"/>
      <x:c r="Y313" s="5"/>
      <x:c r="Z313" s="5"/>
      <x:c r="AA313" s="5"/>
      <x:c r="AB313" s="5"/>
      <x:c r="AC313" s="5"/>
      <x:c r="AD313" s="5"/>
      <x:c r="AE313" s="5"/>
      <x:c r="AF313" s="5"/>
      <x:c r="AG313" s="5"/>
      <x:c r="AH313" s="5"/>
    </x:row>
    <x:row r="314" ht="12" hidden="0" customHeight="1">
      <x:c r="A314" s="2"/>
      <x:c r="B314" s="2"/>
      <x:c r="C314" s="2"/>
      <x:c r="D314" s="2"/>
      <x:c r="E314" s="2"/>
      <x:c r="F314" s="2"/>
      <x:c r="G314" s="2"/>
      <x:c r="H314" s="2"/>
      <x:c r="I314" s="7"/>
      <x:c r="J314" s="2"/>
      <x:c r="K314" s="2"/>
      <x:c r="L314" s="2"/>
      <x:c r="M314" s="2"/>
      <x:c r="N314" s="2"/>
      <x:c r="O314" s="2"/>
      <x:c r="P314" s="2"/>
      <x:c r="Q314" s="2"/>
      <x:c r="R314" s="2"/>
      <x:c r="S314" s="2"/>
      <x:c r="V314" s="5"/>
      <x:c r="W314" s="5"/>
      <x:c r="X314" s="5"/>
      <x:c r="Y314" s="5"/>
      <x:c r="Z314" s="5"/>
      <x:c r="AA314" s="5"/>
      <x:c r="AB314" s="5"/>
      <x:c r="AC314" s="5"/>
      <x:c r="AD314" s="5"/>
      <x:c r="AE314" s="5"/>
      <x:c r="AF314" s="5"/>
      <x:c r="AG314" s="5"/>
      <x:c r="AH314" s="5"/>
    </x:row>
    <x:row r="315" ht="12" hidden="0" customHeight="1">
      <x:c r="A315" s="2"/>
      <x:c r="B315" s="2"/>
      <x:c r="C315" s="2"/>
      <x:c r="D315" s="2"/>
      <x:c r="E315" s="2"/>
      <x:c r="F315" s="2"/>
      <x:c r="G315" s="2"/>
      <x:c r="H315" s="2"/>
      <x:c r="I315" s="7"/>
      <x:c r="J315" s="2"/>
      <x:c r="K315" s="2"/>
      <x:c r="L315" s="2"/>
      <x:c r="M315" s="2"/>
      <x:c r="N315" s="2"/>
      <x:c r="O315" s="2"/>
      <x:c r="P315" s="2"/>
      <x:c r="Q315" s="2"/>
      <x:c r="R315" s="2"/>
      <x:c r="S315" s="2"/>
      <x:c r="V315" s="5"/>
      <x:c r="W315" s="5"/>
      <x:c r="X315" s="5"/>
      <x:c r="Y315" s="5"/>
      <x:c r="Z315" s="5"/>
      <x:c r="AA315" s="5"/>
      <x:c r="AB315" s="5"/>
      <x:c r="AC315" s="5"/>
      <x:c r="AD315" s="5"/>
      <x:c r="AE315" s="5"/>
      <x:c r="AF315" s="5"/>
      <x:c r="AG315" s="5"/>
      <x:c r="AH315" s="5"/>
    </x:row>
    <x:row r="316" ht="12" hidden="0" customHeight="1">
      <x:c r="A316" s="2"/>
      <x:c r="B316" s="2"/>
      <x:c r="C316" s="2"/>
      <x:c r="D316" s="2"/>
      <x:c r="E316" s="2"/>
      <x:c r="F316" s="2"/>
      <x:c r="G316" s="2"/>
      <x:c r="H316" s="2"/>
      <x:c r="I316" s="7"/>
      <x:c r="J316" s="2"/>
      <x:c r="K316" s="2"/>
      <x:c r="L316" s="2"/>
      <x:c r="M316" s="2"/>
      <x:c r="N316" s="2"/>
      <x:c r="O316" s="2"/>
      <x:c r="P316" s="2"/>
      <x:c r="Q316" s="2"/>
      <x:c r="R316" s="2"/>
      <x:c r="S316" s="2"/>
      <x:c r="V316" s="5"/>
      <x:c r="W316" s="5"/>
      <x:c r="X316" s="5"/>
      <x:c r="Y316" s="5"/>
      <x:c r="Z316" s="5"/>
      <x:c r="AA316" s="5"/>
      <x:c r="AB316" s="5"/>
      <x:c r="AC316" s="5"/>
      <x:c r="AD316" s="5"/>
      <x:c r="AE316" s="5"/>
      <x:c r="AF316" s="5"/>
      <x:c r="AG316" s="5"/>
      <x:c r="AH316" s="5"/>
    </x:row>
    <x:row r="317" ht="12" hidden="0" customHeight="1">
      <x:c r="A317" s="2"/>
      <x:c r="B317" s="2"/>
      <x:c r="C317" s="2"/>
      <x:c r="D317" s="2"/>
      <x:c r="E317" s="2"/>
      <x:c r="F317" s="2"/>
      <x:c r="G317" s="2"/>
      <x:c r="H317" s="2"/>
      <x:c r="I317" s="7"/>
      <x:c r="J317" s="2"/>
      <x:c r="K317" s="2"/>
      <x:c r="L317" s="2"/>
      <x:c r="M317" s="2"/>
      <x:c r="N317" s="2"/>
      <x:c r="O317" s="2"/>
      <x:c r="P317" s="2"/>
      <x:c r="Q317" s="2"/>
      <x:c r="R317" s="2"/>
      <x:c r="S317" s="2"/>
      <x:c r="V317" s="5"/>
      <x:c r="W317" s="5"/>
      <x:c r="X317" s="5"/>
      <x:c r="Y317" s="5"/>
      <x:c r="Z317" s="5"/>
      <x:c r="AA317" s="5"/>
      <x:c r="AB317" s="5"/>
      <x:c r="AC317" s="5"/>
      <x:c r="AD317" s="5"/>
      <x:c r="AE317" s="5"/>
      <x:c r="AF317" s="5"/>
      <x:c r="AG317" s="5"/>
      <x:c r="AH317" s="5"/>
    </x:row>
    <x:row r="318" ht="12" hidden="0" customHeight="1">
      <x:c r="A318" s="2"/>
      <x:c r="B318" s="2"/>
      <x:c r="C318" s="2"/>
      <x:c r="D318" s="2"/>
      <x:c r="E318" s="2"/>
      <x:c r="F318" s="2"/>
      <x:c r="G318" s="2"/>
      <x:c r="H318" s="2"/>
      <x:c r="I318" s="7"/>
      <x:c r="J318" s="2"/>
      <x:c r="K318" s="2"/>
      <x:c r="L318" s="2"/>
      <x:c r="M318" s="2"/>
      <x:c r="N318" s="2"/>
      <x:c r="O318" s="2"/>
      <x:c r="P318" s="2"/>
      <x:c r="Q318" s="2"/>
      <x:c r="R318" s="2"/>
      <x:c r="S318" s="2"/>
      <x:c r="V318" s="5"/>
      <x:c r="W318" s="5"/>
      <x:c r="X318" s="5"/>
      <x:c r="Y318" s="5"/>
      <x:c r="Z318" s="5"/>
      <x:c r="AA318" s="5"/>
      <x:c r="AB318" s="5"/>
      <x:c r="AC318" s="5"/>
      <x:c r="AD318" s="5"/>
      <x:c r="AE318" s="5"/>
      <x:c r="AF318" s="5"/>
      <x:c r="AG318" s="5"/>
      <x:c r="AH318" s="5"/>
    </x:row>
    <x:row r="319" ht="12" hidden="0" customHeight="1">
      <x:c r="A319" s="2"/>
      <x:c r="B319" s="2"/>
      <x:c r="C319" s="2"/>
      <x:c r="D319" s="2"/>
      <x:c r="E319" s="2"/>
      <x:c r="F319" s="2"/>
      <x:c r="G319" s="2"/>
      <x:c r="H319" s="2"/>
      <x:c r="I319" s="7"/>
      <x:c r="J319" s="2"/>
      <x:c r="K319" s="2"/>
      <x:c r="L319" s="2"/>
      <x:c r="M319" s="2"/>
      <x:c r="N319" s="2"/>
      <x:c r="O319" s="2"/>
      <x:c r="P319" s="2"/>
      <x:c r="Q319" s="2"/>
      <x:c r="R319" s="2"/>
      <x:c r="S319" s="2"/>
      <x:c r="V319" s="5"/>
      <x:c r="W319" s="5"/>
      <x:c r="X319" s="5"/>
      <x:c r="Y319" s="5"/>
      <x:c r="Z319" s="5"/>
      <x:c r="AA319" s="5"/>
      <x:c r="AB319" s="5"/>
      <x:c r="AC319" s="5"/>
      <x:c r="AD319" s="5"/>
      <x:c r="AE319" s="5"/>
      <x:c r="AF319" s="5"/>
      <x:c r="AG319" s="5"/>
      <x:c r="AH319" s="5"/>
    </x:row>
    <x:row r="320" ht="12" hidden="0" customHeight="1">
      <x:c r="A320" s="2"/>
      <x:c r="B320" s="2"/>
      <x:c r="C320" s="2"/>
      <x:c r="D320" s="2"/>
      <x:c r="E320" s="2"/>
      <x:c r="F320" s="2"/>
      <x:c r="G320" s="2"/>
      <x:c r="H320" s="2"/>
      <x:c r="I320" s="7"/>
      <x:c r="J320" s="2"/>
      <x:c r="K320" s="2"/>
      <x:c r="L320" s="2"/>
      <x:c r="M320" s="2"/>
      <x:c r="N320" s="2"/>
      <x:c r="O320" s="2"/>
      <x:c r="P320" s="2"/>
      <x:c r="Q320" s="2"/>
      <x:c r="R320" s="2"/>
      <x:c r="S320" s="2"/>
      <x:c r="V320" s="5"/>
      <x:c r="W320" s="5"/>
      <x:c r="X320" s="5"/>
      <x:c r="Y320" s="5"/>
      <x:c r="Z320" s="5"/>
      <x:c r="AA320" s="5"/>
      <x:c r="AB320" s="5"/>
      <x:c r="AC320" s="5"/>
      <x:c r="AD320" s="5"/>
      <x:c r="AE320" s="5"/>
      <x:c r="AF320" s="5"/>
      <x:c r="AG320" s="5"/>
      <x:c r="AH320" s="5"/>
    </x:row>
    <x:row r="321" ht="12" hidden="0" customHeight="1">
      <x:c r="A321" s="2"/>
      <x:c r="B321" s="2"/>
      <x:c r="C321" s="2"/>
      <x:c r="D321" s="2"/>
      <x:c r="E321" s="2"/>
      <x:c r="F321" s="2"/>
      <x:c r="G321" s="2"/>
      <x:c r="H321" s="2"/>
      <x:c r="I321" s="7"/>
      <x:c r="J321" s="2"/>
      <x:c r="K321" s="2"/>
      <x:c r="L321" s="2"/>
      <x:c r="M321" s="2"/>
      <x:c r="N321" s="2"/>
      <x:c r="O321" s="2"/>
      <x:c r="P321" s="2"/>
      <x:c r="Q321" s="2"/>
      <x:c r="R321" s="2"/>
      <x:c r="S321" s="2"/>
      <x:c r="V321" s="5"/>
      <x:c r="W321" s="5"/>
      <x:c r="X321" s="5"/>
      <x:c r="Y321" s="5"/>
      <x:c r="Z321" s="5"/>
      <x:c r="AA321" s="5"/>
      <x:c r="AB321" s="5"/>
      <x:c r="AC321" s="5"/>
      <x:c r="AD321" s="5"/>
      <x:c r="AE321" s="5"/>
      <x:c r="AF321" s="5"/>
      <x:c r="AG321" s="5"/>
      <x:c r="AH321" s="5"/>
    </x:row>
    <x:row r="322" ht="12" hidden="0" customHeight="1">
      <x:c r="A322" s="2"/>
      <x:c r="B322" s="2"/>
      <x:c r="C322" s="2"/>
      <x:c r="D322" s="2"/>
      <x:c r="E322" s="2"/>
      <x:c r="F322" s="2"/>
      <x:c r="G322" s="2"/>
      <x:c r="H322" s="2"/>
      <x:c r="I322" s="7"/>
      <x:c r="J322" s="2"/>
      <x:c r="K322" s="2"/>
      <x:c r="L322" s="2"/>
      <x:c r="M322" s="2"/>
      <x:c r="N322" s="2"/>
      <x:c r="O322" s="2"/>
      <x:c r="P322" s="2"/>
      <x:c r="Q322" s="2"/>
      <x:c r="R322" s="2"/>
      <x:c r="S322" s="2"/>
      <x:c r="V322" s="5"/>
      <x:c r="W322" s="5"/>
      <x:c r="X322" s="5"/>
      <x:c r="Y322" s="5"/>
      <x:c r="Z322" s="5"/>
      <x:c r="AA322" s="5"/>
      <x:c r="AB322" s="5"/>
      <x:c r="AC322" s="5"/>
      <x:c r="AD322" s="5"/>
      <x:c r="AE322" s="5"/>
      <x:c r="AF322" s="5"/>
      <x:c r="AG322" s="5"/>
      <x:c r="AH322" s="5"/>
    </x:row>
    <x:row r="323" ht="12" hidden="0" customHeight="1">
      <x:c r="A323" s="2"/>
      <x:c r="B323" s="2"/>
      <x:c r="C323" s="2"/>
      <x:c r="D323" s="2"/>
      <x:c r="E323" s="2"/>
      <x:c r="F323" s="2"/>
      <x:c r="G323" s="2"/>
      <x:c r="H323" s="2"/>
      <x:c r="I323" s="7"/>
      <x:c r="J323" s="2"/>
      <x:c r="K323" s="2"/>
      <x:c r="L323" s="2"/>
      <x:c r="M323" s="2"/>
      <x:c r="N323" s="2"/>
      <x:c r="O323" s="2"/>
      <x:c r="P323" s="2"/>
      <x:c r="Q323" s="2"/>
      <x:c r="R323" s="2"/>
      <x:c r="S323" s="2"/>
      <x:c r="V323" s="5"/>
      <x:c r="W323" s="5"/>
      <x:c r="X323" s="5"/>
      <x:c r="Y323" s="5"/>
      <x:c r="Z323" s="5"/>
      <x:c r="AA323" s="5"/>
      <x:c r="AB323" s="5"/>
      <x:c r="AC323" s="5"/>
      <x:c r="AD323" s="5"/>
      <x:c r="AE323" s="5"/>
      <x:c r="AF323" s="5"/>
      <x:c r="AG323" s="5"/>
      <x:c r="AH323" s="5"/>
    </x:row>
    <x:row r="324" ht="12" hidden="0" customHeight="1">
      <x:c r="A324" s="2"/>
      <x:c r="B324" s="2"/>
      <x:c r="C324" s="2"/>
      <x:c r="D324" s="2"/>
      <x:c r="E324" s="2"/>
      <x:c r="F324" s="2"/>
      <x:c r="G324" s="2"/>
      <x:c r="H324" s="2"/>
      <x:c r="I324" s="7"/>
      <x:c r="J324" s="2"/>
      <x:c r="K324" s="2"/>
      <x:c r="L324" s="2"/>
      <x:c r="M324" s="2"/>
      <x:c r="N324" s="2"/>
      <x:c r="O324" s="2"/>
      <x:c r="P324" s="2"/>
      <x:c r="Q324" s="2"/>
      <x:c r="R324" s="2"/>
      <x:c r="S324" s="2"/>
      <x:c r="V324" s="5"/>
      <x:c r="W324" s="5"/>
      <x:c r="X324" s="5"/>
      <x:c r="Y324" s="5"/>
      <x:c r="Z324" s="5"/>
      <x:c r="AA324" s="5"/>
      <x:c r="AB324" s="5"/>
      <x:c r="AC324" s="5"/>
      <x:c r="AD324" s="5"/>
      <x:c r="AE324" s="5"/>
      <x:c r="AF324" s="5"/>
      <x:c r="AG324" s="5"/>
      <x:c r="AH324" s="5"/>
    </x:row>
    <x:row r="325" ht="12" hidden="0" customHeight="1">
      <x:c r="A325" s="2"/>
      <x:c r="B325" s="2"/>
      <x:c r="C325" s="2"/>
      <x:c r="D325" s="2"/>
      <x:c r="E325" s="2"/>
      <x:c r="F325" s="2"/>
      <x:c r="G325" s="2"/>
      <x:c r="H325" s="2"/>
      <x:c r="I325" s="7"/>
      <x:c r="J325" s="2"/>
      <x:c r="K325" s="2"/>
      <x:c r="L325" s="2"/>
      <x:c r="M325" s="2"/>
      <x:c r="N325" s="2"/>
      <x:c r="O325" s="2"/>
      <x:c r="P325" s="2"/>
      <x:c r="Q325" s="2"/>
      <x:c r="R325" s="2"/>
      <x:c r="S325" s="2"/>
      <x:c r="V325" s="5"/>
      <x:c r="W325" s="5"/>
      <x:c r="X325" s="5"/>
      <x:c r="Y325" s="5"/>
      <x:c r="Z325" s="5"/>
      <x:c r="AA325" s="5"/>
      <x:c r="AB325" s="5"/>
      <x:c r="AC325" s="5"/>
      <x:c r="AD325" s="5"/>
      <x:c r="AE325" s="5"/>
      <x:c r="AF325" s="5"/>
      <x:c r="AG325" s="5"/>
      <x:c r="AH325" s="5"/>
    </x:row>
    <x:row r="326" ht="12" hidden="0" customHeight="1">
      <x:c r="A326" s="2"/>
      <x:c r="B326" s="2"/>
      <x:c r="C326" s="2"/>
      <x:c r="D326" s="2"/>
      <x:c r="E326" s="2"/>
      <x:c r="F326" s="2"/>
      <x:c r="G326" s="2"/>
      <x:c r="H326" s="2"/>
      <x:c r="I326" s="7"/>
      <x:c r="J326" s="2"/>
      <x:c r="K326" s="2"/>
      <x:c r="L326" s="2"/>
      <x:c r="M326" s="2"/>
      <x:c r="N326" s="2"/>
      <x:c r="O326" s="2"/>
      <x:c r="P326" s="2"/>
      <x:c r="Q326" s="2"/>
      <x:c r="R326" s="2"/>
      <x:c r="S326" s="2"/>
      <x:c r="V326" s="5"/>
      <x:c r="W326" s="5"/>
      <x:c r="X326" s="5"/>
      <x:c r="Y326" s="5"/>
      <x:c r="Z326" s="5"/>
      <x:c r="AA326" s="5"/>
      <x:c r="AB326" s="5"/>
      <x:c r="AC326" s="5"/>
      <x:c r="AD326" s="5"/>
      <x:c r="AE326" s="5"/>
      <x:c r="AF326" s="5"/>
      <x:c r="AG326" s="5"/>
      <x:c r="AH326" s="5"/>
    </x:row>
    <x:row r="327" ht="12" hidden="0" customHeight="1">
      <x:c r="A327" s="2"/>
      <x:c r="B327" s="2"/>
      <x:c r="C327" s="2"/>
      <x:c r="D327" s="2"/>
      <x:c r="E327" s="2"/>
      <x:c r="F327" s="2"/>
      <x:c r="G327" s="2"/>
      <x:c r="H327" s="2"/>
      <x:c r="I327" s="7"/>
      <x:c r="J327" s="2"/>
      <x:c r="K327" s="2"/>
      <x:c r="L327" s="2"/>
      <x:c r="M327" s="2"/>
      <x:c r="N327" s="2"/>
      <x:c r="O327" s="2"/>
      <x:c r="P327" s="2"/>
      <x:c r="Q327" s="2"/>
      <x:c r="R327" s="2"/>
      <x:c r="S327" s="2"/>
      <x:c r="V327" s="5"/>
      <x:c r="W327" s="5"/>
      <x:c r="X327" s="5"/>
      <x:c r="Y327" s="5"/>
      <x:c r="Z327" s="5"/>
      <x:c r="AA327" s="5"/>
      <x:c r="AB327" s="5"/>
      <x:c r="AC327" s="5"/>
      <x:c r="AD327" s="5"/>
      <x:c r="AE327" s="5"/>
      <x:c r="AF327" s="5"/>
      <x:c r="AG327" s="5"/>
      <x:c r="AH327" s="5"/>
    </x:row>
    <x:row r="328" ht="12" hidden="0" customHeight="1">
      <x:c r="A328" s="2"/>
      <x:c r="B328" s="2"/>
      <x:c r="C328" s="2"/>
      <x:c r="D328" s="2"/>
      <x:c r="E328" s="2"/>
      <x:c r="F328" s="2"/>
      <x:c r="G328" s="2"/>
      <x:c r="H328" s="2"/>
      <x:c r="I328" s="7"/>
      <x:c r="J328" s="2"/>
      <x:c r="K328" s="2"/>
      <x:c r="L328" s="2"/>
      <x:c r="M328" s="2"/>
      <x:c r="N328" s="2"/>
      <x:c r="O328" s="2"/>
      <x:c r="P328" s="2"/>
      <x:c r="Q328" s="2"/>
      <x:c r="R328" s="2"/>
      <x:c r="S328" s="2"/>
      <x:c r="V328" s="5"/>
      <x:c r="W328" s="5"/>
      <x:c r="X328" s="5"/>
      <x:c r="Y328" s="5"/>
      <x:c r="Z328" s="5"/>
      <x:c r="AA328" s="5"/>
      <x:c r="AB328" s="5"/>
      <x:c r="AC328" s="5"/>
      <x:c r="AD328" s="5"/>
      <x:c r="AE328" s="5"/>
      <x:c r="AF328" s="5"/>
      <x:c r="AG328" s="5"/>
      <x:c r="AH328" s="5"/>
    </x:row>
    <x:row r="329" ht="12" hidden="0" customHeight="1">
      <x:c r="A329" s="2"/>
      <x:c r="B329" s="2"/>
      <x:c r="C329" s="2"/>
      <x:c r="D329" s="2"/>
      <x:c r="E329" s="2"/>
      <x:c r="F329" s="2"/>
      <x:c r="G329" s="2"/>
      <x:c r="H329" s="2"/>
      <x:c r="I329" s="7"/>
      <x:c r="J329" s="2"/>
      <x:c r="K329" s="2"/>
      <x:c r="L329" s="2"/>
      <x:c r="M329" s="2"/>
      <x:c r="N329" s="2"/>
      <x:c r="O329" s="2"/>
      <x:c r="P329" s="2"/>
      <x:c r="Q329" s="2"/>
      <x:c r="R329" s="2"/>
      <x:c r="S329" s="2"/>
      <x:c r="V329" s="5"/>
      <x:c r="W329" s="5"/>
      <x:c r="X329" s="5"/>
      <x:c r="Y329" s="5"/>
      <x:c r="Z329" s="5"/>
      <x:c r="AA329" s="5"/>
      <x:c r="AB329" s="5"/>
      <x:c r="AC329" s="5"/>
      <x:c r="AD329" s="5"/>
      <x:c r="AE329" s="5"/>
      <x:c r="AF329" s="5"/>
      <x:c r="AG329" s="5"/>
      <x:c r="AH329" s="5"/>
    </x:row>
    <x:row r="330" ht="12" hidden="0" customHeight="1">
      <x:c r="A330" s="2"/>
      <x:c r="B330" s="2"/>
      <x:c r="C330" s="2"/>
      <x:c r="D330" s="2"/>
      <x:c r="E330" s="2"/>
      <x:c r="F330" s="2"/>
      <x:c r="G330" s="2"/>
      <x:c r="H330" s="2"/>
      <x:c r="I330" s="7"/>
      <x:c r="J330" s="2"/>
      <x:c r="K330" s="2"/>
      <x:c r="L330" s="2"/>
      <x:c r="M330" s="2"/>
      <x:c r="N330" s="2"/>
      <x:c r="O330" s="2"/>
      <x:c r="P330" s="2"/>
      <x:c r="Q330" s="2"/>
      <x:c r="R330" s="2"/>
      <x:c r="S330" s="2"/>
      <x:c r="V330" s="5"/>
      <x:c r="W330" s="5"/>
      <x:c r="X330" s="5"/>
      <x:c r="Y330" s="5"/>
      <x:c r="Z330" s="5"/>
      <x:c r="AA330" s="5"/>
      <x:c r="AB330" s="5"/>
      <x:c r="AC330" s="5"/>
      <x:c r="AD330" s="5"/>
      <x:c r="AE330" s="5"/>
      <x:c r="AF330" s="5"/>
      <x:c r="AG330" s="5"/>
      <x:c r="AH330" s="5"/>
    </x:row>
    <x:row r="331" ht="12" hidden="0" customHeight="1">
      <x:c r="A331" s="2"/>
      <x:c r="B331" s="2"/>
      <x:c r="C331" s="2"/>
      <x:c r="D331" s="2"/>
      <x:c r="E331" s="2"/>
      <x:c r="F331" s="2"/>
      <x:c r="G331" s="2"/>
      <x:c r="H331" s="2"/>
      <x:c r="I331" s="7"/>
      <x:c r="J331" s="2"/>
      <x:c r="K331" s="2"/>
      <x:c r="L331" s="2"/>
      <x:c r="M331" s="2"/>
      <x:c r="N331" s="2"/>
      <x:c r="O331" s="2"/>
      <x:c r="P331" s="2"/>
      <x:c r="Q331" s="2"/>
      <x:c r="R331" s="2"/>
      <x:c r="S331" s="2"/>
      <x:c r="V331" s="5"/>
      <x:c r="W331" s="5"/>
      <x:c r="X331" s="5"/>
      <x:c r="Y331" s="5"/>
      <x:c r="Z331" s="5"/>
      <x:c r="AA331" s="5"/>
      <x:c r="AB331" s="5"/>
      <x:c r="AC331" s="5"/>
      <x:c r="AD331" s="5"/>
      <x:c r="AE331" s="5"/>
      <x:c r="AF331" s="5"/>
      <x:c r="AG331" s="5"/>
      <x:c r="AH331" s="5"/>
    </x:row>
    <x:row r="332" ht="12" hidden="0" customHeight="1">
      <x:c r="A332" s="2"/>
      <x:c r="B332" s="2"/>
      <x:c r="C332" s="2"/>
      <x:c r="D332" s="2"/>
      <x:c r="E332" s="2"/>
      <x:c r="F332" s="2"/>
      <x:c r="G332" s="2"/>
      <x:c r="H332" s="2"/>
      <x:c r="I332" s="7"/>
      <x:c r="J332" s="2"/>
      <x:c r="K332" s="2"/>
      <x:c r="L332" s="2"/>
      <x:c r="M332" s="2"/>
      <x:c r="N332" s="2"/>
      <x:c r="O332" s="2"/>
      <x:c r="P332" s="2"/>
      <x:c r="Q332" s="2"/>
      <x:c r="R332" s="2"/>
      <x:c r="S332" s="2"/>
      <x:c r="V332" s="5"/>
      <x:c r="W332" s="5"/>
      <x:c r="X332" s="5"/>
      <x:c r="Y332" s="5"/>
      <x:c r="Z332" s="5"/>
      <x:c r="AA332" s="5"/>
      <x:c r="AB332" s="5"/>
      <x:c r="AC332" s="5"/>
      <x:c r="AD332" s="5"/>
      <x:c r="AE332" s="5"/>
      <x:c r="AF332" s="5"/>
      <x:c r="AG332" s="5"/>
      <x:c r="AH332" s="5"/>
    </x:row>
    <x:row r="333" ht="12" hidden="0" customHeight="1">
      <x:c r="A333" s="2"/>
      <x:c r="B333" s="2"/>
      <x:c r="C333" s="2"/>
      <x:c r="D333" s="2"/>
      <x:c r="E333" s="2"/>
      <x:c r="F333" s="2"/>
      <x:c r="G333" s="2"/>
      <x:c r="H333" s="2"/>
      <x:c r="I333" s="7"/>
      <x:c r="J333" s="2"/>
      <x:c r="K333" s="2"/>
      <x:c r="L333" s="2"/>
      <x:c r="M333" s="2"/>
      <x:c r="N333" s="2"/>
      <x:c r="O333" s="2"/>
      <x:c r="P333" s="2"/>
      <x:c r="Q333" s="2"/>
      <x:c r="R333" s="2"/>
      <x:c r="S333" s="2"/>
      <x:c r="V333" s="5"/>
      <x:c r="W333" s="5"/>
      <x:c r="X333" s="5"/>
      <x:c r="Y333" s="5"/>
      <x:c r="Z333" s="5"/>
      <x:c r="AA333" s="5"/>
      <x:c r="AB333" s="5"/>
      <x:c r="AC333" s="5"/>
      <x:c r="AD333" s="5"/>
      <x:c r="AE333" s="5"/>
      <x:c r="AF333" s="5"/>
      <x:c r="AG333" s="5"/>
      <x:c r="AH333" s="5"/>
    </x:row>
    <x:row r="334" ht="12" hidden="0" customHeight="1">
      <x:c r="A334" s="2"/>
      <x:c r="B334" s="2"/>
      <x:c r="C334" s="2"/>
      <x:c r="D334" s="2"/>
      <x:c r="E334" s="2"/>
      <x:c r="F334" s="2"/>
      <x:c r="G334" s="2"/>
      <x:c r="H334" s="2"/>
      <x:c r="I334" s="7"/>
      <x:c r="J334" s="2"/>
      <x:c r="K334" s="2"/>
      <x:c r="L334" s="2"/>
      <x:c r="M334" s="2"/>
      <x:c r="N334" s="2"/>
      <x:c r="O334" s="2"/>
      <x:c r="P334" s="2"/>
      <x:c r="Q334" s="2"/>
      <x:c r="R334" s="2"/>
      <x:c r="S334" s="2"/>
      <x:c r="V334" s="5"/>
      <x:c r="W334" s="5"/>
      <x:c r="X334" s="5"/>
      <x:c r="Y334" s="5"/>
      <x:c r="Z334" s="5"/>
      <x:c r="AA334" s="5"/>
      <x:c r="AB334" s="5"/>
      <x:c r="AC334" s="5"/>
      <x:c r="AD334" s="5"/>
      <x:c r="AE334" s="5"/>
      <x:c r="AF334" s="5"/>
      <x:c r="AG334" s="5"/>
      <x:c r="AH334" s="5"/>
    </x:row>
    <x:row r="335" ht="12" hidden="0" customHeight="1">
      <x:c r="A335" s="2"/>
      <x:c r="B335" s="2"/>
      <x:c r="C335" s="2"/>
      <x:c r="D335" s="2"/>
      <x:c r="E335" s="2"/>
      <x:c r="F335" s="2"/>
      <x:c r="G335" s="2"/>
      <x:c r="H335" s="2"/>
      <x:c r="I335" s="7"/>
      <x:c r="J335" s="2"/>
      <x:c r="K335" s="2"/>
      <x:c r="L335" s="2"/>
      <x:c r="M335" s="2"/>
      <x:c r="N335" s="2"/>
      <x:c r="O335" s="2"/>
      <x:c r="P335" s="2"/>
      <x:c r="Q335" s="2"/>
      <x:c r="R335" s="2"/>
      <x:c r="S335" s="2"/>
      <x:c r="V335" s="5"/>
      <x:c r="W335" s="5"/>
      <x:c r="X335" s="5"/>
      <x:c r="Y335" s="5"/>
      <x:c r="Z335" s="5"/>
      <x:c r="AA335" s="5"/>
      <x:c r="AB335" s="5"/>
      <x:c r="AC335" s="5"/>
      <x:c r="AD335" s="5"/>
      <x:c r="AE335" s="5"/>
      <x:c r="AF335" s="5"/>
      <x:c r="AG335" s="5"/>
      <x:c r="AH335" s="5"/>
    </x:row>
    <x:row r="336" ht="12" hidden="0" customHeight="1">
      <x:c r="A336" s="2"/>
      <x:c r="B336" s="2"/>
      <x:c r="C336" s="2"/>
      <x:c r="D336" s="2"/>
      <x:c r="E336" s="2"/>
      <x:c r="F336" s="2"/>
      <x:c r="G336" s="2"/>
      <x:c r="H336" s="2"/>
      <x:c r="I336" s="7"/>
      <x:c r="J336" s="2"/>
      <x:c r="K336" s="2"/>
      <x:c r="L336" s="2"/>
      <x:c r="M336" s="2"/>
      <x:c r="N336" s="2"/>
      <x:c r="O336" s="2"/>
      <x:c r="P336" s="2"/>
      <x:c r="Q336" s="2"/>
      <x:c r="R336" s="2"/>
      <x:c r="S336" s="2"/>
      <x:c r="V336" s="5"/>
      <x:c r="W336" s="5"/>
      <x:c r="X336" s="5"/>
      <x:c r="Y336" s="5"/>
      <x:c r="Z336" s="5"/>
      <x:c r="AA336" s="5"/>
      <x:c r="AB336" s="5"/>
      <x:c r="AC336" s="5"/>
      <x:c r="AD336" s="5"/>
      <x:c r="AE336" s="5"/>
      <x:c r="AF336" s="5"/>
      <x:c r="AG336" s="5"/>
      <x:c r="AH336" s="5"/>
    </x:row>
    <x:row r="337" ht="12" hidden="0" customHeight="1">
      <x:c r="A337" s="2"/>
      <x:c r="B337" s="2"/>
      <x:c r="C337" s="2"/>
      <x:c r="D337" s="2"/>
      <x:c r="E337" s="2"/>
      <x:c r="F337" s="2"/>
      <x:c r="G337" s="2"/>
      <x:c r="H337" s="2"/>
      <x:c r="I337" s="7"/>
      <x:c r="J337" s="2"/>
      <x:c r="K337" s="2"/>
      <x:c r="L337" s="2"/>
      <x:c r="M337" s="2"/>
      <x:c r="N337" s="2"/>
      <x:c r="O337" s="2"/>
      <x:c r="P337" s="2"/>
      <x:c r="Q337" s="2"/>
      <x:c r="R337" s="2"/>
      <x:c r="S337" s="2"/>
      <x:c r="V337" s="5"/>
      <x:c r="W337" s="5"/>
      <x:c r="X337" s="5"/>
      <x:c r="Y337" s="5"/>
      <x:c r="Z337" s="5"/>
      <x:c r="AA337" s="5"/>
      <x:c r="AB337" s="5"/>
      <x:c r="AC337" s="5"/>
      <x:c r="AD337" s="5"/>
      <x:c r="AE337" s="5"/>
      <x:c r="AF337" s="5"/>
      <x:c r="AG337" s="5"/>
      <x:c r="AH337" s="5"/>
    </x:row>
    <x:row r="338" ht="12" hidden="0" customHeight="1">
      <x:c r="A338" s="2"/>
      <x:c r="B338" s="2"/>
      <x:c r="C338" s="2"/>
      <x:c r="D338" s="2"/>
      <x:c r="E338" s="2"/>
      <x:c r="F338" s="2"/>
      <x:c r="G338" s="2"/>
      <x:c r="H338" s="2"/>
      <x:c r="I338" s="7"/>
      <x:c r="J338" s="2"/>
      <x:c r="K338" s="2"/>
      <x:c r="L338" s="2"/>
      <x:c r="M338" s="2"/>
      <x:c r="N338" s="2"/>
      <x:c r="O338" s="2"/>
      <x:c r="P338" s="2"/>
      <x:c r="Q338" s="2"/>
      <x:c r="R338" s="2"/>
      <x:c r="S338" s="2"/>
      <x:c r="V338" s="5"/>
      <x:c r="W338" s="5"/>
      <x:c r="X338" s="5"/>
      <x:c r="Y338" s="5"/>
      <x:c r="Z338" s="5"/>
      <x:c r="AA338" s="5"/>
      <x:c r="AB338" s="5"/>
      <x:c r="AC338" s="5"/>
      <x:c r="AD338" s="5"/>
      <x:c r="AE338" s="5"/>
      <x:c r="AF338" s="5"/>
      <x:c r="AG338" s="5"/>
      <x:c r="AH338" s="5"/>
    </x:row>
    <x:row r="339" ht="12" hidden="0" customHeight="1">
      <x:c r="A339" s="2"/>
      <x:c r="B339" s="2"/>
      <x:c r="C339" s="2"/>
      <x:c r="D339" s="2"/>
      <x:c r="E339" s="2"/>
      <x:c r="F339" s="2"/>
      <x:c r="G339" s="2"/>
      <x:c r="H339" s="2"/>
      <x:c r="I339" s="7"/>
      <x:c r="J339" s="2"/>
      <x:c r="K339" s="2"/>
      <x:c r="L339" s="2"/>
      <x:c r="M339" s="2"/>
      <x:c r="N339" s="2"/>
      <x:c r="O339" s="2"/>
      <x:c r="P339" s="2"/>
      <x:c r="Q339" s="2"/>
      <x:c r="R339" s="2"/>
      <x:c r="S339" s="2"/>
      <x:c r="V339" s="5"/>
      <x:c r="W339" s="5"/>
      <x:c r="X339" s="5"/>
      <x:c r="Y339" s="5"/>
      <x:c r="Z339" s="5"/>
      <x:c r="AA339" s="5"/>
      <x:c r="AB339" s="5"/>
      <x:c r="AC339" s="5"/>
      <x:c r="AD339" s="5"/>
      <x:c r="AE339" s="5"/>
      <x:c r="AF339" s="5"/>
      <x:c r="AG339" s="5"/>
      <x:c r="AH339" s="5"/>
    </x:row>
    <x:row r="340" ht="12" hidden="0" customHeight="1">
      <x:c r="A340" s="2"/>
      <x:c r="B340" s="2"/>
      <x:c r="C340" s="2"/>
      <x:c r="D340" s="2"/>
      <x:c r="E340" s="2"/>
      <x:c r="F340" s="2"/>
      <x:c r="G340" s="2"/>
      <x:c r="H340" s="2"/>
      <x:c r="I340" s="7"/>
      <x:c r="J340" s="2"/>
      <x:c r="K340" s="2"/>
      <x:c r="L340" s="2"/>
      <x:c r="M340" s="2"/>
      <x:c r="N340" s="2"/>
      <x:c r="O340" s="2"/>
      <x:c r="P340" s="2"/>
      <x:c r="Q340" s="2"/>
      <x:c r="R340" s="2"/>
      <x:c r="S340" s="2"/>
      <x:c r="V340" s="5"/>
      <x:c r="W340" s="5"/>
      <x:c r="X340" s="5"/>
      <x:c r="Y340" s="5"/>
      <x:c r="Z340" s="5"/>
      <x:c r="AA340" s="5"/>
      <x:c r="AB340" s="5"/>
      <x:c r="AC340" s="5"/>
      <x:c r="AD340" s="5"/>
      <x:c r="AE340" s="5"/>
      <x:c r="AF340" s="5"/>
      <x:c r="AG340" s="5"/>
      <x:c r="AH340" s="5"/>
    </x:row>
    <x:row r="341" ht="12" hidden="0" customHeight="1">
      <x:c r="A341" s="2"/>
      <x:c r="B341" s="2"/>
      <x:c r="C341" s="2"/>
      <x:c r="D341" s="2"/>
      <x:c r="E341" s="2"/>
      <x:c r="F341" s="2"/>
      <x:c r="G341" s="2"/>
      <x:c r="H341" s="2"/>
      <x:c r="I341" s="7"/>
      <x:c r="J341" s="2"/>
      <x:c r="K341" s="2"/>
      <x:c r="L341" s="2"/>
      <x:c r="M341" s="2"/>
      <x:c r="N341" s="2"/>
      <x:c r="O341" s="2"/>
      <x:c r="P341" s="2"/>
      <x:c r="Q341" s="2"/>
      <x:c r="R341" s="2"/>
      <x:c r="S341" s="2"/>
      <x:c r="V341" s="5"/>
      <x:c r="W341" s="5"/>
      <x:c r="X341" s="5"/>
      <x:c r="Y341" s="5"/>
      <x:c r="Z341" s="5"/>
      <x:c r="AA341" s="5"/>
      <x:c r="AB341" s="5"/>
      <x:c r="AC341" s="5"/>
      <x:c r="AD341" s="5"/>
      <x:c r="AE341" s="5"/>
      <x:c r="AF341" s="5"/>
      <x:c r="AG341" s="5"/>
      <x:c r="AH341" s="5"/>
    </x:row>
    <x:row r="342" ht="12" hidden="0" customHeight="1">
      <x:c r="A342" s="2"/>
      <x:c r="B342" s="2"/>
      <x:c r="C342" s="2"/>
      <x:c r="D342" s="2"/>
      <x:c r="E342" s="2"/>
      <x:c r="F342" s="2"/>
      <x:c r="G342" s="2"/>
      <x:c r="H342" s="2"/>
      <x:c r="I342" s="7"/>
      <x:c r="J342" s="2"/>
      <x:c r="K342" s="2"/>
      <x:c r="L342" s="2"/>
      <x:c r="M342" s="2"/>
      <x:c r="N342" s="2"/>
      <x:c r="O342" s="2"/>
      <x:c r="P342" s="2"/>
      <x:c r="Q342" s="2"/>
      <x:c r="R342" s="2"/>
      <x:c r="S342" s="2"/>
      <x:c r="V342" s="5"/>
      <x:c r="W342" s="5"/>
      <x:c r="X342" s="5"/>
      <x:c r="Y342" s="5"/>
      <x:c r="Z342" s="5"/>
      <x:c r="AA342" s="5"/>
      <x:c r="AB342" s="5"/>
      <x:c r="AC342" s="5"/>
      <x:c r="AD342" s="5"/>
      <x:c r="AE342" s="5"/>
      <x:c r="AF342" s="5"/>
      <x:c r="AG342" s="5"/>
      <x:c r="AH342" s="5"/>
    </x:row>
    <x:row r="343" ht="12" hidden="0" customHeight="1">
      <x:c r="A343" s="2"/>
      <x:c r="B343" s="2"/>
      <x:c r="C343" s="2"/>
      <x:c r="D343" s="2"/>
      <x:c r="E343" s="2"/>
      <x:c r="F343" s="2"/>
      <x:c r="G343" s="2"/>
      <x:c r="H343" s="2"/>
      <x:c r="I343" s="7"/>
      <x:c r="J343" s="2"/>
      <x:c r="K343" s="2"/>
      <x:c r="L343" s="2"/>
      <x:c r="M343" s="2"/>
      <x:c r="N343" s="2"/>
      <x:c r="O343" s="2"/>
      <x:c r="P343" s="2"/>
      <x:c r="Q343" s="2"/>
      <x:c r="R343" s="2"/>
      <x:c r="S343" s="2"/>
      <x:c r="V343" s="5"/>
      <x:c r="W343" s="5"/>
      <x:c r="X343" s="5"/>
      <x:c r="Y343" s="5"/>
      <x:c r="Z343" s="5"/>
      <x:c r="AA343" s="5"/>
      <x:c r="AB343" s="5"/>
      <x:c r="AC343" s="5"/>
      <x:c r="AD343" s="5"/>
      <x:c r="AE343" s="5"/>
      <x:c r="AF343" s="5"/>
      <x:c r="AG343" s="5"/>
      <x:c r="AH343" s="5"/>
    </x:row>
    <x:row r="344" ht="12" hidden="0" customHeight="1">
      <x:c r="A344" s="2"/>
      <x:c r="B344" s="2"/>
      <x:c r="C344" s="2"/>
      <x:c r="D344" s="2"/>
      <x:c r="E344" s="2"/>
      <x:c r="F344" s="2"/>
      <x:c r="G344" s="2"/>
      <x:c r="H344" s="2"/>
      <x:c r="I344" s="7"/>
      <x:c r="J344" s="2"/>
      <x:c r="K344" s="2"/>
      <x:c r="L344" s="2"/>
      <x:c r="M344" s="2"/>
      <x:c r="N344" s="2"/>
      <x:c r="O344" s="2"/>
      <x:c r="P344" s="2"/>
      <x:c r="Q344" s="2"/>
      <x:c r="R344" s="2"/>
      <x:c r="S344" s="2"/>
      <x:c r="V344" s="5"/>
      <x:c r="W344" s="5"/>
      <x:c r="X344" s="5"/>
      <x:c r="Y344" s="5"/>
      <x:c r="Z344" s="5"/>
      <x:c r="AA344" s="5"/>
      <x:c r="AB344" s="5"/>
      <x:c r="AC344" s="5"/>
      <x:c r="AD344" s="5"/>
      <x:c r="AE344" s="5"/>
      <x:c r="AF344" s="5"/>
      <x:c r="AG344" s="5"/>
      <x:c r="AH344" s="5"/>
    </x:row>
    <x:row r="345" ht="12" hidden="0" customHeight="1">
      <x:c r="A345" s="2"/>
      <x:c r="B345" s="2"/>
      <x:c r="C345" s="2"/>
      <x:c r="D345" s="2"/>
      <x:c r="E345" s="2"/>
      <x:c r="F345" s="2"/>
      <x:c r="G345" s="2"/>
      <x:c r="H345" s="2"/>
      <x:c r="I345" s="7"/>
      <x:c r="J345" s="2"/>
      <x:c r="K345" s="2"/>
      <x:c r="L345" s="2"/>
      <x:c r="M345" s="2"/>
      <x:c r="N345" s="2"/>
      <x:c r="O345" s="2"/>
      <x:c r="P345" s="2"/>
      <x:c r="Q345" s="2"/>
      <x:c r="R345" s="2"/>
      <x:c r="S345" s="2"/>
      <x:c r="V345" s="5"/>
      <x:c r="W345" s="5"/>
      <x:c r="X345" s="5"/>
      <x:c r="Y345" s="5"/>
      <x:c r="Z345" s="5"/>
      <x:c r="AA345" s="5"/>
      <x:c r="AB345" s="5"/>
      <x:c r="AC345" s="5"/>
      <x:c r="AD345" s="5"/>
      <x:c r="AE345" s="5"/>
      <x:c r="AF345" s="5"/>
      <x:c r="AG345" s="5"/>
      <x:c r="AH345" s="5"/>
    </x:row>
    <x:row r="346" ht="12" hidden="0" customHeight="1">
      <x:c r="A346" s="2"/>
      <x:c r="B346" s="2"/>
      <x:c r="C346" s="2"/>
      <x:c r="D346" s="2"/>
      <x:c r="E346" s="2"/>
      <x:c r="F346" s="2"/>
      <x:c r="G346" s="2"/>
      <x:c r="H346" s="2"/>
      <x:c r="I346" s="7"/>
      <x:c r="J346" s="2"/>
      <x:c r="K346" s="2"/>
      <x:c r="L346" s="2"/>
      <x:c r="M346" s="2"/>
      <x:c r="N346" s="2"/>
      <x:c r="O346" s="2"/>
      <x:c r="P346" s="2"/>
      <x:c r="Q346" s="2"/>
      <x:c r="R346" s="2"/>
      <x:c r="S346" s="2"/>
      <x:c r="V346" s="5"/>
      <x:c r="W346" s="5"/>
      <x:c r="X346" s="5"/>
      <x:c r="Y346" s="5"/>
      <x:c r="Z346" s="5"/>
      <x:c r="AA346" s="5"/>
      <x:c r="AB346" s="5"/>
      <x:c r="AC346" s="5"/>
      <x:c r="AD346" s="5"/>
      <x:c r="AE346" s="5"/>
      <x:c r="AF346" s="5"/>
      <x:c r="AG346" s="5"/>
      <x:c r="AH346" s="5"/>
    </x:row>
    <x:row r="347" ht="12" hidden="0" customHeight="1">
      <x:c r="A347" s="2"/>
      <x:c r="B347" s="2"/>
      <x:c r="C347" s="2"/>
      <x:c r="D347" s="2"/>
      <x:c r="E347" s="2"/>
      <x:c r="F347" s="2"/>
      <x:c r="G347" s="2"/>
      <x:c r="H347" s="2"/>
      <x:c r="I347" s="7"/>
      <x:c r="J347" s="2"/>
      <x:c r="K347" s="2"/>
      <x:c r="L347" s="2"/>
      <x:c r="M347" s="2"/>
      <x:c r="N347" s="2"/>
      <x:c r="O347" s="2"/>
      <x:c r="P347" s="2"/>
      <x:c r="Q347" s="2"/>
      <x:c r="R347" s="2"/>
      <x:c r="S347" s="2"/>
      <x:c r="V347" s="5"/>
      <x:c r="W347" s="5"/>
      <x:c r="X347" s="5"/>
      <x:c r="Y347" s="5"/>
      <x:c r="Z347" s="5"/>
      <x:c r="AA347" s="5"/>
      <x:c r="AB347" s="5"/>
      <x:c r="AC347" s="5"/>
      <x:c r="AD347" s="5"/>
      <x:c r="AE347" s="5"/>
      <x:c r="AF347" s="5"/>
      <x:c r="AG347" s="5"/>
      <x:c r="AH347" s="5"/>
    </x:row>
    <x:row r="348" ht="12" hidden="0" customHeight="1">
      <x:c r="A348" s="2"/>
      <x:c r="B348" s="2"/>
      <x:c r="C348" s="2"/>
      <x:c r="D348" s="2"/>
      <x:c r="E348" s="2"/>
      <x:c r="F348" s="2"/>
      <x:c r="G348" s="2"/>
      <x:c r="H348" s="2"/>
      <x:c r="I348" s="7"/>
      <x:c r="J348" s="2"/>
      <x:c r="K348" s="2"/>
      <x:c r="L348" s="2"/>
      <x:c r="M348" s="2"/>
      <x:c r="N348" s="2"/>
      <x:c r="O348" s="2"/>
      <x:c r="P348" s="2"/>
      <x:c r="Q348" s="2"/>
      <x:c r="R348" s="2"/>
      <x:c r="S348" s="2"/>
      <x:c r="V348" s="5"/>
      <x:c r="W348" s="5"/>
      <x:c r="X348" s="5"/>
      <x:c r="Y348" s="5"/>
      <x:c r="Z348" s="5"/>
      <x:c r="AA348" s="5"/>
      <x:c r="AB348" s="5"/>
      <x:c r="AC348" s="5"/>
      <x:c r="AD348" s="5"/>
      <x:c r="AE348" s="5"/>
      <x:c r="AF348" s="5"/>
      <x:c r="AG348" s="5"/>
      <x:c r="AH348" s="5"/>
    </x:row>
    <x:row r="349" ht="12" hidden="0" customHeight="1">
      <x:c r="A349" s="2"/>
      <x:c r="B349" s="2"/>
      <x:c r="C349" s="2"/>
      <x:c r="D349" s="2"/>
      <x:c r="E349" s="2"/>
      <x:c r="F349" s="2"/>
      <x:c r="G349" s="2"/>
      <x:c r="H349" s="2"/>
      <x:c r="I349" s="7"/>
      <x:c r="J349" s="2"/>
      <x:c r="K349" s="2"/>
      <x:c r="L349" s="2"/>
      <x:c r="M349" s="2"/>
      <x:c r="N349" s="2"/>
      <x:c r="O349" s="2"/>
      <x:c r="P349" s="2"/>
      <x:c r="Q349" s="2"/>
      <x:c r="R349" s="2"/>
      <x:c r="S349" s="2"/>
      <x:c r="V349" s="5"/>
      <x:c r="W349" s="5"/>
      <x:c r="X349" s="5"/>
      <x:c r="Y349" s="5"/>
      <x:c r="Z349" s="5"/>
      <x:c r="AA349" s="5"/>
      <x:c r="AB349" s="5"/>
      <x:c r="AC349" s="5"/>
      <x:c r="AD349" s="5"/>
      <x:c r="AE349" s="5"/>
      <x:c r="AF349" s="5"/>
      <x:c r="AG349" s="5"/>
      <x:c r="AH349" s="5"/>
    </x:row>
    <x:row r="350" ht="12" hidden="0" customHeight="1">
      <x:c r="A350" s="2"/>
      <x:c r="B350" s="2"/>
      <x:c r="C350" s="2"/>
      <x:c r="D350" s="2"/>
      <x:c r="E350" s="2"/>
      <x:c r="F350" s="2"/>
      <x:c r="G350" s="2"/>
      <x:c r="H350" s="2"/>
      <x:c r="I350" s="7"/>
      <x:c r="J350" s="2"/>
      <x:c r="K350" s="2"/>
      <x:c r="L350" s="2"/>
      <x:c r="M350" s="2"/>
      <x:c r="N350" s="2"/>
      <x:c r="O350" s="2"/>
      <x:c r="P350" s="2"/>
      <x:c r="Q350" s="2"/>
      <x:c r="R350" s="2"/>
      <x:c r="S350" s="2"/>
      <x:c r="V350" s="5"/>
      <x:c r="W350" s="5"/>
      <x:c r="X350" s="5"/>
      <x:c r="Y350" s="5"/>
      <x:c r="Z350" s="5"/>
      <x:c r="AA350" s="5"/>
      <x:c r="AB350" s="5"/>
      <x:c r="AC350" s="5"/>
      <x:c r="AD350" s="5"/>
      <x:c r="AE350" s="5"/>
      <x:c r="AF350" s="5"/>
      <x:c r="AG350" s="5"/>
      <x:c r="AH350" s="5"/>
    </x:row>
    <x:row r="351" ht="12" hidden="0" customHeight="1">
      <x:c r="A351" s="2"/>
      <x:c r="B351" s="2"/>
      <x:c r="C351" s="2"/>
      <x:c r="D351" s="2"/>
      <x:c r="E351" s="2"/>
      <x:c r="F351" s="2"/>
      <x:c r="G351" s="2"/>
      <x:c r="H351" s="2"/>
      <x:c r="I351" s="7"/>
      <x:c r="J351" s="2"/>
      <x:c r="K351" s="2"/>
      <x:c r="L351" s="2"/>
      <x:c r="M351" s="2"/>
      <x:c r="N351" s="2"/>
      <x:c r="O351" s="2"/>
      <x:c r="P351" s="2"/>
      <x:c r="Q351" s="2"/>
      <x:c r="R351" s="2"/>
      <x:c r="S351" s="2"/>
      <x:c r="V351" s="5"/>
      <x:c r="W351" s="5"/>
      <x:c r="X351" s="5"/>
      <x:c r="Y351" s="5"/>
      <x:c r="Z351" s="5"/>
      <x:c r="AA351" s="5"/>
      <x:c r="AB351" s="5"/>
      <x:c r="AC351" s="5"/>
      <x:c r="AD351" s="5"/>
      <x:c r="AE351" s="5"/>
      <x:c r="AF351" s="5"/>
      <x:c r="AG351" s="5"/>
      <x:c r="AH351" s="5"/>
    </x:row>
    <x:row r="352" ht="12" hidden="0" customHeight="1">
      <x:c r="A352" s="2"/>
      <x:c r="B352" s="2"/>
      <x:c r="C352" s="2"/>
      <x:c r="D352" s="2"/>
      <x:c r="E352" s="2"/>
      <x:c r="F352" s="2"/>
      <x:c r="G352" s="2"/>
      <x:c r="H352" s="2"/>
      <x:c r="I352" s="7"/>
      <x:c r="J352" s="2"/>
      <x:c r="K352" s="2"/>
      <x:c r="L352" s="2"/>
      <x:c r="M352" s="2"/>
      <x:c r="N352" s="2"/>
      <x:c r="O352" s="2"/>
      <x:c r="P352" s="2"/>
      <x:c r="Q352" s="2"/>
      <x:c r="R352" s="2"/>
      <x:c r="S352" s="2"/>
      <x:c r="V352" s="5"/>
      <x:c r="W352" s="5"/>
      <x:c r="X352" s="5"/>
      <x:c r="Y352" s="5"/>
      <x:c r="Z352" s="5"/>
      <x:c r="AA352" s="5"/>
      <x:c r="AB352" s="5"/>
      <x:c r="AC352" s="5"/>
      <x:c r="AD352" s="5"/>
      <x:c r="AE352" s="5"/>
      <x:c r="AF352" s="5"/>
      <x:c r="AG352" s="5"/>
      <x:c r="AH352" s="5"/>
    </x:row>
    <x:row r="353" ht="12" hidden="0" customHeight="1">
      <x:c r="A353" s="2"/>
      <x:c r="B353" s="2"/>
      <x:c r="C353" s="2"/>
      <x:c r="D353" s="2"/>
      <x:c r="E353" s="2"/>
      <x:c r="F353" s="2"/>
      <x:c r="G353" s="2"/>
      <x:c r="H353" s="2"/>
      <x:c r="I353" s="7"/>
      <x:c r="J353" s="2"/>
      <x:c r="K353" s="2"/>
      <x:c r="L353" s="2"/>
      <x:c r="M353" s="2"/>
      <x:c r="N353" s="2"/>
      <x:c r="O353" s="2"/>
      <x:c r="P353" s="2"/>
      <x:c r="Q353" s="2"/>
      <x:c r="V353" s="5"/>
      <x:c r="W353" s="5"/>
      <x:c r="X353" s="5"/>
      <x:c r="Y353" s="5"/>
      <x:c r="Z353" s="5"/>
      <x:c r="AA353" s="5"/>
      <x:c r="AB353" s="5"/>
      <x:c r="AC353" s="5"/>
      <x:c r="AD353" s="5"/>
      <x:c r="AE353" s="5"/>
      <x:c r="AF353" s="5"/>
      <x:c r="AG353" s="5"/>
      <x:c r="AH353" s="5"/>
    </x:row>
    <x:row r="354" ht="12" hidden="0" customHeight="1">
      <x:c r="A354" s="2"/>
      <x:c r="B354" s="2"/>
      <x:c r="C354" s="2"/>
      <x:c r="D354" s="2"/>
      <x:c r="E354" s="2"/>
      <x:c r="F354" s="2"/>
      <x:c r="G354" s="2"/>
      <x:c r="H354" s="2"/>
      <x:c r="I354" s="7"/>
      <x:c r="J354" s="2"/>
      <x:c r="K354" s="2"/>
      <x:c r="L354" s="2"/>
      <x:c r="M354" s="2"/>
      <x:c r="N354" s="2"/>
      <x:c r="O354" s="2"/>
      <x:c r="P354" s="2"/>
      <x:c r="Q354" s="2"/>
      <x:c r="V354" s="5"/>
      <x:c r="W354" s="5"/>
      <x:c r="X354" s="5"/>
      <x:c r="Y354" s="5"/>
      <x:c r="Z354" s="5"/>
      <x:c r="AA354" s="5"/>
      <x:c r="AB354" s="5"/>
      <x:c r="AC354" s="5"/>
      <x:c r="AD354" s="5"/>
      <x:c r="AE354" s="5"/>
      <x:c r="AF354" s="5"/>
      <x:c r="AG354" s="5"/>
      <x:c r="AH354" s="5"/>
    </x:row>
    <x:row r="355" ht="12" hidden="0" customHeight="1">
      <x:c r="A355" s="2"/>
      <x:c r="B355" s="2"/>
      <x:c r="C355" s="2"/>
      <x:c r="D355" s="2"/>
      <x:c r="E355" s="2"/>
      <x:c r="F355" s="2"/>
      <x:c r="G355" s="2"/>
      <x:c r="H355" s="2"/>
      <x:c r="I355" s="7"/>
      <x:c r="J355" s="2"/>
      <x:c r="K355" s="2"/>
      <x:c r="L355" s="2"/>
      <x:c r="M355" s="2"/>
      <x:c r="N355" s="2"/>
      <x:c r="O355" s="2"/>
      <x:c r="P355" s="2"/>
      <x:c r="Q355" s="2"/>
      <x:c r="V355" s="5"/>
      <x:c r="W355" s="5"/>
      <x:c r="X355" s="5"/>
      <x:c r="Y355" s="5"/>
      <x:c r="Z355" s="5"/>
      <x:c r="AA355" s="5"/>
      <x:c r="AB355" s="5"/>
      <x:c r="AC355" s="5"/>
      <x:c r="AD355" s="5"/>
      <x:c r="AE355" s="5"/>
      <x:c r="AF355" s="5"/>
      <x:c r="AG355" s="5"/>
      <x:c r="AH355" s="5"/>
    </x:row>
    <x:row r="356" ht="12" hidden="0" customHeight="1">
      <x:c r="A356" s="2"/>
      <x:c r="B356" s="2"/>
      <x:c r="C356" s="2"/>
      <x:c r="D356" s="2"/>
      <x:c r="E356" s="2"/>
      <x:c r="F356" s="2"/>
      <x:c r="G356" s="2"/>
      <x:c r="H356" s="2"/>
      <x:c r="I356" s="7"/>
      <x:c r="J356" s="2"/>
      <x:c r="K356" s="2"/>
      <x:c r="L356" s="2"/>
      <x:c r="M356" s="2"/>
      <x:c r="N356" s="2"/>
      <x:c r="O356" s="2"/>
      <x:c r="P356" s="2"/>
      <x:c r="Q356" s="2"/>
      <x:c r="V356" s="5"/>
      <x:c r="W356" s="5"/>
      <x:c r="X356" s="5"/>
      <x:c r="Y356" s="5"/>
      <x:c r="Z356" s="5"/>
      <x:c r="AA356" s="5"/>
      <x:c r="AB356" s="5"/>
      <x:c r="AC356" s="5"/>
      <x:c r="AD356" s="5"/>
      <x:c r="AE356" s="5"/>
      <x:c r="AF356" s="5"/>
      <x:c r="AG356" s="5"/>
      <x:c r="AH356" s="5"/>
    </x:row>
    <x:row r="357" ht="12" hidden="0" customHeight="1">
      <x:c r="A357" s="2"/>
      <x:c r="B357" s="2"/>
      <x:c r="C357" s="2"/>
      <x:c r="D357" s="2"/>
      <x:c r="E357" s="2"/>
      <x:c r="F357" s="2"/>
      <x:c r="G357" s="2"/>
      <x:c r="H357" s="2"/>
      <x:c r="I357" s="7"/>
      <x:c r="J357" s="2"/>
      <x:c r="K357" s="2"/>
      <x:c r="L357" s="2"/>
      <x:c r="M357" s="2"/>
      <x:c r="N357" s="2"/>
      <x:c r="O357" s="2"/>
      <x:c r="P357" s="2"/>
      <x:c r="Q357" s="2"/>
      <x:c r="V357" s="5"/>
      <x:c r="W357" s="5"/>
      <x:c r="X357" s="5"/>
      <x:c r="Y357" s="5"/>
      <x:c r="Z357" s="5"/>
      <x:c r="AA357" s="5"/>
      <x:c r="AB357" s="5"/>
      <x:c r="AC357" s="5"/>
      <x:c r="AD357" s="5"/>
      <x:c r="AE357" s="5"/>
      <x:c r="AF357" s="5"/>
      <x:c r="AG357" s="5"/>
      <x:c r="AH357" s="5"/>
    </x:row>
    <x:row r="358" ht="12" hidden="0" customHeight="1">
      <x:c r="A358" s="2"/>
      <x:c r="B358" s="2"/>
      <x:c r="C358" s="2"/>
      <x:c r="D358" s="2"/>
      <x:c r="E358" s="2"/>
      <x:c r="F358" s="2"/>
      <x:c r="G358" s="2"/>
      <x:c r="H358" s="2"/>
      <x:c r="I358" s="7"/>
      <x:c r="J358" s="2"/>
      <x:c r="K358" s="2"/>
      <x:c r="L358" s="2"/>
      <x:c r="M358" s="2"/>
      <x:c r="N358" s="2"/>
      <x:c r="O358" s="2"/>
      <x:c r="P358" s="2"/>
      <x:c r="Q358" s="2"/>
      <x:c r="V358" s="5"/>
      <x:c r="W358" s="5"/>
      <x:c r="X358" s="5"/>
      <x:c r="Y358" s="5"/>
      <x:c r="Z358" s="5"/>
      <x:c r="AA358" s="5"/>
      <x:c r="AB358" s="5"/>
      <x:c r="AC358" s="5"/>
      <x:c r="AD358" s="5"/>
      <x:c r="AE358" s="5"/>
      <x:c r="AF358" s="5"/>
      <x:c r="AG358" s="5"/>
      <x:c r="AH358" s="5"/>
    </x:row>
    <x:row r="359" ht="12" hidden="0" customHeight="1">
      <x:c r="A359" s="2"/>
      <x:c r="B359" s="2"/>
      <x:c r="C359" s="2"/>
      <x:c r="D359" s="2"/>
      <x:c r="E359" s="2"/>
      <x:c r="F359" s="2"/>
      <x:c r="G359" s="2"/>
      <x:c r="H359" s="2"/>
      <x:c r="I359" s="7"/>
      <x:c r="J359" s="2"/>
      <x:c r="K359" s="2"/>
      <x:c r="L359" s="2"/>
      <x:c r="M359" s="2"/>
      <x:c r="N359" s="2"/>
      <x:c r="O359" s="2"/>
      <x:c r="P359" s="2"/>
      <x:c r="Q359" s="2"/>
      <x:c r="V359" s="5"/>
      <x:c r="W359" s="5"/>
      <x:c r="X359" s="5"/>
      <x:c r="Y359" s="5"/>
      <x:c r="Z359" s="5"/>
      <x:c r="AA359" s="5"/>
      <x:c r="AB359" s="5"/>
      <x:c r="AC359" s="5"/>
      <x:c r="AD359" s="5"/>
      <x:c r="AE359" s="5"/>
      <x:c r="AF359" s="5"/>
      <x:c r="AG359" s="5"/>
      <x:c r="AH359" s="5"/>
    </x:row>
    <x:row r="360" ht="12" hidden="0" customHeight="1">
      <x:c r="A360" s="2"/>
      <x:c r="B360" s="2"/>
      <x:c r="C360" s="2"/>
      <x:c r="D360" s="2"/>
      <x:c r="E360" s="2"/>
      <x:c r="F360" s="2"/>
      <x:c r="G360" s="2"/>
      <x:c r="H360" s="2"/>
      <x:c r="I360" s="7"/>
      <x:c r="J360" s="2"/>
      <x:c r="K360" s="2"/>
      <x:c r="L360" s="2"/>
      <x:c r="M360" s="2"/>
      <x:c r="N360" s="2"/>
      <x:c r="O360" s="2"/>
      <x:c r="P360" s="2"/>
      <x:c r="Q360" s="2"/>
      <x:c r="V360" s="5"/>
      <x:c r="W360" s="5"/>
      <x:c r="X360" s="5"/>
      <x:c r="Y360" s="5"/>
      <x:c r="Z360" s="5"/>
      <x:c r="AA360" s="5"/>
      <x:c r="AB360" s="5"/>
      <x:c r="AC360" s="5"/>
      <x:c r="AD360" s="5"/>
      <x:c r="AE360" s="5"/>
      <x:c r="AF360" s="5"/>
      <x:c r="AG360" s="5"/>
      <x:c r="AH360" s="5"/>
    </x:row>
    <x:row r="361" ht="12" hidden="0" customHeight="1">
      <x:c r="A361" s="2"/>
      <x:c r="B361" s="2"/>
      <x:c r="C361" s="2"/>
      <x:c r="D361" s="2"/>
      <x:c r="E361" s="2"/>
      <x:c r="F361" s="2"/>
      <x:c r="G361" s="2"/>
      <x:c r="H361" s="2"/>
      <x:c r="I361" s="7"/>
      <x:c r="J361" s="2"/>
      <x:c r="K361" s="2"/>
      <x:c r="L361" s="2"/>
      <x:c r="M361" s="2"/>
      <x:c r="N361" s="2"/>
      <x:c r="O361" s="2"/>
      <x:c r="P361" s="2"/>
      <x:c r="Q361" s="2"/>
      <x:c r="V361" s="5"/>
      <x:c r="W361" s="5"/>
      <x:c r="X361" s="5"/>
      <x:c r="Y361" s="5"/>
      <x:c r="Z361" s="5"/>
      <x:c r="AA361" s="5"/>
      <x:c r="AB361" s="5"/>
      <x:c r="AC361" s="5"/>
      <x:c r="AD361" s="5"/>
      <x:c r="AE361" s="5"/>
      <x:c r="AF361" s="5"/>
      <x:c r="AG361" s="5"/>
      <x:c r="AH361" s="5"/>
    </x:row>
    <x:row r="362" ht="12" hidden="0" customHeight="1">
      <x:c r="A362" s="2"/>
      <x:c r="B362" s="2"/>
      <x:c r="C362" s="2"/>
      <x:c r="D362" s="2"/>
      <x:c r="E362" s="2"/>
      <x:c r="F362" s="2"/>
      <x:c r="G362" s="2"/>
      <x:c r="H362" s="2"/>
      <x:c r="I362" s="7"/>
      <x:c r="J362" s="2"/>
      <x:c r="K362" s="2"/>
      <x:c r="L362" s="2"/>
      <x:c r="M362" s="2"/>
      <x:c r="N362" s="2"/>
      <x:c r="O362" s="2"/>
      <x:c r="P362" s="2"/>
      <x:c r="Q362" s="2"/>
      <x:c r="V362" s="5"/>
      <x:c r="W362" s="5"/>
      <x:c r="X362" s="5"/>
      <x:c r="Y362" s="5"/>
      <x:c r="Z362" s="5"/>
      <x:c r="AA362" s="5"/>
      <x:c r="AB362" s="5"/>
      <x:c r="AC362" s="5"/>
      <x:c r="AD362" s="5"/>
      <x:c r="AE362" s="5"/>
      <x:c r="AF362" s="5"/>
      <x:c r="AG362" s="5"/>
      <x:c r="AH362" s="5"/>
    </x:row>
    <x:row r="363" ht="12" hidden="0" customHeight="1">
      <x:c r="A363" s="2"/>
      <x:c r="B363" s="2"/>
      <x:c r="C363" s="2"/>
      <x:c r="D363" s="2"/>
      <x:c r="E363" s="2"/>
      <x:c r="F363" s="2"/>
      <x:c r="G363" s="2"/>
      <x:c r="H363" s="2"/>
      <x:c r="I363" s="7"/>
      <x:c r="J363" s="2"/>
      <x:c r="K363" s="2"/>
      <x:c r="L363" s="2"/>
      <x:c r="M363" s="2"/>
      <x:c r="N363" s="2"/>
      <x:c r="O363" s="2"/>
      <x:c r="P363" s="2"/>
      <x:c r="Q363" s="2"/>
      <x:c r="V363" s="5"/>
      <x:c r="W363" s="5"/>
      <x:c r="X363" s="5"/>
      <x:c r="Y363" s="5"/>
      <x:c r="Z363" s="5"/>
      <x:c r="AA363" s="5"/>
      <x:c r="AB363" s="5"/>
      <x:c r="AC363" s="5"/>
      <x:c r="AD363" s="5"/>
      <x:c r="AE363" s="5"/>
      <x:c r="AF363" s="5"/>
      <x:c r="AG363" s="5"/>
      <x:c r="AH363" s="5"/>
    </x:row>
    <x:row r="364" ht="12" hidden="0" customHeight="1">
      <x:c r="A364" s="2"/>
      <x:c r="B364" s="2"/>
      <x:c r="C364" s="2"/>
      <x:c r="D364" s="2"/>
      <x:c r="E364" s="2"/>
      <x:c r="F364" s="2"/>
      <x:c r="G364" s="2"/>
      <x:c r="H364" s="2"/>
      <x:c r="I364" s="7"/>
      <x:c r="J364" s="2"/>
      <x:c r="K364" s="2"/>
      <x:c r="L364" s="2"/>
      <x:c r="M364" s="2"/>
      <x:c r="N364" s="2"/>
      <x:c r="O364" s="2"/>
      <x:c r="P364" s="2"/>
      <x:c r="Q364" s="2"/>
      <x:c r="V364" s="5"/>
      <x:c r="W364" s="5"/>
      <x:c r="X364" s="5"/>
      <x:c r="Y364" s="5"/>
      <x:c r="Z364" s="5"/>
      <x:c r="AA364" s="5"/>
      <x:c r="AB364" s="5"/>
      <x:c r="AC364" s="5"/>
      <x:c r="AD364" s="5"/>
      <x:c r="AE364" s="5"/>
      <x:c r="AF364" s="5"/>
      <x:c r="AG364" s="5"/>
      <x:c r="AH364" s="5"/>
    </x:row>
    <x:row r="365" ht="12" hidden="0" customHeight="1">
      <x:c r="A365" s="2"/>
      <x:c r="B365" s="2"/>
      <x:c r="C365" s="2"/>
      <x:c r="D365" s="2"/>
      <x:c r="E365" s="2"/>
      <x:c r="F365" s="2"/>
      <x:c r="G365" s="2"/>
      <x:c r="H365" s="2"/>
      <x:c r="I365" s="7"/>
      <x:c r="J365" s="2"/>
      <x:c r="K365" s="2"/>
      <x:c r="L365" s="2"/>
      <x:c r="M365" s="2"/>
      <x:c r="N365" s="2"/>
      <x:c r="O365" s="2"/>
      <x:c r="P365" s="2"/>
      <x:c r="Q365" s="2"/>
      <x:c r="V365" s="5"/>
      <x:c r="W365" s="5"/>
      <x:c r="X365" s="5"/>
      <x:c r="Y365" s="5"/>
      <x:c r="Z365" s="5"/>
      <x:c r="AA365" s="5"/>
      <x:c r="AB365" s="5"/>
      <x:c r="AC365" s="5"/>
      <x:c r="AD365" s="5"/>
      <x:c r="AE365" s="5"/>
      <x:c r="AF365" s="5"/>
      <x:c r="AG365" s="5"/>
      <x:c r="AH365" s="5"/>
    </x:row>
    <x:row r="366" ht="12" hidden="0" customHeight="1">
      <x:c r="A366" s="2"/>
      <x:c r="B366" s="2"/>
      <x:c r="C366" s="2"/>
      <x:c r="D366" s="2"/>
      <x:c r="E366" s="2"/>
      <x:c r="F366" s="2"/>
      <x:c r="G366" s="2"/>
      <x:c r="H366" s="2"/>
      <x:c r="I366" s="7"/>
      <x:c r="J366" s="2"/>
      <x:c r="K366" s="2"/>
      <x:c r="L366" s="2"/>
      <x:c r="M366" s="2"/>
      <x:c r="N366" s="2"/>
      <x:c r="O366" s="2"/>
      <x:c r="P366" s="2"/>
      <x:c r="Q366" s="2"/>
      <x:c r="V366" s="5"/>
      <x:c r="W366" s="5"/>
      <x:c r="X366" s="5"/>
      <x:c r="Y366" s="5"/>
      <x:c r="Z366" s="5"/>
      <x:c r="AA366" s="5"/>
      <x:c r="AB366" s="5"/>
      <x:c r="AC366" s="5"/>
      <x:c r="AD366" s="5"/>
      <x:c r="AE366" s="5"/>
      <x:c r="AF366" s="5"/>
      <x:c r="AG366" s="5"/>
      <x:c r="AH366" s="5"/>
    </x:row>
    <x:row r="367" ht="12" hidden="0" customHeight="1">
      <x:c r="A367" s="2"/>
      <x:c r="B367" s="2"/>
      <x:c r="C367" s="2"/>
      <x:c r="D367" s="2"/>
      <x:c r="E367" s="2"/>
      <x:c r="F367" s="2"/>
      <x:c r="G367" s="2"/>
      <x:c r="H367" s="2"/>
      <x:c r="I367" s="7"/>
      <x:c r="J367" s="2"/>
      <x:c r="K367" s="2"/>
      <x:c r="L367" s="2"/>
      <x:c r="M367" s="2"/>
      <x:c r="N367" s="2"/>
      <x:c r="O367" s="2"/>
      <x:c r="P367" s="2"/>
      <x:c r="Q367" s="2"/>
      <x:c r="V367" s="5"/>
      <x:c r="W367" s="5"/>
      <x:c r="X367" s="5"/>
      <x:c r="Y367" s="5"/>
      <x:c r="Z367" s="5"/>
      <x:c r="AA367" s="5"/>
      <x:c r="AB367" s="5"/>
      <x:c r="AC367" s="5"/>
      <x:c r="AD367" s="5"/>
      <x:c r="AE367" s="5"/>
      <x:c r="AF367" s="5"/>
      <x:c r="AG367" s="5"/>
      <x:c r="AH367" s="5"/>
    </x:row>
    <x:row r="368" ht="12" hidden="0" customHeight="1">
      <x:c r="A368" s="2"/>
      <x:c r="B368" s="2"/>
      <x:c r="C368" s="2"/>
      <x:c r="D368" s="2"/>
      <x:c r="E368" s="2"/>
      <x:c r="F368" s="2"/>
      <x:c r="G368" s="2"/>
      <x:c r="H368" s="2"/>
      <x:c r="I368" s="7"/>
      <x:c r="J368" s="2"/>
      <x:c r="K368" s="2"/>
      <x:c r="L368" s="2"/>
      <x:c r="M368" s="2"/>
      <x:c r="N368" s="2"/>
      <x:c r="O368" s="2"/>
      <x:c r="P368" s="2"/>
      <x:c r="Q368" s="2"/>
      <x:c r="V368" s="5"/>
      <x:c r="W368" s="5"/>
      <x:c r="X368" s="5"/>
      <x:c r="Y368" s="5"/>
      <x:c r="Z368" s="5"/>
      <x:c r="AA368" s="5"/>
      <x:c r="AB368" s="5"/>
      <x:c r="AC368" s="5"/>
      <x:c r="AD368" s="5"/>
      <x:c r="AE368" s="5"/>
      <x:c r="AF368" s="5"/>
      <x:c r="AG368" s="5"/>
      <x:c r="AH368" s="5"/>
    </x:row>
    <x:row r="369" ht="12" hidden="0" customHeight="1">
      <x:c r="A369" s="2"/>
      <x:c r="B369" s="2"/>
      <x:c r="C369" s="2"/>
      <x:c r="D369" s="2"/>
      <x:c r="E369" s="2"/>
      <x:c r="F369" s="2"/>
      <x:c r="G369" s="2"/>
      <x:c r="H369" s="2"/>
      <x:c r="I369" s="7"/>
      <x:c r="J369" s="2"/>
      <x:c r="K369" s="2"/>
      <x:c r="L369" s="2"/>
      <x:c r="M369" s="2"/>
      <x:c r="N369" s="2"/>
      <x:c r="O369" s="2"/>
      <x:c r="P369" s="2"/>
      <x:c r="Q369" s="2"/>
      <x:c r="V369" s="5"/>
      <x:c r="W369" s="5"/>
      <x:c r="X369" s="5"/>
      <x:c r="Y369" s="5"/>
      <x:c r="Z369" s="5"/>
      <x:c r="AA369" s="5"/>
      <x:c r="AB369" s="5"/>
      <x:c r="AC369" s="5"/>
      <x:c r="AD369" s="5"/>
      <x:c r="AE369" s="5"/>
      <x:c r="AF369" s="5"/>
      <x:c r="AG369" s="5"/>
      <x:c r="AH369" s="5"/>
    </x:row>
    <x:row r="370" ht="12" hidden="0" customHeight="1">
      <x:c r="A370" s="2"/>
      <x:c r="B370" s="2"/>
      <x:c r="C370" s="2"/>
      <x:c r="D370" s="2"/>
      <x:c r="E370" s="2"/>
      <x:c r="F370" s="2"/>
      <x:c r="G370" s="2"/>
      <x:c r="H370" s="2"/>
      <x:c r="I370" s="7"/>
      <x:c r="J370" s="2"/>
      <x:c r="K370" s="2"/>
      <x:c r="L370" s="2"/>
      <x:c r="M370" s="2"/>
      <x:c r="N370" s="2"/>
      <x:c r="O370" s="2"/>
      <x:c r="P370" s="2"/>
      <x:c r="Q370" s="2"/>
      <x:c r="V370" s="5"/>
      <x:c r="W370" s="5"/>
      <x:c r="X370" s="5"/>
      <x:c r="Y370" s="5"/>
      <x:c r="Z370" s="5"/>
      <x:c r="AA370" s="5"/>
      <x:c r="AB370" s="5"/>
      <x:c r="AC370" s="5"/>
      <x:c r="AD370" s="5"/>
      <x:c r="AE370" s="5"/>
      <x:c r="AF370" s="5"/>
      <x:c r="AG370" s="5"/>
      <x:c r="AH370" s="5"/>
    </x:row>
    <x:row r="371" ht="12" hidden="0" customHeight="1">
      <x:c r="A371" s="2"/>
      <x:c r="B371" s="2"/>
      <x:c r="C371" s="2"/>
      <x:c r="D371" s="2"/>
      <x:c r="E371" s="2"/>
      <x:c r="F371" s="2"/>
      <x:c r="G371" s="2"/>
      <x:c r="H371" s="2"/>
      <x:c r="I371" s="7"/>
      <x:c r="J371" s="2"/>
      <x:c r="K371" s="2"/>
      <x:c r="L371" s="2"/>
      <x:c r="M371" s="2"/>
      <x:c r="N371" s="2"/>
      <x:c r="O371" s="2"/>
      <x:c r="P371" s="2"/>
      <x:c r="Q371" s="2"/>
      <x:c r="V371" s="5"/>
      <x:c r="W371" s="5"/>
      <x:c r="X371" s="5"/>
      <x:c r="Y371" s="5"/>
      <x:c r="Z371" s="5"/>
      <x:c r="AA371" s="5"/>
      <x:c r="AB371" s="5"/>
      <x:c r="AC371" s="5"/>
      <x:c r="AD371" s="5"/>
      <x:c r="AE371" s="5"/>
      <x:c r="AF371" s="5"/>
      <x:c r="AG371" s="5"/>
      <x:c r="AH371" s="5"/>
    </x:row>
    <x:row r="372" ht="12" hidden="0" customHeight="1">
      <x:c r="A372" s="2"/>
      <x:c r="B372" s="2"/>
      <x:c r="C372" s="2"/>
      <x:c r="D372" s="2"/>
      <x:c r="E372" s="2"/>
      <x:c r="F372" s="2"/>
      <x:c r="G372" s="2"/>
      <x:c r="H372" s="2"/>
      <x:c r="I372" s="7"/>
      <x:c r="J372" s="2"/>
      <x:c r="K372" s="2"/>
      <x:c r="L372" s="2"/>
      <x:c r="M372" s="2"/>
      <x:c r="N372" s="2"/>
      <x:c r="O372" s="2"/>
      <x:c r="P372" s="2"/>
      <x:c r="Q372" s="2"/>
      <x:c r="V372" s="5"/>
      <x:c r="W372" s="5"/>
      <x:c r="X372" s="5"/>
      <x:c r="Y372" s="5"/>
      <x:c r="Z372" s="5"/>
      <x:c r="AA372" s="5"/>
      <x:c r="AB372" s="5"/>
      <x:c r="AC372" s="5"/>
      <x:c r="AD372" s="5"/>
      <x:c r="AE372" s="5"/>
      <x:c r="AF372" s="5"/>
      <x:c r="AG372" s="5"/>
      <x:c r="AH372" s="5"/>
    </x:row>
    <x:row r="373" ht="12" hidden="0" customHeight="1">
      <x:c r="A373" s="2"/>
      <x:c r="B373" s="2"/>
      <x:c r="C373" s="2"/>
      <x:c r="D373" s="2"/>
      <x:c r="E373" s="2"/>
      <x:c r="F373" s="2"/>
      <x:c r="G373" s="2"/>
      <x:c r="H373" s="2"/>
      <x:c r="I373" s="7"/>
      <x:c r="J373" s="2"/>
      <x:c r="K373" s="2"/>
      <x:c r="L373" s="2"/>
      <x:c r="M373" s="2"/>
      <x:c r="N373" s="2"/>
      <x:c r="O373" s="2"/>
      <x:c r="P373" s="2"/>
      <x:c r="Q373" s="2"/>
      <x:c r="V373" s="5"/>
      <x:c r="W373" s="5"/>
      <x:c r="X373" s="5"/>
      <x:c r="Y373" s="5"/>
      <x:c r="Z373" s="5"/>
      <x:c r="AA373" s="5"/>
      <x:c r="AB373" s="5"/>
      <x:c r="AC373" s="5"/>
      <x:c r="AD373" s="5"/>
      <x:c r="AE373" s="5"/>
      <x:c r="AF373" s="5"/>
      <x:c r="AG373" s="5"/>
      <x:c r="AH373" s="5"/>
    </x:row>
    <x:row r="374" ht="12" hidden="0" customHeight="1">
      <x:c r="A374" s="2"/>
      <x:c r="B374" s="2"/>
      <x:c r="C374" s="2"/>
      <x:c r="D374" s="2"/>
      <x:c r="E374" s="2"/>
      <x:c r="F374" s="2"/>
      <x:c r="G374" s="2"/>
      <x:c r="H374" s="2"/>
      <x:c r="I374" s="7"/>
      <x:c r="J374" s="2"/>
      <x:c r="K374" s="2"/>
      <x:c r="L374" s="2"/>
      <x:c r="M374" s="2"/>
      <x:c r="N374" s="2"/>
      <x:c r="O374" s="2"/>
      <x:c r="P374" s="2"/>
      <x:c r="Q374" s="2"/>
      <x:c r="V374" s="5"/>
      <x:c r="W374" s="5"/>
      <x:c r="X374" s="5"/>
      <x:c r="Y374" s="5"/>
      <x:c r="Z374" s="5"/>
      <x:c r="AA374" s="5"/>
      <x:c r="AB374" s="5"/>
      <x:c r="AC374" s="5"/>
      <x:c r="AD374" s="5"/>
      <x:c r="AE374" s="5"/>
      <x:c r="AF374" s="5"/>
      <x:c r="AG374" s="5"/>
      <x:c r="AH374" s="5"/>
    </x:row>
    <x:row r="375" ht="12" hidden="0" customHeight="1">
      <x:c r="A375" s="2"/>
      <x:c r="B375" s="2"/>
      <x:c r="C375" s="2"/>
      <x:c r="D375" s="2"/>
      <x:c r="E375" s="2"/>
      <x:c r="F375" s="2"/>
      <x:c r="G375" s="2"/>
      <x:c r="H375" s="2"/>
      <x:c r="I375" s="7"/>
      <x:c r="J375" s="2"/>
      <x:c r="K375" s="2"/>
      <x:c r="L375" s="2"/>
      <x:c r="M375" s="2"/>
      <x:c r="N375" s="2"/>
      <x:c r="O375" s="2"/>
      <x:c r="P375" s="2"/>
      <x:c r="Q375" s="2"/>
      <x:c r="V375" s="5"/>
      <x:c r="W375" s="5"/>
      <x:c r="X375" s="5"/>
      <x:c r="Y375" s="5"/>
      <x:c r="Z375" s="5"/>
      <x:c r="AA375" s="5"/>
      <x:c r="AB375" s="5"/>
      <x:c r="AC375" s="5"/>
      <x:c r="AD375" s="5"/>
      <x:c r="AE375" s="5"/>
      <x:c r="AF375" s="5"/>
      <x:c r="AG375" s="5"/>
      <x:c r="AH375" s="5"/>
    </x:row>
    <x:row r="376" ht="12" hidden="0" customHeight="1">
      <x:c r="A376" s="2"/>
      <x:c r="B376" s="2"/>
      <x:c r="C376" s="2"/>
      <x:c r="D376" s="2"/>
      <x:c r="E376" s="2"/>
      <x:c r="F376" s="2"/>
      <x:c r="G376" s="2"/>
      <x:c r="H376" s="2"/>
      <x:c r="I376" s="7"/>
      <x:c r="J376" s="2"/>
      <x:c r="K376" s="2"/>
      <x:c r="L376" s="2"/>
      <x:c r="M376" s="2"/>
      <x:c r="N376" s="2"/>
      <x:c r="O376" s="2"/>
      <x:c r="P376" s="2"/>
      <x:c r="Q376" s="2"/>
      <x:c r="V376" s="5"/>
      <x:c r="W376" s="5"/>
      <x:c r="X376" s="5"/>
      <x:c r="Y376" s="5"/>
      <x:c r="Z376" s="5"/>
      <x:c r="AA376" s="5"/>
      <x:c r="AB376" s="5"/>
      <x:c r="AC376" s="5"/>
      <x:c r="AD376" s="5"/>
      <x:c r="AE376" s="5"/>
      <x:c r="AF376" s="5"/>
      <x:c r="AG376" s="5"/>
      <x:c r="AH376" s="5"/>
    </x:row>
    <x:row r="377" ht="12" hidden="0" customHeight="1">
      <x:c r="A377" s="2"/>
      <x:c r="B377" s="2"/>
      <x:c r="C377" s="2"/>
      <x:c r="D377" s="2"/>
      <x:c r="E377" s="2"/>
      <x:c r="F377" s="2"/>
      <x:c r="G377" s="2"/>
      <x:c r="H377" s="2"/>
      <x:c r="I377" s="7"/>
      <x:c r="J377" s="2"/>
      <x:c r="K377" s="2"/>
      <x:c r="L377" s="2"/>
      <x:c r="M377" s="2"/>
      <x:c r="N377" s="2"/>
      <x:c r="O377" s="2"/>
      <x:c r="P377" s="2"/>
      <x:c r="Q377" s="2"/>
      <x:c r="V377" s="5"/>
      <x:c r="W377" s="5"/>
      <x:c r="X377" s="5"/>
      <x:c r="Y377" s="5"/>
      <x:c r="Z377" s="5"/>
      <x:c r="AA377" s="5"/>
      <x:c r="AB377" s="5"/>
      <x:c r="AC377" s="5"/>
      <x:c r="AD377" s="5"/>
      <x:c r="AE377" s="5"/>
      <x:c r="AF377" s="5"/>
      <x:c r="AG377" s="5"/>
      <x:c r="AH377" s="5"/>
    </x:row>
    <x:row r="378" ht="12" hidden="0" customHeight="1">
      <x:c r="A378" s="2"/>
      <x:c r="B378" s="2"/>
      <x:c r="C378" s="2"/>
      <x:c r="D378" s="2"/>
      <x:c r="E378" s="2"/>
      <x:c r="F378" s="2"/>
      <x:c r="G378" s="2"/>
      <x:c r="H378" s="2"/>
      <x:c r="I378" s="7"/>
      <x:c r="J378" s="2"/>
      <x:c r="K378" s="2"/>
      <x:c r="L378" s="2"/>
      <x:c r="M378" s="2"/>
      <x:c r="N378" s="2"/>
      <x:c r="O378" s="2"/>
      <x:c r="P378" s="2"/>
      <x:c r="Q378" s="2"/>
      <x:c r="V378" s="5"/>
      <x:c r="W378" s="5"/>
      <x:c r="X378" s="5"/>
      <x:c r="Y378" s="5"/>
      <x:c r="Z378" s="5"/>
      <x:c r="AA378" s="5"/>
      <x:c r="AB378" s="5"/>
      <x:c r="AC378" s="5"/>
      <x:c r="AD378" s="5"/>
      <x:c r="AE378" s="5"/>
      <x:c r="AF378" s="5"/>
      <x:c r="AG378" s="5"/>
      <x:c r="AH378" s="5"/>
    </x:row>
    <x:row r="379" ht="12" hidden="0" customHeight="1">
      <x:c r="A379" s="2"/>
      <x:c r="B379" s="2"/>
      <x:c r="C379" s="2"/>
      <x:c r="D379" s="2"/>
      <x:c r="E379" s="2"/>
      <x:c r="F379" s="2"/>
      <x:c r="G379" s="2"/>
      <x:c r="H379" s="2"/>
      <x:c r="I379" s="7"/>
      <x:c r="J379" s="2"/>
      <x:c r="K379" s="2"/>
      <x:c r="L379" s="2"/>
      <x:c r="M379" s="2"/>
      <x:c r="N379" s="2"/>
      <x:c r="O379" s="2"/>
      <x:c r="P379" s="2"/>
      <x:c r="Q379" s="2"/>
      <x:c r="V379" s="5"/>
      <x:c r="W379" s="5"/>
      <x:c r="X379" s="5"/>
      <x:c r="Y379" s="5"/>
      <x:c r="Z379" s="5"/>
      <x:c r="AA379" s="5"/>
      <x:c r="AB379" s="5"/>
      <x:c r="AC379" s="5"/>
      <x:c r="AD379" s="5"/>
      <x:c r="AE379" s="5"/>
      <x:c r="AF379" s="5"/>
      <x:c r="AG379" s="5"/>
      <x:c r="AH379" s="5"/>
    </x:row>
    <x:row r="380" ht="15.75" hidden="0" customHeight="1">
      <x:c r="D380" s="63"/>
      <x:c r="I380" s="7"/>
      <x:c r="P380" s="63"/>
    </x:row>
    <x:row r="381" ht="15.75" hidden="0" customHeight="1">
      <x:c r="D381" s="63"/>
      <x:c r="I381" s="7"/>
      <x:c r="P381" s="63"/>
    </x:row>
    <x:row r="382" ht="15.75" hidden="0" customHeight="1">
      <x:c r="D382" s="63"/>
      <x:c r="I382" s="7"/>
      <x:c r="P382" s="63"/>
    </x:row>
    <x:row r="383" ht="15.75" hidden="0" customHeight="1">
      <x:c r="D383" s="63"/>
      <x:c r="I383" s="7"/>
      <x:c r="P383" s="63"/>
    </x:row>
    <x:row r="384" ht="15.75" hidden="0" customHeight="1">
      <x:c r="D384" s="63"/>
      <x:c r="I384" s="7"/>
      <x:c r="P384" s="63"/>
    </x:row>
    <x:row r="385" ht="15.75" hidden="0" customHeight="1">
      <x:c r="D385" s="63"/>
      <x:c r="I385" s="7"/>
      <x:c r="P385" s="63"/>
    </x:row>
    <x:row r="386" ht="15.75" hidden="0" customHeight="1">
      <x:c r="D386" s="63"/>
      <x:c r="I386" s="7"/>
      <x:c r="P386" s="63"/>
    </x:row>
    <x:row r="387" ht="15.75" hidden="0" customHeight="1">
      <x:c r="D387" s="63"/>
      <x:c r="I387" s="7"/>
      <x:c r="P387" s="63"/>
    </x:row>
    <x:row r="388" ht="15.75" hidden="0" customHeight="1">
      <x:c r="D388" s="63"/>
      <x:c r="I388" s="7"/>
      <x:c r="P388" s="63"/>
    </x:row>
    <x:row r="389" ht="15.75" hidden="0" customHeight="1">
      <x:c r="D389" s="63"/>
      <x:c r="I389" s="7"/>
      <x:c r="P389" s="63"/>
    </x:row>
    <x:row r="390" ht="15.75" hidden="0" customHeight="1">
      <x:c r="D390" s="63"/>
      <x:c r="I390" s="7"/>
      <x:c r="P390" s="63"/>
    </x:row>
    <x:row r="391" ht="15.75" hidden="0" customHeight="1">
      <x:c r="D391" s="63"/>
      <x:c r="I391" s="7"/>
      <x:c r="P391" s="63"/>
    </x:row>
    <x:row r="392" ht="15.75" hidden="0" customHeight="1">
      <x:c r="D392" s="63"/>
      <x:c r="I392" s="7"/>
      <x:c r="P392" s="63"/>
    </x:row>
    <x:row r="393" ht="15.75" hidden="0" customHeight="1">
      <x:c r="D393" s="63"/>
      <x:c r="I393" s="7"/>
      <x:c r="P393" s="63"/>
    </x:row>
    <x:row r="394" ht="15.75" hidden="0" customHeight="1">
      <x:c r="D394" s="63"/>
      <x:c r="I394" s="7"/>
      <x:c r="P394" s="63"/>
    </x:row>
    <x:row r="395" ht="15.75" hidden="0" customHeight="1">
      <x:c r="D395" s="63"/>
      <x:c r="I395" s="7"/>
      <x:c r="P395" s="63"/>
    </x:row>
    <x:row r="396" ht="15.75" hidden="0" customHeight="1">
      <x:c r="D396" s="63"/>
      <x:c r="I396" s="7"/>
      <x:c r="P396" s="63"/>
    </x:row>
    <x:row r="397" ht="15.75" hidden="0" customHeight="1">
      <x:c r="D397" s="63"/>
      <x:c r="I397" s="7"/>
      <x:c r="P397" s="63"/>
    </x:row>
    <x:row r="398" ht="15.75" hidden="0" customHeight="1">
      <x:c r="D398" s="63"/>
      <x:c r="I398" s="7"/>
      <x:c r="P398" s="63"/>
    </x:row>
    <x:row r="399" ht="15.75" hidden="0" customHeight="1">
      <x:c r="D399" s="63"/>
      <x:c r="I399" s="7"/>
      <x:c r="P399" s="63"/>
    </x:row>
    <x:row r="400" ht="15.75" hidden="0" customHeight="1">
      <x:c r="D400" s="63"/>
      <x:c r="I400" s="7"/>
      <x:c r="P400" s="63"/>
    </x:row>
    <x:row r="401" ht="15.75" hidden="0" customHeight="1">
      <x:c r="D401" s="63"/>
      <x:c r="I401" s="7"/>
      <x:c r="P401" s="63"/>
    </x:row>
    <x:row r="402" ht="15.75" hidden="0" customHeight="1">
      <x:c r="D402" s="63"/>
      <x:c r="I402" s="7"/>
      <x:c r="P402" s="63"/>
    </x:row>
    <x:row r="403" ht="15.75" hidden="0" customHeight="1">
      <x:c r="D403" s="63"/>
      <x:c r="I403" s="7"/>
      <x:c r="P403" s="63"/>
    </x:row>
    <x:row r="404" ht="15.75" hidden="0" customHeight="1">
      <x:c r="D404" s="63"/>
      <x:c r="I404" s="7"/>
      <x:c r="P404" s="63"/>
    </x:row>
    <x:row r="405" ht="15.75" hidden="0" customHeight="1">
      <x:c r="D405" s="63"/>
      <x:c r="I405" s="7"/>
      <x:c r="P405" s="63"/>
    </x:row>
    <x:row r="406" ht="15.75" hidden="0" customHeight="1">
      <x:c r="D406" s="63"/>
      <x:c r="I406" s="7"/>
      <x:c r="P406" s="63"/>
    </x:row>
    <x:row r="407" ht="15.75" hidden="0" customHeight="1">
      <x:c r="D407" s="63"/>
      <x:c r="I407" s="7"/>
      <x:c r="P407" s="63"/>
    </x:row>
    <x:row r="408" ht="15.75" hidden="0" customHeight="1">
      <x:c r="D408" s="63"/>
      <x:c r="I408" s="7"/>
      <x:c r="P408" s="63"/>
    </x:row>
    <x:row r="409" ht="15.75" hidden="0" customHeight="1">
      <x:c r="D409" s="63"/>
      <x:c r="I409" s="7"/>
      <x:c r="P409" s="63"/>
    </x:row>
    <x:row r="410" ht="15.75" hidden="0" customHeight="1">
      <x:c r="D410" s="63"/>
      <x:c r="I410" s="7"/>
      <x:c r="P410" s="63"/>
    </x:row>
    <x:row r="411" ht="15.75" hidden="0" customHeight="1">
      <x:c r="D411" s="63"/>
      <x:c r="I411" s="7"/>
      <x:c r="P411" s="63"/>
    </x:row>
    <x:row r="412" ht="15.75" hidden="0" customHeight="1">
      <x:c r="D412" s="63"/>
      <x:c r="I412" s="7"/>
      <x:c r="P412" s="63"/>
    </x:row>
    <x:row r="413" ht="15.75" hidden="0" customHeight="1">
      <x:c r="D413" s="63"/>
      <x:c r="I413" s="7"/>
      <x:c r="P413" s="63"/>
    </x:row>
    <x:row r="414" ht="15.75" hidden="0" customHeight="1">
      <x:c r="D414" s="63"/>
      <x:c r="I414" s="7"/>
      <x:c r="P414" s="63"/>
    </x:row>
    <x:row r="415" ht="15.75" hidden="0" customHeight="1">
      <x:c r="D415" s="63"/>
      <x:c r="I415" s="7"/>
      <x:c r="P415" s="63"/>
    </x:row>
    <x:row r="416" ht="15.75" hidden="0" customHeight="1">
      <x:c r="D416" s="63"/>
      <x:c r="I416" s="7"/>
      <x:c r="P416" s="63"/>
    </x:row>
    <x:row r="417" ht="15.75" hidden="0" customHeight="1">
      <x:c r="D417" s="63"/>
      <x:c r="I417" s="7"/>
      <x:c r="P417" s="63"/>
    </x:row>
    <x:row r="418" ht="15.75" hidden="0" customHeight="1">
      <x:c r="D418" s="63"/>
      <x:c r="I418" s="7"/>
      <x:c r="P418" s="63"/>
    </x:row>
    <x:row r="419" ht="15.75" hidden="0" customHeight="1">
      <x:c r="D419" s="63"/>
      <x:c r="I419" s="7"/>
      <x:c r="P419" s="63"/>
    </x:row>
    <x:row r="420" ht="15.75" hidden="0" customHeight="1">
      <x:c r="D420" s="63"/>
      <x:c r="I420" s="7"/>
      <x:c r="P420" s="63"/>
    </x:row>
    <x:row r="421" ht="15.75" hidden="0" customHeight="1">
      <x:c r="D421" s="63"/>
      <x:c r="I421" s="7"/>
      <x:c r="P421" s="63"/>
    </x:row>
    <x:row r="422" ht="15.75" hidden="0" customHeight="1">
      <x:c r="D422" s="63"/>
      <x:c r="I422" s="7"/>
      <x:c r="P422" s="63"/>
    </x:row>
    <x:row r="423" ht="15.75" hidden="0" customHeight="1">
      <x:c r="D423" s="63"/>
      <x:c r="I423" s="7"/>
      <x:c r="P423" s="63"/>
    </x:row>
    <x:row r="424" ht="15.75" hidden="0" customHeight="1">
      <x:c r="D424" s="63"/>
      <x:c r="I424" s="7"/>
      <x:c r="P424" s="63"/>
    </x:row>
    <x:row r="425" ht="15.75" hidden="0" customHeight="1">
      <x:c r="D425" s="63"/>
      <x:c r="I425" s="7"/>
      <x:c r="P425" s="63"/>
    </x:row>
    <x:row r="426" ht="15.75" hidden="0" customHeight="1">
      <x:c r="D426" s="63"/>
      <x:c r="I426" s="7"/>
      <x:c r="P426" s="63"/>
    </x:row>
    <x:row r="427" ht="15.75" hidden="0" customHeight="1">
      <x:c r="D427" s="63"/>
      <x:c r="I427" s="7"/>
      <x:c r="P427" s="63"/>
    </x:row>
    <x:row r="428" ht="15.75" hidden="0" customHeight="1">
      <x:c r="D428" s="63"/>
      <x:c r="I428" s="7"/>
      <x:c r="P428" s="63"/>
    </x:row>
    <x:row r="429" ht="15.75" hidden="0" customHeight="1">
      <x:c r="D429" s="63"/>
      <x:c r="I429" s="7"/>
      <x:c r="P429" s="63"/>
    </x:row>
    <x:row r="430" ht="15.75" hidden="0" customHeight="1">
      <x:c r="D430" s="63"/>
      <x:c r="I430" s="7"/>
      <x:c r="P430" s="63"/>
    </x:row>
    <x:row r="431" ht="15.75" hidden="0" customHeight="1">
      <x:c r="D431" s="63"/>
      <x:c r="I431" s="7"/>
      <x:c r="P431" s="63"/>
    </x:row>
    <x:row r="432" ht="15.75" hidden="0" customHeight="1">
      <x:c r="D432" s="63"/>
      <x:c r="I432" s="7"/>
      <x:c r="P432" s="63"/>
    </x:row>
    <x:row r="433" ht="15.75" hidden="0" customHeight="1">
      <x:c r="D433" s="63"/>
      <x:c r="I433" s="7"/>
      <x:c r="P433" s="63"/>
    </x:row>
    <x:row r="434" ht="15.75" hidden="0" customHeight="1">
      <x:c r="D434" s="63"/>
      <x:c r="I434" s="7"/>
      <x:c r="P434" s="63"/>
    </x:row>
    <x:row r="435" ht="15.75" hidden="0" customHeight="1">
      <x:c r="D435" s="63"/>
      <x:c r="I435" s="7"/>
      <x:c r="P435" s="63"/>
    </x:row>
    <x:row r="436" ht="15.75" hidden="0" customHeight="1">
      <x:c r="D436" s="63"/>
      <x:c r="I436" s="7"/>
      <x:c r="P436" s="63"/>
    </x:row>
    <x:row r="437" ht="15.75" hidden="0" customHeight="1">
      <x:c r="D437" s="63"/>
      <x:c r="I437" s="7"/>
      <x:c r="P437" s="63"/>
    </x:row>
    <x:row r="438" ht="15.75" hidden="0" customHeight="1">
      <x:c r="D438" s="63"/>
      <x:c r="I438" s="7"/>
      <x:c r="P438" s="63"/>
    </x:row>
    <x:row r="439" ht="15.75" hidden="0" customHeight="1">
      <x:c r="D439" s="63"/>
      <x:c r="I439" s="7"/>
      <x:c r="P439" s="63"/>
    </x:row>
    <x:row r="440" ht="15.75" hidden="0" customHeight="1">
      <x:c r="D440" s="63"/>
      <x:c r="I440" s="7"/>
      <x:c r="P440" s="63"/>
    </x:row>
    <x:row r="441" ht="15.75" hidden="0" customHeight="1">
      <x:c r="D441" s="63"/>
      <x:c r="I441" s="7"/>
      <x:c r="P441" s="63"/>
    </x:row>
    <x:row r="442" ht="15.75" hidden="0" customHeight="1">
      <x:c r="D442" s="63"/>
      <x:c r="I442" s="7"/>
      <x:c r="P442" s="63"/>
    </x:row>
    <x:row r="443" ht="15.75" hidden="0" customHeight="1">
      <x:c r="D443" s="63"/>
      <x:c r="I443" s="7"/>
      <x:c r="P443" s="63"/>
    </x:row>
    <x:row r="444" ht="15.75" hidden="0" customHeight="1">
      <x:c r="D444" s="63"/>
      <x:c r="I444" s="7"/>
      <x:c r="P444" s="63"/>
    </x:row>
    <x:row r="445" ht="15.75" hidden="0" customHeight="1">
      <x:c r="D445" s="63"/>
      <x:c r="I445" s="7"/>
      <x:c r="P445" s="63"/>
    </x:row>
    <x:row r="446" ht="15.75" hidden="0" customHeight="1">
      <x:c r="D446" s="63"/>
      <x:c r="I446" s="7"/>
      <x:c r="P446" s="63"/>
    </x:row>
    <x:row r="447" ht="15.75" hidden="0" customHeight="1">
      <x:c r="D447" s="63"/>
      <x:c r="I447" s="7"/>
      <x:c r="P447" s="63"/>
    </x:row>
    <x:row r="448" ht="15.75" hidden="0" customHeight="1">
      <x:c r="D448" s="63"/>
      <x:c r="I448" s="7"/>
      <x:c r="P448" s="63"/>
    </x:row>
    <x:row r="449" ht="15.75" hidden="0" customHeight="1">
      <x:c r="D449" s="63"/>
      <x:c r="I449" s="7"/>
      <x:c r="P449" s="63"/>
    </x:row>
    <x:row r="450" ht="15.75" hidden="0" customHeight="1">
      <x:c r="D450" s="63"/>
      <x:c r="I450" s="7"/>
      <x:c r="P450" s="63"/>
    </x:row>
    <x:row r="451" ht="15.75" hidden="0" customHeight="1">
      <x:c r="D451" s="63"/>
      <x:c r="I451" s="7"/>
      <x:c r="P451" s="63"/>
    </x:row>
    <x:row r="452" ht="15.75" hidden="0" customHeight="1">
      <x:c r="D452" s="63"/>
      <x:c r="I452" s="7"/>
      <x:c r="P452" s="63"/>
    </x:row>
    <x:row r="453" ht="15.75" hidden="0" customHeight="1">
      <x:c r="D453" s="63"/>
      <x:c r="I453" s="7"/>
      <x:c r="P453" s="63"/>
    </x:row>
    <x:row r="454" ht="15.75" hidden="0" customHeight="1">
      <x:c r="D454" s="63"/>
      <x:c r="I454" s="7"/>
      <x:c r="P454" s="63"/>
    </x:row>
    <x:row r="455" ht="15.75" hidden="0" customHeight="1">
      <x:c r="D455" s="63"/>
      <x:c r="I455" s="7"/>
      <x:c r="P455" s="63"/>
    </x:row>
    <x:row r="456" ht="15.75" hidden="0" customHeight="1">
      <x:c r="D456" s="63"/>
      <x:c r="I456" s="7"/>
      <x:c r="P456" s="63"/>
    </x:row>
    <x:row r="457" ht="15.75" hidden="0" customHeight="1">
      <x:c r="D457" s="63"/>
      <x:c r="I457" s="7"/>
      <x:c r="P457" s="63"/>
    </x:row>
    <x:row r="458" ht="15.75" hidden="0" customHeight="1">
      <x:c r="D458" s="63"/>
      <x:c r="I458" s="7"/>
      <x:c r="P458" s="63"/>
    </x:row>
    <x:row r="459" ht="15.75" hidden="0" customHeight="1">
      <x:c r="D459" s="63"/>
      <x:c r="I459" s="7"/>
      <x:c r="P459" s="63"/>
    </x:row>
    <x:row r="460" ht="15.75" hidden="0" customHeight="1">
      <x:c r="D460" s="63"/>
      <x:c r="I460" s="7"/>
      <x:c r="P460" s="63"/>
    </x:row>
    <x:row r="461" ht="15.75" hidden="0" customHeight="1">
      <x:c r="D461" s="63"/>
      <x:c r="I461" s="7"/>
      <x:c r="P461" s="63"/>
    </x:row>
    <x:row r="462" ht="15.75" hidden="0" customHeight="1">
      <x:c r="D462" s="63"/>
      <x:c r="I462" s="7"/>
      <x:c r="P462" s="63"/>
    </x:row>
    <x:row r="463" ht="15.75" hidden="0" customHeight="1">
      <x:c r="D463" s="63"/>
      <x:c r="I463" s="7"/>
      <x:c r="P463" s="63"/>
    </x:row>
    <x:row r="464" ht="15.75" hidden="0" customHeight="1">
      <x:c r="D464" s="63"/>
      <x:c r="I464" s="7"/>
      <x:c r="P464" s="63"/>
    </x:row>
    <x:row r="465" ht="15.75" hidden="0" customHeight="1">
      <x:c r="D465" s="63"/>
      <x:c r="I465" s="7"/>
      <x:c r="P465" s="63"/>
    </x:row>
    <x:row r="466" ht="15.75" hidden="0" customHeight="1">
      <x:c r="D466" s="63"/>
      <x:c r="I466" s="7"/>
      <x:c r="P466" s="63"/>
    </x:row>
    <x:row r="467" ht="15.75" hidden="0" customHeight="1">
      <x:c r="D467" s="63"/>
      <x:c r="I467" s="7"/>
      <x:c r="P467" s="63"/>
    </x:row>
    <x:row r="468" ht="15.75" hidden="0" customHeight="1">
      <x:c r="D468" s="63"/>
      <x:c r="I468" s="7"/>
      <x:c r="P468" s="63"/>
    </x:row>
    <x:row r="469" ht="15.75" hidden="0" customHeight="1">
      <x:c r="D469" s="63"/>
      <x:c r="I469" s="7"/>
      <x:c r="P469" s="63"/>
    </x:row>
    <x:row r="470" ht="15.75" hidden="0" customHeight="1">
      <x:c r="D470" s="63"/>
      <x:c r="I470" s="7"/>
      <x:c r="P470" s="63"/>
    </x:row>
    <x:row r="471" ht="15.75" hidden="0" customHeight="1">
      <x:c r="D471" s="63"/>
      <x:c r="I471" s="7"/>
      <x:c r="P471" s="63"/>
    </x:row>
    <x:row r="472" ht="15.75" hidden="0" customHeight="1">
      <x:c r="D472" s="63"/>
      <x:c r="I472" s="7"/>
      <x:c r="P472" s="63"/>
    </x:row>
    <x:row r="473" ht="15.75" hidden="0" customHeight="1">
      <x:c r="D473" s="63"/>
      <x:c r="I473" s="7"/>
      <x:c r="P473" s="63"/>
    </x:row>
    <x:row r="474" ht="15.75" hidden="0" customHeight="1">
      <x:c r="D474" s="63"/>
      <x:c r="I474" s="7"/>
      <x:c r="P474" s="63"/>
    </x:row>
    <x:row r="475" ht="15.75" hidden="0" customHeight="1">
      <x:c r="D475" s="63"/>
      <x:c r="I475" s="7"/>
      <x:c r="P475" s="63"/>
    </x:row>
    <x:row r="476" ht="15.75" hidden="0" customHeight="1">
      <x:c r="D476" s="63"/>
      <x:c r="I476" s="7"/>
      <x:c r="P476" s="63"/>
    </x:row>
    <x:row r="477" ht="15.75" hidden="0" customHeight="1">
      <x:c r="D477" s="63"/>
      <x:c r="I477" s="7"/>
      <x:c r="P477" s="63"/>
    </x:row>
    <x:row r="478" ht="15.75" hidden="0" customHeight="1">
      <x:c r="D478" s="63"/>
      <x:c r="I478" s="7"/>
      <x:c r="P478" s="63"/>
    </x:row>
    <x:row r="479" ht="15.75" hidden="0" customHeight="1">
      <x:c r="D479" s="63"/>
      <x:c r="I479" s="7"/>
      <x:c r="P479" s="63"/>
    </x:row>
    <x:row r="480" ht="15.75" hidden="0" customHeight="1">
      <x:c r="D480" s="63"/>
      <x:c r="I480" s="7"/>
      <x:c r="P480" s="63"/>
    </x:row>
    <x:row r="481" ht="15.75" hidden="0" customHeight="1">
      <x:c r="D481" s="63"/>
      <x:c r="I481" s="7"/>
      <x:c r="P481" s="63"/>
    </x:row>
    <x:row r="482" ht="15.75" hidden="0" customHeight="1">
      <x:c r="D482" s="63"/>
      <x:c r="I482" s="7"/>
      <x:c r="P482" s="63"/>
    </x:row>
    <x:row r="483" ht="15.75" hidden="0" customHeight="1">
      <x:c r="D483" s="63"/>
      <x:c r="I483" s="7"/>
      <x:c r="P483" s="63"/>
    </x:row>
    <x:row r="484" ht="15.75" hidden="0" customHeight="1">
      <x:c r="D484" s="63"/>
      <x:c r="I484" s="7"/>
      <x:c r="P484" s="63"/>
    </x:row>
    <x:row r="485" ht="15.75" hidden="0" customHeight="1">
      <x:c r="D485" s="63"/>
      <x:c r="I485" s="7"/>
      <x:c r="P485" s="63"/>
    </x:row>
    <x:row r="486" ht="15.75" hidden="0" customHeight="1">
      <x:c r="D486" s="63"/>
      <x:c r="I486" s="7"/>
      <x:c r="P486" s="63"/>
    </x:row>
    <x:row r="487" ht="15.75" hidden="0" customHeight="1">
      <x:c r="D487" s="63"/>
      <x:c r="I487" s="7"/>
      <x:c r="P487" s="63"/>
    </x:row>
    <x:row r="488" ht="15.75" hidden="0" customHeight="1">
      <x:c r="D488" s="63"/>
      <x:c r="I488" s="7"/>
      <x:c r="P488" s="63"/>
    </x:row>
    <x:row r="489" ht="15.75" hidden="0" customHeight="1">
      <x:c r="D489" s="63"/>
      <x:c r="I489" s="7"/>
      <x:c r="P489" s="63"/>
    </x:row>
    <x:row r="490" ht="15.75" hidden="0" customHeight="1">
      <x:c r="D490" s="63"/>
      <x:c r="I490" s="7"/>
      <x:c r="P490" s="63"/>
    </x:row>
    <x:row r="491" ht="15.75" hidden="0" customHeight="1">
      <x:c r="D491" s="63"/>
      <x:c r="I491" s="7"/>
      <x:c r="P491" s="63"/>
    </x:row>
    <x:row r="492" ht="15.75" hidden="0" customHeight="1">
      <x:c r="D492" s="63"/>
      <x:c r="I492" s="7"/>
      <x:c r="P492" s="63"/>
    </x:row>
    <x:row r="493" ht="15.75" hidden="0" customHeight="1">
      <x:c r="D493" s="63"/>
      <x:c r="I493" s="7"/>
      <x:c r="P493" s="63"/>
    </x:row>
    <x:row r="494" ht="15.75" hidden="0" customHeight="1">
      <x:c r="D494" s="63"/>
      <x:c r="I494" s="7"/>
      <x:c r="P494" s="63"/>
    </x:row>
    <x:row r="495" ht="15.75" hidden="0" customHeight="1">
      <x:c r="D495" s="63"/>
      <x:c r="I495" s="7"/>
      <x:c r="P495" s="63"/>
    </x:row>
    <x:row r="496" ht="15.75" hidden="0" customHeight="1">
      <x:c r="D496" s="63"/>
      <x:c r="I496" s="7"/>
      <x:c r="P496" s="63"/>
    </x:row>
    <x:row r="497" ht="15.75" hidden="0" customHeight="1">
      <x:c r="D497" s="63"/>
      <x:c r="I497" s="7"/>
      <x:c r="P497" s="63"/>
    </x:row>
    <x:row r="498" ht="15.75" hidden="0" customHeight="1">
      <x:c r="D498" s="63"/>
      <x:c r="I498" s="7"/>
      <x:c r="P498" s="63"/>
    </x:row>
    <x:row r="499" ht="15.75" hidden="0" customHeight="1">
      <x:c r="D499" s="63"/>
      <x:c r="I499" s="7"/>
      <x:c r="P499" s="63"/>
    </x:row>
    <x:row r="500" ht="15.75" hidden="0" customHeight="1">
      <x:c r="D500" s="63"/>
      <x:c r="I500" s="7"/>
      <x:c r="P500" s="63"/>
    </x:row>
    <x:row r="501" ht="15.75" hidden="0" customHeight="1">
      <x:c r="D501" s="63"/>
      <x:c r="I501" s="7"/>
      <x:c r="P501" s="63"/>
    </x:row>
    <x:row r="502" ht="15.75" hidden="0" customHeight="1">
      <x:c r="D502" s="63"/>
      <x:c r="I502" s="7"/>
      <x:c r="P502" s="63"/>
    </x:row>
    <x:row r="503" ht="15.75" hidden="0" customHeight="1">
      <x:c r="D503" s="63"/>
      <x:c r="I503" s="7"/>
      <x:c r="P503" s="63"/>
    </x:row>
    <x:row r="504" ht="15.75" hidden="0" customHeight="1">
      <x:c r="D504" s="63"/>
      <x:c r="I504" s="7"/>
      <x:c r="P504" s="63"/>
    </x:row>
    <x:row r="505" ht="15.75" hidden="0" customHeight="1">
      <x:c r="D505" s="63"/>
      <x:c r="I505" s="7"/>
      <x:c r="P505" s="63"/>
    </x:row>
    <x:row r="506" ht="15.75" hidden="0" customHeight="1">
      <x:c r="D506" s="63"/>
      <x:c r="I506" s="7"/>
      <x:c r="P506" s="63"/>
    </x:row>
    <x:row r="507" ht="15.75" hidden="0" customHeight="1">
      <x:c r="D507" s="63"/>
      <x:c r="I507" s="7"/>
      <x:c r="P507" s="63"/>
    </x:row>
    <x:row r="508" ht="15.75" hidden="0" customHeight="1">
      <x:c r="D508" s="63"/>
      <x:c r="I508" s="7"/>
      <x:c r="P508" s="63"/>
    </x:row>
    <x:row r="509" ht="15.75" hidden="0" customHeight="1">
      <x:c r="D509" s="63"/>
      <x:c r="I509" s="7"/>
      <x:c r="P509" s="63"/>
    </x:row>
    <x:row r="510" ht="15.75" hidden="0" customHeight="1">
      <x:c r="D510" s="63"/>
      <x:c r="I510" s="7"/>
      <x:c r="P510" s="63"/>
    </x:row>
    <x:row r="511" ht="15.75" hidden="0" customHeight="1">
      <x:c r="D511" s="63"/>
      <x:c r="I511" s="7"/>
      <x:c r="P511" s="63"/>
    </x:row>
    <x:row r="512" ht="15.75" hidden="0" customHeight="1">
      <x:c r="D512" s="63"/>
      <x:c r="I512" s="7"/>
      <x:c r="P512" s="63"/>
    </x:row>
    <x:row r="513" ht="15.75" hidden="0" customHeight="1">
      <x:c r="D513" s="63"/>
      <x:c r="I513" s="7"/>
      <x:c r="P513" s="63"/>
    </x:row>
    <x:row r="514" ht="15.75" hidden="0" customHeight="1">
      <x:c r="D514" s="63"/>
      <x:c r="I514" s="7"/>
      <x:c r="P514" s="63"/>
    </x:row>
    <x:row r="515" ht="15.75" hidden="0" customHeight="1">
      <x:c r="D515" s="63"/>
      <x:c r="I515" s="7"/>
      <x:c r="P515" s="63"/>
    </x:row>
    <x:row r="516" ht="15.75" hidden="0" customHeight="1">
      <x:c r="D516" s="63"/>
      <x:c r="I516" s="7"/>
      <x:c r="P516" s="63"/>
    </x:row>
    <x:row r="517" ht="15.75" hidden="0" customHeight="1">
      <x:c r="D517" s="63"/>
      <x:c r="I517" s="7"/>
      <x:c r="P517" s="63"/>
    </x:row>
    <x:row r="518" ht="15.75" hidden="0" customHeight="1">
      <x:c r="D518" s="63"/>
      <x:c r="I518" s="7"/>
      <x:c r="P518" s="63"/>
    </x:row>
    <x:row r="519" ht="15.75" hidden="0" customHeight="1">
      <x:c r="D519" s="63"/>
      <x:c r="I519" s="7"/>
      <x:c r="P519" s="63"/>
    </x:row>
    <x:row r="520" ht="15.75" hidden="0" customHeight="1">
      <x:c r="D520" s="63"/>
      <x:c r="I520" s="7"/>
      <x:c r="P520" s="63"/>
    </x:row>
    <x:row r="521" ht="15.75" hidden="0" customHeight="1">
      <x:c r="D521" s="63"/>
      <x:c r="I521" s="7"/>
      <x:c r="P521" s="63"/>
    </x:row>
    <x:row r="522" ht="15.75" hidden="0" customHeight="1">
      <x:c r="D522" s="63"/>
      <x:c r="I522" s="7"/>
      <x:c r="P522" s="63"/>
    </x:row>
    <x:row r="523" ht="15.75" hidden="0" customHeight="1">
      <x:c r="D523" s="63"/>
      <x:c r="I523" s="7"/>
      <x:c r="P523" s="63"/>
    </x:row>
    <x:row r="524" ht="15.75" hidden="0" customHeight="1">
      <x:c r="D524" s="63"/>
      <x:c r="I524" s="7"/>
      <x:c r="P524" s="63"/>
    </x:row>
    <x:row r="525" ht="15.75" hidden="0" customHeight="1">
      <x:c r="D525" s="63"/>
      <x:c r="I525" s="7"/>
      <x:c r="P525" s="63"/>
    </x:row>
    <x:row r="526" ht="15.75" hidden="0" customHeight="1">
      <x:c r="D526" s="63"/>
      <x:c r="I526" s="7"/>
      <x:c r="P526" s="63"/>
    </x:row>
    <x:row r="527" ht="15.75" hidden="0" customHeight="1">
      <x:c r="D527" s="63"/>
      <x:c r="I527" s="7"/>
      <x:c r="P527" s="63"/>
    </x:row>
    <x:row r="528" ht="15.75" hidden="0" customHeight="1">
      <x:c r="D528" s="63"/>
      <x:c r="I528" s="7"/>
      <x:c r="P528" s="63"/>
    </x:row>
    <x:row r="529" ht="15.75" hidden="0" customHeight="1">
      <x:c r="D529" s="63"/>
      <x:c r="I529" s="7"/>
      <x:c r="P529" s="63"/>
    </x:row>
    <x:row r="530" ht="15.75" hidden="0" customHeight="1">
      <x:c r="D530" s="63"/>
      <x:c r="I530" s="7"/>
      <x:c r="P530" s="63"/>
    </x:row>
    <x:row r="531" ht="15.75" hidden="0" customHeight="1">
      <x:c r="D531" s="63"/>
      <x:c r="I531" s="7"/>
      <x:c r="P531" s="63"/>
    </x:row>
    <x:row r="532" ht="15.75" hidden="0" customHeight="1">
      <x:c r="D532" s="63"/>
      <x:c r="I532" s="7"/>
      <x:c r="P532" s="63"/>
    </x:row>
    <x:row r="533" ht="15.75" hidden="0" customHeight="1">
      <x:c r="D533" s="63"/>
      <x:c r="I533" s="7"/>
      <x:c r="P533" s="63"/>
    </x:row>
    <x:row r="534" ht="15.75" hidden="0" customHeight="1">
      <x:c r="D534" s="63"/>
      <x:c r="I534" s="7"/>
      <x:c r="P534" s="63"/>
    </x:row>
    <x:row r="535" ht="15.75" hidden="0" customHeight="1">
      <x:c r="D535" s="63"/>
      <x:c r="I535" s="7"/>
      <x:c r="P535" s="63"/>
    </x:row>
    <x:row r="536" ht="15.75" hidden="0" customHeight="1">
      <x:c r="D536" s="63"/>
      <x:c r="I536" s="7"/>
      <x:c r="P536" s="63"/>
    </x:row>
    <x:row r="537" ht="15.75" hidden="0" customHeight="1">
      <x:c r="D537" s="63"/>
      <x:c r="I537" s="7"/>
      <x:c r="P537" s="63"/>
    </x:row>
    <x:row r="538" ht="15.75" hidden="0" customHeight="1">
      <x:c r="D538" s="63"/>
      <x:c r="I538" s="7"/>
      <x:c r="P538" s="63"/>
    </x:row>
    <x:row r="539" ht="15.75" hidden="0" customHeight="1">
      <x:c r="D539" s="63"/>
      <x:c r="I539" s="7"/>
      <x:c r="P539" s="63"/>
    </x:row>
    <x:row r="540" ht="15.75" hidden="0" customHeight="1">
      <x:c r="D540" s="63"/>
      <x:c r="I540" s="7"/>
      <x:c r="P540" s="63"/>
    </x:row>
    <x:row r="541" ht="15.75" hidden="0" customHeight="1">
      <x:c r="D541" s="63"/>
      <x:c r="I541" s="7"/>
      <x:c r="P541" s="63"/>
    </x:row>
    <x:row r="542" ht="15.75" hidden="0" customHeight="1">
      <x:c r="D542" s="63"/>
      <x:c r="I542" s="7"/>
      <x:c r="P542" s="63"/>
    </x:row>
    <x:row r="543" ht="15.75" hidden="0" customHeight="1">
      <x:c r="D543" s="63"/>
      <x:c r="I543" s="7"/>
      <x:c r="P543" s="63"/>
    </x:row>
    <x:row r="544" ht="15.75" hidden="0" customHeight="1">
      <x:c r="D544" s="63"/>
      <x:c r="I544" s="7"/>
      <x:c r="P544" s="63"/>
    </x:row>
    <x:row r="545" ht="15.75" hidden="0" customHeight="1">
      <x:c r="D545" s="63"/>
      <x:c r="I545" s="7"/>
      <x:c r="P545" s="63"/>
    </x:row>
    <x:row r="546" ht="15.75" hidden="0" customHeight="1">
      <x:c r="D546" s="63"/>
      <x:c r="I546" s="7"/>
      <x:c r="P546" s="63"/>
    </x:row>
    <x:row r="547" ht="15.75" hidden="0" customHeight="1">
      <x:c r="D547" s="63"/>
      <x:c r="I547" s="7"/>
      <x:c r="P547" s="63"/>
    </x:row>
    <x:row r="548" ht="15.75" hidden="0" customHeight="1">
      <x:c r="D548" s="63"/>
      <x:c r="I548" s="7"/>
      <x:c r="P548" s="63"/>
    </x:row>
    <x:row r="549" ht="15.75" hidden="0" customHeight="1">
      <x:c r="D549" s="63"/>
      <x:c r="I549" s="7"/>
      <x:c r="P549" s="63"/>
    </x:row>
    <x:row r="550" ht="15.75" hidden="0" customHeight="1">
      <x:c r="D550" s="63"/>
      <x:c r="I550" s="7"/>
      <x:c r="P550" s="63"/>
    </x:row>
    <x:row r="551" ht="15.75" hidden="0" customHeight="1">
      <x:c r="D551" s="63"/>
      <x:c r="I551" s="7"/>
      <x:c r="P551" s="63"/>
    </x:row>
    <x:row r="552" ht="15.75" hidden="0" customHeight="1">
      <x:c r="D552" s="63"/>
      <x:c r="I552" s="7"/>
      <x:c r="P552" s="63"/>
    </x:row>
    <x:row r="553" ht="15.75" hidden="0" customHeight="1">
      <x:c r="D553" s="63"/>
      <x:c r="I553" s="7"/>
      <x:c r="P553" s="63"/>
    </x:row>
    <x:row r="554" ht="15.75" hidden="0" customHeight="1">
      <x:c r="D554" s="63"/>
      <x:c r="I554" s="7"/>
      <x:c r="P554" s="63"/>
    </x:row>
    <x:row r="555" ht="15.75" hidden="0" customHeight="1">
      <x:c r="D555" s="63"/>
      <x:c r="I555" s="7"/>
      <x:c r="P555" s="63"/>
    </x:row>
    <x:row r="556" ht="15.75" hidden="0" customHeight="1">
      <x:c r="D556" s="63"/>
      <x:c r="I556" s="7"/>
      <x:c r="P556" s="63"/>
    </x:row>
    <x:row r="557" ht="15.75" hidden="0" customHeight="1">
      <x:c r="D557" s="63"/>
      <x:c r="I557" s="7"/>
      <x:c r="P557" s="63"/>
    </x:row>
    <x:row r="558" ht="15.75" hidden="0" customHeight="1">
      <x:c r="D558" s="63"/>
      <x:c r="I558" s="7"/>
      <x:c r="P558" s="63"/>
    </x:row>
    <x:row r="559" ht="15.75" hidden="0" customHeight="1">
      <x:c r="D559" s="63"/>
      <x:c r="I559" s="7"/>
      <x:c r="P559" s="63"/>
    </x:row>
    <x:row r="560" ht="15.75" hidden="0" customHeight="1">
      <x:c r="D560" s="63"/>
      <x:c r="I560" s="7"/>
      <x:c r="P560" s="63"/>
    </x:row>
    <x:row r="561" ht="15.75" hidden="0" customHeight="1">
      <x:c r="D561" s="63"/>
      <x:c r="I561" s="7"/>
      <x:c r="P561" s="63"/>
    </x:row>
    <x:row r="562" ht="15.75" hidden="0" customHeight="1">
      <x:c r="D562" s="63"/>
      <x:c r="I562" s="7"/>
      <x:c r="P562" s="63"/>
    </x:row>
    <x:row r="563" ht="15.75" hidden="0" customHeight="1">
      <x:c r="D563" s="63"/>
      <x:c r="I563" s="7"/>
      <x:c r="P563" s="63"/>
    </x:row>
    <x:row r="564" ht="15.75" hidden="0" customHeight="1">
      <x:c r="D564" s="63"/>
      <x:c r="I564" s="7"/>
      <x:c r="P564" s="63"/>
    </x:row>
    <x:row r="565" ht="15.75" hidden="0" customHeight="1">
      <x:c r="D565" s="63"/>
      <x:c r="I565" s="7"/>
      <x:c r="P565" s="63"/>
    </x:row>
    <x:row r="566" ht="15.75" hidden="0" customHeight="1">
      <x:c r="D566" s="63"/>
      <x:c r="I566" s="7"/>
      <x:c r="P566" s="63"/>
    </x:row>
    <x:row r="567" ht="15.75" hidden="0" customHeight="1">
      <x:c r="D567" s="63"/>
      <x:c r="I567" s="7"/>
      <x:c r="P567" s="63"/>
    </x:row>
    <x:row r="568" ht="15.75" hidden="0" customHeight="1">
      <x:c r="D568" s="63"/>
      <x:c r="I568" s="7"/>
      <x:c r="P568" s="63"/>
    </x:row>
    <x:row r="569" ht="15.75" hidden="0" customHeight="1">
      <x:c r="D569" s="63"/>
      <x:c r="I569" s="7"/>
      <x:c r="P569" s="63"/>
    </x:row>
    <x:row r="570" ht="15.75" hidden="0" customHeight="1">
      <x:c r="D570" s="63"/>
      <x:c r="I570" s="7"/>
      <x:c r="P570" s="63"/>
    </x:row>
    <x:row r="571" ht="15.75" hidden="0" customHeight="1">
      <x:c r="D571" s="63"/>
      <x:c r="I571" s="7"/>
      <x:c r="P571" s="63"/>
    </x:row>
    <x:row r="572" ht="15.75" hidden="0" customHeight="1">
      <x:c r="D572" s="63"/>
      <x:c r="I572" s="7"/>
      <x:c r="P572" s="63"/>
    </x:row>
    <x:row r="573" ht="15.75" hidden="0" customHeight="1">
      <x:c r="D573" s="63"/>
      <x:c r="I573" s="7"/>
      <x:c r="P573" s="63"/>
    </x:row>
    <x:row r="574" ht="15.75" hidden="0" customHeight="1">
      <x:c r="D574" s="63"/>
      <x:c r="I574" s="7"/>
      <x:c r="P574" s="63"/>
    </x:row>
    <x:row r="575" ht="15.75" hidden="0" customHeight="1">
      <x:c r="D575" s="63"/>
      <x:c r="I575" s="7"/>
      <x:c r="P575" s="63"/>
    </x:row>
    <x:row r="576" ht="15.75" hidden="0" customHeight="1">
      <x:c r="D576" s="63"/>
      <x:c r="I576" s="7"/>
      <x:c r="P576" s="63"/>
    </x:row>
    <x:row r="577" ht="15.75" hidden="0" customHeight="1">
      <x:c r="D577" s="63"/>
      <x:c r="I577" s="7"/>
      <x:c r="P577" s="63"/>
    </x:row>
    <x:row r="578" ht="15.75" hidden="0" customHeight="1">
      <x:c r="D578" s="63"/>
      <x:c r="I578" s="7"/>
      <x:c r="P578" s="63"/>
    </x:row>
    <x:row r="579" ht="15.75" hidden="0" customHeight="1">
      <x:c r="D579" s="63"/>
      <x:c r="I579" s="7"/>
      <x:c r="P579" s="63"/>
    </x:row>
    <x:row r="580" ht="15.75" hidden="0" customHeight="1">
      <x:c r="D580" s="63"/>
      <x:c r="I580" s="7"/>
      <x:c r="P580" s="63"/>
    </x:row>
    <x:row r="581" ht="15.75" hidden="0" customHeight="1">
      <x:c r="D581" s="63"/>
      <x:c r="I581" s="7"/>
      <x:c r="P581" s="63"/>
    </x:row>
    <x:row r="582" ht="15.75" hidden="0" customHeight="1">
      <x:c r="D582" s="63"/>
      <x:c r="I582" s="7"/>
      <x:c r="P582" s="63"/>
    </x:row>
    <x:row r="583" ht="15.75" hidden="0" customHeight="1">
      <x:c r="D583" s="63"/>
      <x:c r="I583" s="7"/>
      <x:c r="P583" s="63"/>
    </x:row>
    <x:row r="584" ht="15.75" hidden="0" customHeight="1">
      <x:c r="D584" s="63"/>
      <x:c r="I584" s="7"/>
      <x:c r="P584" s="63"/>
    </x:row>
    <x:row r="585" ht="15.75" hidden="0" customHeight="1">
      <x:c r="D585" s="63"/>
      <x:c r="I585" s="7"/>
      <x:c r="P585" s="63"/>
    </x:row>
    <x:row r="586" ht="15.75" hidden="0" customHeight="1">
      <x:c r="D586" s="63"/>
      <x:c r="I586" s="7"/>
      <x:c r="P586" s="63"/>
    </x:row>
    <x:row r="587" ht="15.75" hidden="0" customHeight="1">
      <x:c r="D587" s="63"/>
      <x:c r="I587" s="7"/>
      <x:c r="P587" s="63"/>
    </x:row>
    <x:row r="588" ht="15.75" hidden="0" customHeight="1">
      <x:c r="D588" s="63"/>
      <x:c r="I588" s="7"/>
      <x:c r="P588" s="63"/>
    </x:row>
    <x:row r="589" ht="15.75" hidden="0" customHeight="1">
      <x:c r="D589" s="63"/>
      <x:c r="I589" s="7"/>
      <x:c r="P589" s="63"/>
    </x:row>
    <x:row r="590" ht="15.75" hidden="0" customHeight="1">
      <x:c r="D590" s="63"/>
      <x:c r="I590" s="7"/>
      <x:c r="P590" s="63"/>
    </x:row>
    <x:row r="591" ht="15.75" hidden="0" customHeight="1">
      <x:c r="D591" s="63"/>
      <x:c r="I591" s="7"/>
      <x:c r="P591" s="63"/>
    </x:row>
    <x:row r="592" ht="15.75" hidden="0" customHeight="1">
      <x:c r="D592" s="63"/>
      <x:c r="I592" s="7"/>
      <x:c r="P592" s="63"/>
    </x:row>
    <x:row r="593" ht="15.75" hidden="0" customHeight="1">
      <x:c r="D593" s="63"/>
      <x:c r="I593" s="7"/>
      <x:c r="P593" s="63"/>
    </x:row>
    <x:row r="594" ht="15.75" hidden="0" customHeight="1">
      <x:c r="D594" s="63"/>
      <x:c r="I594" s="7"/>
      <x:c r="P594" s="63"/>
    </x:row>
    <x:row r="595" ht="15.75" hidden="0" customHeight="1">
      <x:c r="D595" s="63"/>
      <x:c r="I595" s="7"/>
      <x:c r="P595" s="63"/>
    </x:row>
    <x:row r="596" ht="15.75" hidden="0" customHeight="1">
      <x:c r="D596" s="63"/>
      <x:c r="I596" s="7"/>
      <x:c r="P596" s="63"/>
    </x:row>
    <x:row r="597" ht="15.75" hidden="0" customHeight="1">
      <x:c r="D597" s="63"/>
      <x:c r="I597" s="7"/>
      <x:c r="P597" s="63"/>
    </x:row>
    <x:row r="598" ht="15.75" hidden="0" customHeight="1">
      <x:c r="D598" s="63"/>
      <x:c r="I598" s="7"/>
      <x:c r="P598" s="63"/>
    </x:row>
    <x:row r="599" ht="15.75" hidden="0" customHeight="1">
      <x:c r="D599" s="63"/>
      <x:c r="I599" s="7"/>
      <x:c r="P599" s="63"/>
    </x:row>
    <x:row r="600" ht="15.75" hidden="0" customHeight="1">
      <x:c r="D600" s="63"/>
      <x:c r="I600" s="7"/>
      <x:c r="P600" s="63"/>
    </x:row>
    <x:row r="601" ht="15.75" hidden="0" customHeight="1">
      <x:c r="D601" s="63"/>
      <x:c r="I601" s="7"/>
      <x:c r="P601" s="63"/>
    </x:row>
    <x:row r="602" ht="15.75" hidden="0" customHeight="1">
      <x:c r="D602" s="63"/>
      <x:c r="I602" s="7"/>
      <x:c r="P602" s="63"/>
    </x:row>
    <x:row r="603" ht="15.75" hidden="0" customHeight="1">
      <x:c r="D603" s="63"/>
      <x:c r="I603" s="7"/>
      <x:c r="P603" s="63"/>
    </x:row>
    <x:row r="604" ht="15.75" hidden="0" customHeight="1">
      <x:c r="D604" s="63"/>
      <x:c r="I604" s="7"/>
      <x:c r="P604" s="63"/>
    </x:row>
    <x:row r="605" ht="15.75" hidden="0" customHeight="1">
      <x:c r="D605" s="63"/>
      <x:c r="I605" s="7"/>
      <x:c r="P605" s="63"/>
    </x:row>
    <x:row r="606" ht="15.75" hidden="0" customHeight="1">
      <x:c r="D606" s="63"/>
      <x:c r="I606" s="7"/>
      <x:c r="P606" s="63"/>
    </x:row>
    <x:row r="607" ht="15.75" hidden="0" customHeight="1">
      <x:c r="D607" s="63"/>
      <x:c r="I607" s="7"/>
      <x:c r="P607" s="63"/>
    </x:row>
    <x:row r="608" ht="15.75" hidden="0" customHeight="1">
      <x:c r="D608" s="63"/>
      <x:c r="I608" s="7"/>
      <x:c r="P608" s="63"/>
    </x:row>
    <x:row r="609" ht="15.75" hidden="0" customHeight="1">
      <x:c r="D609" s="63"/>
      <x:c r="I609" s="7"/>
      <x:c r="P609" s="63"/>
    </x:row>
    <x:row r="610" ht="15.75" hidden="0" customHeight="1">
      <x:c r="D610" s="63"/>
      <x:c r="I610" s="7"/>
      <x:c r="P610" s="63"/>
    </x:row>
    <x:row r="611" ht="15.75" hidden="0" customHeight="1">
      <x:c r="D611" s="63"/>
      <x:c r="I611" s="7"/>
      <x:c r="P611" s="63"/>
    </x:row>
    <x:row r="612" ht="15.75" hidden="0" customHeight="1">
      <x:c r="D612" s="63"/>
      <x:c r="I612" s="7"/>
      <x:c r="P612" s="63"/>
    </x:row>
    <x:row r="613" ht="15.75" hidden="0" customHeight="1">
      <x:c r="D613" s="63"/>
      <x:c r="I613" s="7"/>
      <x:c r="P613" s="63"/>
    </x:row>
    <x:row r="614" ht="15.75" hidden="0" customHeight="1">
      <x:c r="D614" s="63"/>
      <x:c r="I614" s="7"/>
      <x:c r="P614" s="63"/>
    </x:row>
    <x:row r="615" ht="15.75" hidden="0" customHeight="1">
      <x:c r="D615" s="63"/>
      <x:c r="I615" s="7"/>
      <x:c r="P615" s="63"/>
    </x:row>
    <x:row r="616" ht="15.75" hidden="0" customHeight="1">
      <x:c r="D616" s="63"/>
      <x:c r="I616" s="7"/>
      <x:c r="P616" s="63"/>
    </x:row>
    <x:row r="617" ht="15.75" hidden="0" customHeight="1">
      <x:c r="D617" s="63"/>
      <x:c r="I617" s="7"/>
      <x:c r="P617" s="63"/>
    </x:row>
    <x:row r="618" ht="15.75" hidden="0" customHeight="1">
      <x:c r="D618" s="63"/>
      <x:c r="I618" s="7"/>
      <x:c r="P618" s="63"/>
    </x:row>
    <x:row r="619" ht="15.75" hidden="0" customHeight="1">
      <x:c r="D619" s="63"/>
      <x:c r="I619" s="7"/>
      <x:c r="P619" s="63"/>
    </x:row>
    <x:row r="620" ht="15.75" hidden="0" customHeight="1">
      <x:c r="D620" s="63"/>
      <x:c r="I620" s="7"/>
      <x:c r="P620" s="63"/>
    </x:row>
    <x:row r="621" ht="15.75" hidden="0" customHeight="1">
      <x:c r="D621" s="63"/>
      <x:c r="I621" s="7"/>
      <x:c r="P621" s="63"/>
    </x:row>
    <x:row r="622" ht="15.75" hidden="0" customHeight="1">
      <x:c r="D622" s="63"/>
      <x:c r="I622" s="7"/>
      <x:c r="P622" s="63"/>
    </x:row>
    <x:row r="623" ht="15.75" hidden="0" customHeight="1">
      <x:c r="D623" s="63"/>
      <x:c r="I623" s="7"/>
      <x:c r="P623" s="63"/>
    </x:row>
    <x:row r="624" ht="15.75" hidden="0" customHeight="1">
      <x:c r="D624" s="63"/>
      <x:c r="I624" s="7"/>
      <x:c r="P624" s="63"/>
    </x:row>
    <x:row r="625" ht="15.75" hidden="0" customHeight="1">
      <x:c r="D625" s="63"/>
      <x:c r="I625" s="7"/>
      <x:c r="P625" s="63"/>
    </x:row>
    <x:row r="626" ht="15.75" hidden="0" customHeight="1">
      <x:c r="D626" s="63"/>
      <x:c r="I626" s="7"/>
      <x:c r="P626" s="63"/>
    </x:row>
    <x:row r="627" ht="15.75" hidden="0" customHeight="1">
      <x:c r="D627" s="63"/>
      <x:c r="I627" s="7"/>
      <x:c r="P627" s="63"/>
    </x:row>
    <x:row r="628" ht="15.75" hidden="0" customHeight="1">
      <x:c r="D628" s="63"/>
      <x:c r="I628" s="7"/>
      <x:c r="P628" s="63"/>
    </x:row>
    <x:row r="629" ht="15.75" hidden="0" customHeight="1">
      <x:c r="D629" s="63"/>
      <x:c r="I629" s="7"/>
      <x:c r="P629" s="63"/>
    </x:row>
    <x:row r="630" ht="15.75" hidden="0" customHeight="1">
      <x:c r="D630" s="63"/>
      <x:c r="I630" s="7"/>
      <x:c r="P630" s="63"/>
    </x:row>
    <x:row r="631" ht="15.75" hidden="0" customHeight="1">
      <x:c r="D631" s="63"/>
      <x:c r="I631" s="7"/>
      <x:c r="P631" s="63"/>
    </x:row>
    <x:row r="632" ht="15.75" hidden="0" customHeight="1">
      <x:c r="D632" s="63"/>
      <x:c r="I632" s="7"/>
      <x:c r="P632" s="63"/>
    </x:row>
    <x:row r="633" ht="15.75" hidden="0" customHeight="1">
      <x:c r="D633" s="63"/>
      <x:c r="I633" s="7"/>
      <x:c r="P633" s="63"/>
    </x:row>
    <x:row r="634" ht="15.75" hidden="0" customHeight="1">
      <x:c r="D634" s="63"/>
      <x:c r="I634" s="7"/>
      <x:c r="P634" s="63"/>
    </x:row>
    <x:row r="635" ht="15.75" hidden="0" customHeight="1">
      <x:c r="D635" s="63"/>
      <x:c r="I635" s="7"/>
      <x:c r="P635" s="63"/>
    </x:row>
    <x:row r="636" ht="15.75" hidden="0" customHeight="1">
      <x:c r="D636" s="63"/>
      <x:c r="I636" s="7"/>
      <x:c r="P636" s="63"/>
    </x:row>
    <x:row r="637" ht="15.75" hidden="0" customHeight="1">
      <x:c r="D637" s="63"/>
      <x:c r="I637" s="7"/>
      <x:c r="P637" s="63"/>
    </x:row>
    <x:row r="638" ht="15.75" hidden="0" customHeight="1">
      <x:c r="D638" s="63"/>
      <x:c r="I638" s="7"/>
      <x:c r="P638" s="63"/>
    </x:row>
    <x:row r="639" ht="15.75" hidden="0" customHeight="1">
      <x:c r="D639" s="63"/>
      <x:c r="I639" s="7"/>
      <x:c r="P639" s="63"/>
    </x:row>
    <x:row r="640" ht="15.75" hidden="0" customHeight="1">
      <x:c r="D640" s="63"/>
      <x:c r="I640" s="7"/>
      <x:c r="P640" s="63"/>
    </x:row>
    <x:row r="641" ht="15.75" hidden="0" customHeight="1">
      <x:c r="D641" s="63"/>
      <x:c r="I641" s="7"/>
      <x:c r="P641" s="63"/>
    </x:row>
    <x:row r="642" ht="15.75" hidden="0" customHeight="1">
      <x:c r="D642" s="63"/>
      <x:c r="I642" s="7"/>
      <x:c r="P642" s="63"/>
    </x:row>
    <x:row r="643" ht="15.75" hidden="0" customHeight="1">
      <x:c r="D643" s="63"/>
      <x:c r="I643" s="7"/>
      <x:c r="P643" s="63"/>
    </x:row>
    <x:row r="644" ht="15.75" hidden="0" customHeight="1">
      <x:c r="D644" s="63"/>
      <x:c r="I644" s="7"/>
      <x:c r="P644" s="63"/>
    </x:row>
    <x:row r="645" ht="15.75" hidden="0" customHeight="1">
      <x:c r="D645" s="63"/>
      <x:c r="I645" s="7"/>
      <x:c r="P645" s="63"/>
    </x:row>
    <x:row r="646" ht="15.75" hidden="0" customHeight="1">
      <x:c r="D646" s="63"/>
      <x:c r="I646" s="7"/>
      <x:c r="P646" s="63"/>
    </x:row>
    <x:row r="647" ht="15.75" hidden="0" customHeight="1">
      <x:c r="D647" s="63"/>
      <x:c r="I647" s="7"/>
      <x:c r="P647" s="63"/>
    </x:row>
    <x:row r="648" ht="15.75" hidden="0" customHeight="1">
      <x:c r="D648" s="63"/>
      <x:c r="I648" s="7"/>
      <x:c r="P648" s="63"/>
    </x:row>
    <x:row r="649" ht="15.75" hidden="0" customHeight="1">
      <x:c r="D649" s="63"/>
      <x:c r="I649" s="7"/>
      <x:c r="P649" s="63"/>
    </x:row>
    <x:row r="650" ht="15.75" hidden="0" customHeight="1">
      <x:c r="D650" s="63"/>
      <x:c r="I650" s="7"/>
      <x:c r="P650" s="63"/>
    </x:row>
    <x:row r="651" ht="15.75" hidden="0" customHeight="1">
      <x:c r="D651" s="63"/>
      <x:c r="I651" s="7"/>
      <x:c r="P651" s="63"/>
    </x:row>
    <x:row r="652" ht="15.75" hidden="0" customHeight="1">
      <x:c r="D652" s="63"/>
      <x:c r="I652" s="7"/>
      <x:c r="P652" s="63"/>
    </x:row>
    <x:row r="653" ht="15.75" hidden="0" customHeight="1">
      <x:c r="D653" s="63"/>
      <x:c r="I653" s="7"/>
      <x:c r="P653" s="63"/>
    </x:row>
    <x:row r="654" ht="15.75" hidden="0" customHeight="1">
      <x:c r="D654" s="63"/>
      <x:c r="I654" s="7"/>
      <x:c r="P654" s="63"/>
    </x:row>
    <x:row r="655" ht="15.75" hidden="0" customHeight="1">
      <x:c r="D655" s="63"/>
      <x:c r="I655" s="7"/>
      <x:c r="P655" s="63"/>
    </x:row>
    <x:row r="656" ht="15.75" hidden="0" customHeight="1">
      <x:c r="D656" s="63"/>
      <x:c r="I656" s="7"/>
      <x:c r="P656" s="63"/>
    </x:row>
    <x:row r="657" ht="15.75" hidden="0" customHeight="1">
      <x:c r="D657" s="63"/>
      <x:c r="I657" s="7"/>
      <x:c r="P657" s="63"/>
    </x:row>
    <x:row r="658" ht="15.75" hidden="0" customHeight="1">
      <x:c r="D658" s="63"/>
      <x:c r="I658" s="7"/>
      <x:c r="P658" s="63"/>
    </x:row>
    <x:row r="659" ht="15.75" hidden="0" customHeight="1">
      <x:c r="D659" s="63"/>
      <x:c r="I659" s="7"/>
      <x:c r="P659" s="63"/>
    </x:row>
    <x:row r="660" ht="15.75" hidden="0" customHeight="1">
      <x:c r="D660" s="63"/>
      <x:c r="I660" s="7"/>
      <x:c r="P660" s="63"/>
    </x:row>
    <x:row r="661" ht="15.75" hidden="0" customHeight="1">
      <x:c r="D661" s="63"/>
      <x:c r="I661" s="7"/>
      <x:c r="P661" s="63"/>
    </x:row>
    <x:row r="662" ht="15.75" hidden="0" customHeight="1">
      <x:c r="D662" s="63"/>
      <x:c r="I662" s="7"/>
      <x:c r="P662" s="63"/>
    </x:row>
    <x:row r="663" ht="15.75" hidden="0" customHeight="1">
      <x:c r="D663" s="63"/>
      <x:c r="I663" s="7"/>
      <x:c r="P663" s="63"/>
    </x:row>
    <x:row r="664" ht="15.75" hidden="0" customHeight="1">
      <x:c r="D664" s="63"/>
      <x:c r="I664" s="7"/>
      <x:c r="P664" s="63"/>
    </x:row>
    <x:row r="665" ht="15.75" hidden="0" customHeight="1">
      <x:c r="D665" s="63"/>
      <x:c r="I665" s="7"/>
      <x:c r="P665" s="63"/>
    </x:row>
    <x:row r="666" ht="15.75" hidden="0" customHeight="1">
      <x:c r="D666" s="63"/>
      <x:c r="I666" s="7"/>
      <x:c r="P666" s="63"/>
    </x:row>
    <x:row r="667" ht="15.75" hidden="0" customHeight="1">
      <x:c r="D667" s="63"/>
      <x:c r="I667" s="7"/>
      <x:c r="P667" s="63"/>
    </x:row>
    <x:row r="668" ht="15.75" hidden="0" customHeight="1">
      <x:c r="D668" s="63"/>
      <x:c r="I668" s="7"/>
      <x:c r="P668" s="63"/>
    </x:row>
    <x:row r="669" ht="15.75" hidden="0" customHeight="1">
      <x:c r="D669" s="63"/>
      <x:c r="I669" s="7"/>
      <x:c r="P669" s="63"/>
    </x:row>
    <x:row r="670" ht="15.75" hidden="0" customHeight="1">
      <x:c r="D670" s="63"/>
      <x:c r="I670" s="7"/>
      <x:c r="P670" s="63"/>
    </x:row>
    <x:row r="671" ht="15.75" hidden="0" customHeight="1">
      <x:c r="D671" s="63"/>
      <x:c r="I671" s="7"/>
      <x:c r="P671" s="63"/>
    </x:row>
    <x:row r="672" ht="15.75" hidden="0" customHeight="1">
      <x:c r="D672" s="63"/>
      <x:c r="I672" s="7"/>
      <x:c r="P672" s="63"/>
    </x:row>
    <x:row r="673" ht="15.75" hidden="0" customHeight="1">
      <x:c r="D673" s="63"/>
      <x:c r="I673" s="7"/>
      <x:c r="P673" s="63"/>
    </x:row>
    <x:row r="674" ht="15.75" hidden="0" customHeight="1">
      <x:c r="D674" s="63"/>
      <x:c r="I674" s="7"/>
      <x:c r="P674" s="63"/>
    </x:row>
    <x:row r="675" ht="15.75" hidden="0" customHeight="1">
      <x:c r="D675" s="63"/>
      <x:c r="I675" s="7"/>
      <x:c r="P675" s="63"/>
    </x:row>
    <x:row r="676" ht="15.75" hidden="0" customHeight="1">
      <x:c r="D676" s="63"/>
      <x:c r="I676" s="7"/>
      <x:c r="P676" s="63"/>
    </x:row>
    <x:row r="677" ht="15.75" hidden="0" customHeight="1">
      <x:c r="D677" s="63"/>
      <x:c r="I677" s="7"/>
      <x:c r="P677" s="63"/>
    </x:row>
    <x:row r="678" ht="15.75" hidden="0" customHeight="1">
      <x:c r="D678" s="63"/>
      <x:c r="I678" s="7"/>
      <x:c r="P678" s="63"/>
    </x:row>
    <x:row r="679" ht="15.75" hidden="0" customHeight="1">
      <x:c r="D679" s="63"/>
      <x:c r="I679" s="7"/>
      <x:c r="P679" s="63"/>
    </x:row>
    <x:row r="680" ht="15.75" hidden="0" customHeight="1">
      <x:c r="D680" s="63"/>
      <x:c r="I680" s="7"/>
      <x:c r="P680" s="63"/>
    </x:row>
    <x:row r="681" ht="15.75" hidden="0" customHeight="1">
      <x:c r="D681" s="63"/>
      <x:c r="I681" s="7"/>
      <x:c r="P681" s="63"/>
    </x:row>
    <x:row r="682" ht="15.75" hidden="0" customHeight="1">
      <x:c r="D682" s="63"/>
      <x:c r="I682" s="7"/>
      <x:c r="P682" s="63"/>
    </x:row>
    <x:row r="683" ht="15.75" hidden="0" customHeight="1">
      <x:c r="D683" s="63"/>
      <x:c r="I683" s="7"/>
      <x:c r="P683" s="63"/>
    </x:row>
    <x:row r="684" ht="15.75" hidden="0" customHeight="1">
      <x:c r="D684" s="63"/>
      <x:c r="I684" s="7"/>
      <x:c r="P684" s="63"/>
    </x:row>
    <x:row r="685" ht="15.75" hidden="0" customHeight="1">
      <x:c r="D685" s="63"/>
      <x:c r="I685" s="7"/>
      <x:c r="P685" s="63"/>
    </x:row>
    <x:row r="686" ht="15.75" hidden="0" customHeight="1">
      <x:c r="D686" s="63"/>
      <x:c r="I686" s="7"/>
      <x:c r="P686" s="63"/>
    </x:row>
    <x:row r="687" ht="15.75" hidden="0" customHeight="1">
      <x:c r="D687" s="63"/>
      <x:c r="I687" s="7"/>
      <x:c r="P687" s="63"/>
    </x:row>
    <x:row r="688" ht="15.75" hidden="0" customHeight="1">
      <x:c r="D688" s="63"/>
      <x:c r="I688" s="7"/>
      <x:c r="P688" s="63"/>
    </x:row>
    <x:row r="689" ht="15.75" hidden="0" customHeight="1">
      <x:c r="D689" s="63"/>
      <x:c r="I689" s="7"/>
      <x:c r="P689" s="63"/>
    </x:row>
    <x:row r="690" ht="15.75" hidden="0" customHeight="1">
      <x:c r="D690" s="63"/>
      <x:c r="I690" s="7"/>
      <x:c r="P690" s="63"/>
    </x:row>
    <x:row r="691" ht="15.75" hidden="0" customHeight="1">
      <x:c r="D691" s="63"/>
      <x:c r="I691" s="7"/>
      <x:c r="P691" s="63"/>
    </x:row>
    <x:row r="692" ht="15.75" hidden="0" customHeight="1">
      <x:c r="D692" s="63"/>
      <x:c r="I692" s="7"/>
      <x:c r="P692" s="63"/>
    </x:row>
    <x:row r="693" ht="15.75" hidden="0" customHeight="1">
      <x:c r="D693" s="63"/>
      <x:c r="I693" s="7"/>
      <x:c r="P693" s="63"/>
    </x:row>
    <x:row r="694" ht="15.75" hidden="0" customHeight="1">
      <x:c r="D694" s="63"/>
      <x:c r="I694" s="7"/>
      <x:c r="P694" s="63"/>
    </x:row>
    <x:row r="695" ht="15.75" hidden="0" customHeight="1">
      <x:c r="D695" s="63"/>
      <x:c r="I695" s="7"/>
      <x:c r="P695" s="63"/>
    </x:row>
    <x:row r="696" ht="15.75" hidden="0" customHeight="1">
      <x:c r="D696" s="63"/>
      <x:c r="I696" s="7"/>
      <x:c r="P696" s="63"/>
    </x:row>
    <x:row r="697" ht="15.75" hidden="0" customHeight="1">
      <x:c r="D697" s="63"/>
      <x:c r="I697" s="7"/>
      <x:c r="P697" s="63"/>
    </x:row>
    <x:row r="698" ht="15.75" hidden="0" customHeight="1">
      <x:c r="D698" s="63"/>
      <x:c r="I698" s="7"/>
      <x:c r="P698" s="63"/>
    </x:row>
    <x:row r="699" ht="15.75" hidden="0" customHeight="1">
      <x:c r="D699" s="63"/>
      <x:c r="I699" s="7"/>
      <x:c r="P699" s="63"/>
    </x:row>
    <x:row r="700" ht="15.75" hidden="0" customHeight="1">
      <x:c r="D700" s="63"/>
      <x:c r="I700" s="7"/>
      <x:c r="P700" s="63"/>
    </x:row>
    <x:row r="701" ht="15.75" hidden="0" customHeight="1">
      <x:c r="D701" s="63"/>
      <x:c r="I701" s="7"/>
      <x:c r="P701" s="63"/>
    </x:row>
    <x:row r="702" ht="15.75" hidden="0" customHeight="1">
      <x:c r="D702" s="63"/>
      <x:c r="I702" s="7"/>
      <x:c r="P702" s="63"/>
    </x:row>
    <x:row r="703" ht="15.75" hidden="0" customHeight="1">
      <x:c r="D703" s="63"/>
      <x:c r="I703" s="7"/>
      <x:c r="P703" s="63"/>
    </x:row>
    <x:row r="704" ht="15.75" hidden="0" customHeight="1">
      <x:c r="D704" s="63"/>
      <x:c r="I704" s="7"/>
      <x:c r="P704" s="63"/>
    </x:row>
    <x:row r="705" ht="15.75" hidden="0" customHeight="1">
      <x:c r="D705" s="63"/>
      <x:c r="I705" s="7"/>
      <x:c r="P705" s="63"/>
    </x:row>
    <x:row r="706" ht="15.75" hidden="0" customHeight="1">
      <x:c r="D706" s="63"/>
      <x:c r="I706" s="7"/>
      <x:c r="P706" s="63"/>
    </x:row>
    <x:row r="707" ht="15.75" hidden="0" customHeight="1">
      <x:c r="D707" s="63"/>
      <x:c r="I707" s="7"/>
      <x:c r="P707" s="63"/>
    </x:row>
    <x:row r="708" ht="15.75" hidden="0" customHeight="1">
      <x:c r="D708" s="63"/>
      <x:c r="I708" s="7"/>
      <x:c r="P708" s="63"/>
    </x:row>
    <x:row r="709" ht="15.75" hidden="0" customHeight="1">
      <x:c r="D709" s="63"/>
      <x:c r="I709" s="7"/>
      <x:c r="P709" s="63"/>
    </x:row>
    <x:row r="710" ht="15.75" hidden="0" customHeight="1">
      <x:c r="D710" s="63"/>
      <x:c r="I710" s="7"/>
      <x:c r="P710" s="63"/>
    </x:row>
    <x:row r="711" ht="15.75" hidden="0" customHeight="1">
      <x:c r="D711" s="63"/>
      <x:c r="I711" s="7"/>
      <x:c r="P711" s="63"/>
    </x:row>
    <x:row r="712" ht="15.75" hidden="0" customHeight="1">
      <x:c r="D712" s="63"/>
      <x:c r="I712" s="7"/>
      <x:c r="P712" s="63"/>
    </x:row>
    <x:row r="713" ht="15.75" hidden="0" customHeight="1">
      <x:c r="D713" s="63"/>
      <x:c r="I713" s="7"/>
      <x:c r="P713" s="63"/>
    </x:row>
    <x:row r="714" ht="15.75" hidden="0" customHeight="1">
      <x:c r="D714" s="63"/>
      <x:c r="I714" s="7"/>
      <x:c r="P714" s="63"/>
    </x:row>
    <x:row r="715" ht="15.75" hidden="0" customHeight="1">
      <x:c r="D715" s="63"/>
      <x:c r="I715" s="7"/>
      <x:c r="P715" s="63"/>
    </x:row>
    <x:row r="716" ht="15.75" hidden="0" customHeight="1">
      <x:c r="D716" s="63"/>
      <x:c r="I716" s="7"/>
      <x:c r="P716" s="63"/>
    </x:row>
    <x:row r="717" ht="15.75" hidden="0" customHeight="1">
      <x:c r="D717" s="63"/>
      <x:c r="I717" s="7"/>
      <x:c r="P717" s="63"/>
    </x:row>
    <x:row r="718" ht="15.75" hidden="0" customHeight="1">
      <x:c r="D718" s="63"/>
      <x:c r="I718" s="7"/>
      <x:c r="P718" s="63"/>
    </x:row>
    <x:row r="719" ht="15.75" hidden="0" customHeight="1">
      <x:c r="D719" s="63"/>
      <x:c r="I719" s="7"/>
      <x:c r="P719" s="63"/>
    </x:row>
    <x:row r="720" ht="15.75" hidden="0" customHeight="1">
      <x:c r="D720" s="63"/>
      <x:c r="I720" s="7"/>
      <x:c r="P720" s="63"/>
    </x:row>
    <x:row r="721" ht="15.75" hidden="0" customHeight="1">
      <x:c r="D721" s="63"/>
      <x:c r="I721" s="7"/>
      <x:c r="P721" s="63"/>
    </x:row>
    <x:row r="722" ht="15.75" hidden="0" customHeight="1">
      <x:c r="D722" s="63"/>
      <x:c r="I722" s="7"/>
      <x:c r="P722" s="63"/>
    </x:row>
    <x:row r="723" ht="15.75" hidden="0" customHeight="1">
      <x:c r="D723" s="63"/>
      <x:c r="I723" s="7"/>
      <x:c r="P723" s="63"/>
    </x:row>
    <x:row r="724" ht="15.75" hidden="0" customHeight="1">
      <x:c r="D724" s="63"/>
      <x:c r="I724" s="7"/>
      <x:c r="P724" s="63"/>
    </x:row>
    <x:row r="725" ht="15.75" hidden="0" customHeight="1">
      <x:c r="D725" s="63"/>
      <x:c r="I725" s="7"/>
      <x:c r="P725" s="63"/>
    </x:row>
    <x:row r="726" ht="15.75" hidden="0" customHeight="1">
      <x:c r="D726" s="63"/>
      <x:c r="I726" s="7"/>
      <x:c r="P726" s="63"/>
    </x:row>
    <x:row r="727" ht="15.75" hidden="0" customHeight="1">
      <x:c r="D727" s="63"/>
      <x:c r="I727" s="7"/>
      <x:c r="P727" s="63"/>
    </x:row>
    <x:row r="728" ht="15.75" hidden="0" customHeight="1">
      <x:c r="D728" s="63"/>
      <x:c r="I728" s="7"/>
      <x:c r="P728" s="63"/>
    </x:row>
    <x:row r="729" ht="15.75" hidden="0" customHeight="1">
      <x:c r="D729" s="63"/>
      <x:c r="I729" s="7"/>
      <x:c r="P729" s="63"/>
    </x:row>
    <x:row r="730" ht="15.75" hidden="0" customHeight="1">
      <x:c r="D730" s="63"/>
      <x:c r="I730" s="7"/>
      <x:c r="P730" s="63"/>
    </x:row>
    <x:row r="731" ht="15.75" hidden="0" customHeight="1">
      <x:c r="D731" s="63"/>
      <x:c r="I731" s="7"/>
      <x:c r="P731" s="63"/>
    </x:row>
    <x:row r="732" ht="15.75" hidden="0" customHeight="1">
      <x:c r="D732" s="63"/>
      <x:c r="I732" s="7"/>
      <x:c r="P732" s="63"/>
    </x:row>
    <x:row r="733" ht="15.75" hidden="0" customHeight="1">
      <x:c r="D733" s="63"/>
      <x:c r="I733" s="7"/>
      <x:c r="P733" s="63"/>
    </x:row>
    <x:row r="734" ht="15.75" hidden="0" customHeight="1">
      <x:c r="D734" s="63"/>
      <x:c r="I734" s="7"/>
      <x:c r="P734" s="63"/>
    </x:row>
    <x:row r="735" ht="15.75" hidden="0" customHeight="1">
      <x:c r="D735" s="63"/>
      <x:c r="I735" s="7"/>
      <x:c r="P735" s="63"/>
    </x:row>
    <x:row r="736" ht="15.75" hidden="0" customHeight="1">
      <x:c r="D736" s="63"/>
      <x:c r="I736" s="7"/>
      <x:c r="P736" s="63"/>
    </x:row>
    <x:row r="737" ht="15.75" hidden="0" customHeight="1">
      <x:c r="D737" s="63"/>
      <x:c r="I737" s="7"/>
      <x:c r="P737" s="63"/>
    </x:row>
    <x:row r="738" ht="15.75" hidden="0" customHeight="1">
      <x:c r="D738" s="63"/>
      <x:c r="I738" s="7"/>
      <x:c r="P738" s="63"/>
    </x:row>
    <x:row r="739" ht="15.75" hidden="0" customHeight="1">
      <x:c r="D739" s="63"/>
      <x:c r="I739" s="7"/>
      <x:c r="P739" s="63"/>
    </x:row>
    <x:row r="740" ht="15.75" hidden="0" customHeight="1">
      <x:c r="D740" s="63"/>
      <x:c r="I740" s="7"/>
      <x:c r="P740" s="63"/>
    </x:row>
    <x:row r="741" ht="15.75" hidden="0" customHeight="1">
      <x:c r="D741" s="63"/>
      <x:c r="I741" s="7"/>
      <x:c r="P741" s="63"/>
    </x:row>
    <x:row r="742" ht="15.75" hidden="0" customHeight="1">
      <x:c r="D742" s="63"/>
      <x:c r="I742" s="7"/>
      <x:c r="P742" s="63"/>
    </x:row>
    <x:row r="743" ht="15.75" hidden="0" customHeight="1">
      <x:c r="D743" s="63"/>
      <x:c r="I743" s="7"/>
      <x:c r="P743" s="63"/>
    </x:row>
    <x:row r="744" ht="15.75" hidden="0" customHeight="1">
      <x:c r="D744" s="63"/>
      <x:c r="I744" s="7"/>
      <x:c r="P744" s="63"/>
    </x:row>
    <x:row r="745" ht="15.75" hidden="0" customHeight="1">
      <x:c r="D745" s="63"/>
      <x:c r="I745" s="7"/>
      <x:c r="P745" s="63"/>
    </x:row>
    <x:row r="746" ht="15.75" hidden="0" customHeight="1">
      <x:c r="D746" s="63"/>
      <x:c r="I746" s="7"/>
      <x:c r="P746" s="63"/>
    </x:row>
    <x:row r="747" ht="15.75" hidden="0" customHeight="1">
      <x:c r="D747" s="63"/>
      <x:c r="I747" s="7"/>
      <x:c r="P747" s="63"/>
    </x:row>
    <x:row r="748" ht="15.75" hidden="0" customHeight="1">
      <x:c r="D748" s="63"/>
      <x:c r="I748" s="7"/>
      <x:c r="P748" s="63"/>
    </x:row>
    <x:row r="749" ht="15.75" hidden="0" customHeight="1">
      <x:c r="D749" s="63"/>
      <x:c r="I749" s="7"/>
      <x:c r="P749" s="63"/>
    </x:row>
    <x:row r="750" ht="15.75" hidden="0" customHeight="1">
      <x:c r="D750" s="63"/>
      <x:c r="I750" s="7"/>
      <x:c r="P750" s="63"/>
    </x:row>
    <x:row r="751" ht="15.75" hidden="0" customHeight="1">
      <x:c r="D751" s="63"/>
      <x:c r="I751" s="7"/>
      <x:c r="P751" s="63"/>
    </x:row>
    <x:row r="752" ht="15.75" hidden="0" customHeight="1">
      <x:c r="D752" s="63"/>
      <x:c r="I752" s="7"/>
      <x:c r="P752" s="63"/>
    </x:row>
    <x:row r="753" ht="15.75" hidden="0" customHeight="1">
      <x:c r="D753" s="63"/>
      <x:c r="I753" s="7"/>
      <x:c r="P753" s="63"/>
    </x:row>
    <x:row r="754" ht="15.75" hidden="0" customHeight="1">
      <x:c r="D754" s="63"/>
      <x:c r="I754" s="7"/>
      <x:c r="P754" s="63"/>
    </x:row>
    <x:row r="755" ht="15.75" hidden="0" customHeight="1">
      <x:c r="D755" s="63"/>
      <x:c r="I755" s="7"/>
      <x:c r="P755" s="63"/>
    </x:row>
    <x:row r="756" ht="15.75" hidden="0" customHeight="1">
      <x:c r="D756" s="63"/>
      <x:c r="I756" s="7"/>
      <x:c r="P756" s="63"/>
    </x:row>
    <x:row r="757" ht="15.75" hidden="0" customHeight="1">
      <x:c r="D757" s="63"/>
      <x:c r="I757" s="7"/>
      <x:c r="P757" s="63"/>
    </x:row>
    <x:row r="758" ht="15.75" hidden="0" customHeight="1">
      <x:c r="D758" s="63"/>
      <x:c r="I758" s="7"/>
      <x:c r="P758" s="63"/>
    </x:row>
    <x:row r="759" ht="15.75" hidden="0" customHeight="1">
      <x:c r="D759" s="63"/>
      <x:c r="I759" s="7"/>
      <x:c r="P759" s="63"/>
    </x:row>
    <x:row r="760" ht="15.75" hidden="0" customHeight="1">
      <x:c r="D760" s="63"/>
      <x:c r="I760" s="7"/>
      <x:c r="P760" s="63"/>
    </x:row>
    <x:row r="761" ht="15.75" hidden="0" customHeight="1">
      <x:c r="D761" s="63"/>
      <x:c r="I761" s="7"/>
      <x:c r="P761" s="63"/>
    </x:row>
    <x:row r="762" ht="15.75" hidden="0" customHeight="1">
      <x:c r="D762" s="63"/>
      <x:c r="I762" s="7"/>
      <x:c r="P762" s="63"/>
    </x:row>
    <x:row r="763" ht="15.75" hidden="0" customHeight="1">
      <x:c r="D763" s="63"/>
      <x:c r="I763" s="7"/>
      <x:c r="P763" s="63"/>
    </x:row>
    <x:row r="764" ht="15.75" hidden="0" customHeight="1">
      <x:c r="D764" s="63"/>
      <x:c r="I764" s="7"/>
      <x:c r="P764" s="63"/>
    </x:row>
    <x:row r="765" ht="15.75" hidden="0" customHeight="1">
      <x:c r="D765" s="63"/>
      <x:c r="I765" s="7"/>
      <x:c r="P765" s="63"/>
    </x:row>
    <x:row r="766" ht="15.75" hidden="0" customHeight="1">
      <x:c r="D766" s="63"/>
      <x:c r="I766" s="7"/>
      <x:c r="P766" s="63"/>
    </x:row>
    <x:row r="767" ht="15.75" hidden="0" customHeight="1">
      <x:c r="D767" s="63"/>
      <x:c r="I767" s="7"/>
      <x:c r="P767" s="63"/>
    </x:row>
    <x:row r="768" ht="15.75" hidden="0" customHeight="1">
      <x:c r="D768" s="63"/>
      <x:c r="I768" s="7"/>
      <x:c r="P768" s="63"/>
    </x:row>
    <x:row r="769" ht="15.75" hidden="0" customHeight="1">
      <x:c r="D769" s="63"/>
      <x:c r="I769" s="7"/>
      <x:c r="P769" s="63"/>
    </x:row>
    <x:row r="770" ht="15.75" hidden="0" customHeight="1">
      <x:c r="D770" s="63"/>
      <x:c r="I770" s="7"/>
      <x:c r="P770" s="63"/>
    </x:row>
    <x:row r="771" ht="15.75" hidden="0" customHeight="1">
      <x:c r="D771" s="63"/>
      <x:c r="I771" s="7"/>
      <x:c r="P771" s="63"/>
    </x:row>
    <x:row r="772" ht="15.75" hidden="0" customHeight="1">
      <x:c r="D772" s="63"/>
      <x:c r="I772" s="7"/>
      <x:c r="P772" s="63"/>
    </x:row>
    <x:row r="773" ht="15.75" hidden="0" customHeight="1">
      <x:c r="D773" s="63"/>
      <x:c r="I773" s="7"/>
      <x:c r="P773" s="63"/>
    </x:row>
    <x:row r="774" ht="15.75" hidden="0" customHeight="1">
      <x:c r="D774" s="63"/>
      <x:c r="I774" s="7"/>
      <x:c r="P774" s="63"/>
    </x:row>
    <x:row r="775" ht="15.75" hidden="0" customHeight="1">
      <x:c r="D775" s="63"/>
      <x:c r="I775" s="7"/>
      <x:c r="P775" s="63"/>
    </x:row>
    <x:row r="776" ht="15.75" hidden="0" customHeight="1">
      <x:c r="D776" s="63"/>
      <x:c r="I776" s="7"/>
      <x:c r="P776" s="63"/>
    </x:row>
    <x:row r="777" ht="15.75" hidden="0" customHeight="1">
      <x:c r="D777" s="63"/>
      <x:c r="I777" s="7"/>
      <x:c r="P777" s="63"/>
    </x:row>
    <x:row r="778" ht="15.75" hidden="0" customHeight="1">
      <x:c r="D778" s="63"/>
      <x:c r="I778" s="7"/>
      <x:c r="P778" s="63"/>
    </x:row>
    <x:row r="779" ht="15.75" hidden="0" customHeight="1">
      <x:c r="D779" s="63"/>
      <x:c r="I779" s="7"/>
      <x:c r="P779" s="63"/>
    </x:row>
    <x:row r="780" ht="15.75" hidden="0" customHeight="1">
      <x:c r="D780" s="63"/>
      <x:c r="I780" s="7"/>
      <x:c r="P780" s="63"/>
    </x:row>
    <x:row r="781" ht="15.75" hidden="0" customHeight="1">
      <x:c r="D781" s="63"/>
      <x:c r="I781" s="7"/>
      <x:c r="P781" s="63"/>
    </x:row>
    <x:row r="782" ht="15.75" hidden="0" customHeight="1">
      <x:c r="D782" s="63"/>
      <x:c r="I782" s="7"/>
      <x:c r="P782" s="63"/>
    </x:row>
    <x:row r="783" ht="15.75" hidden="0" customHeight="1">
      <x:c r="D783" s="63"/>
      <x:c r="I783" s="7"/>
      <x:c r="P783" s="63"/>
    </x:row>
    <x:row r="784" ht="15.75" hidden="0" customHeight="1">
      <x:c r="D784" s="63"/>
      <x:c r="I784" s="7"/>
      <x:c r="P784" s="63"/>
    </x:row>
    <x:row r="785" ht="15.75" hidden="0" customHeight="1">
      <x:c r="D785" s="63"/>
      <x:c r="I785" s="7"/>
      <x:c r="P785" s="63"/>
    </x:row>
    <x:row r="786" ht="15.75" hidden="0" customHeight="1">
      <x:c r="D786" s="63"/>
      <x:c r="I786" s="7"/>
      <x:c r="P786" s="63"/>
    </x:row>
    <x:row r="787" ht="15.75" hidden="0" customHeight="1">
      <x:c r="D787" s="63"/>
      <x:c r="I787" s="7"/>
      <x:c r="P787" s="63"/>
    </x:row>
    <x:row r="788" ht="15.75" hidden="0" customHeight="1">
      <x:c r="D788" s="63"/>
      <x:c r="I788" s="7"/>
      <x:c r="P788" s="63"/>
    </x:row>
    <x:row r="789" ht="15.75" hidden="0" customHeight="1">
      <x:c r="D789" s="63"/>
      <x:c r="I789" s="7"/>
      <x:c r="P789" s="63"/>
    </x:row>
    <x:row r="790" ht="15.75" hidden="0" customHeight="1">
      <x:c r="D790" s="63"/>
      <x:c r="I790" s="7"/>
      <x:c r="P790" s="63"/>
    </x:row>
    <x:row r="791" ht="15.75" hidden="0" customHeight="1">
      <x:c r="D791" s="63"/>
      <x:c r="I791" s="7"/>
      <x:c r="P791" s="63"/>
    </x:row>
    <x:row r="792" ht="15.75" hidden="0" customHeight="1">
      <x:c r="D792" s="63"/>
      <x:c r="I792" s="7"/>
      <x:c r="P792" s="63"/>
    </x:row>
    <x:row r="793" ht="15.75" hidden="0" customHeight="1">
      <x:c r="D793" s="63"/>
      <x:c r="I793" s="7"/>
      <x:c r="P793" s="63"/>
    </x:row>
    <x:row r="794" ht="15.75" hidden="0" customHeight="1">
      <x:c r="D794" s="63"/>
      <x:c r="I794" s="7"/>
      <x:c r="P794" s="63"/>
    </x:row>
    <x:row r="795" ht="15.75" hidden="0" customHeight="1">
      <x:c r="D795" s="63"/>
      <x:c r="I795" s="7"/>
      <x:c r="P795" s="63"/>
    </x:row>
    <x:row r="796" ht="15.75" hidden="0" customHeight="1">
      <x:c r="D796" s="63"/>
      <x:c r="I796" s="7"/>
      <x:c r="P796" s="63"/>
    </x:row>
    <x:row r="797" ht="15.75" hidden="0" customHeight="1">
      <x:c r="D797" s="63"/>
      <x:c r="I797" s="7"/>
      <x:c r="P797" s="63"/>
    </x:row>
    <x:row r="798" ht="15.75" hidden="0" customHeight="1">
      <x:c r="D798" s="63"/>
      <x:c r="I798" s="7"/>
      <x:c r="P798" s="63"/>
    </x:row>
    <x:row r="799" ht="15.75" hidden="0" customHeight="1">
      <x:c r="D799" s="63"/>
      <x:c r="I799" s="7"/>
      <x:c r="P799" s="63"/>
    </x:row>
    <x:row r="800" ht="15.75" hidden="0" customHeight="1">
      <x:c r="D800" s="63"/>
      <x:c r="I800" s="7"/>
      <x:c r="P800" s="63"/>
    </x:row>
    <x:row r="801" ht="15.75" hidden="0" customHeight="1">
      <x:c r="D801" s="63"/>
      <x:c r="I801" s="7"/>
      <x:c r="P801" s="63"/>
    </x:row>
    <x:row r="802" ht="15.75" hidden="0" customHeight="1">
      <x:c r="D802" s="63"/>
      <x:c r="I802" s="7"/>
      <x:c r="P802" s="63"/>
    </x:row>
    <x:row r="803" ht="15.75" hidden="0" customHeight="1">
      <x:c r="D803" s="63"/>
      <x:c r="I803" s="7"/>
      <x:c r="P803" s="63"/>
    </x:row>
    <x:row r="804" ht="15.75" hidden="0" customHeight="1">
      <x:c r="D804" s="63"/>
      <x:c r="I804" s="7"/>
      <x:c r="P804" s="63"/>
    </x:row>
    <x:row r="805" ht="15.75" hidden="0" customHeight="1">
      <x:c r="D805" s="63"/>
      <x:c r="I805" s="7"/>
      <x:c r="P805" s="63"/>
    </x:row>
    <x:row r="806" ht="15.75" hidden="0" customHeight="1">
      <x:c r="D806" s="63"/>
      <x:c r="I806" s="7"/>
      <x:c r="P806" s="63"/>
    </x:row>
    <x:row r="807" ht="15.75" hidden="0" customHeight="1">
      <x:c r="D807" s="63"/>
      <x:c r="I807" s="7"/>
      <x:c r="P807" s="63"/>
    </x:row>
    <x:row r="808" ht="15.75" hidden="0" customHeight="1">
      <x:c r="D808" s="63"/>
      <x:c r="I808" s="7"/>
      <x:c r="P808" s="63"/>
    </x:row>
    <x:row r="809" ht="15.75" hidden="0" customHeight="1">
      <x:c r="D809" s="63"/>
      <x:c r="I809" s="7"/>
      <x:c r="P809" s="63"/>
    </x:row>
    <x:row r="810" ht="15.75" hidden="0" customHeight="1">
      <x:c r="D810" s="63"/>
      <x:c r="I810" s="7"/>
      <x:c r="P810" s="63"/>
    </x:row>
    <x:row r="811" ht="15.75" hidden="0" customHeight="1">
      <x:c r="D811" s="63"/>
      <x:c r="I811" s="7"/>
      <x:c r="P811" s="63"/>
    </x:row>
    <x:row r="812" ht="15.75" hidden="0" customHeight="1">
      <x:c r="D812" s="63"/>
      <x:c r="I812" s="7"/>
      <x:c r="P812" s="63"/>
    </x:row>
    <x:row r="813" ht="15.75" hidden="0" customHeight="1">
      <x:c r="D813" s="63"/>
      <x:c r="I813" s="7"/>
      <x:c r="P813" s="63"/>
    </x:row>
    <x:row r="814" ht="15.75" hidden="0" customHeight="1">
      <x:c r="D814" s="63"/>
      <x:c r="I814" s="7"/>
      <x:c r="P814" s="63"/>
    </x:row>
    <x:row r="815" ht="15.75" hidden="0" customHeight="1">
      <x:c r="D815" s="63"/>
      <x:c r="I815" s="7"/>
      <x:c r="P815" s="63"/>
    </x:row>
    <x:row r="816" ht="15.75" hidden="0" customHeight="1">
      <x:c r="D816" s="63"/>
      <x:c r="I816" s="7"/>
      <x:c r="P816" s="63"/>
    </x:row>
    <x:row r="817" ht="15.75" hidden="0" customHeight="1">
      <x:c r="D817" s="63"/>
      <x:c r="I817" s="7"/>
      <x:c r="P817" s="63"/>
    </x:row>
    <x:row r="818" ht="15.75" hidden="0" customHeight="1">
      <x:c r="D818" s="63"/>
      <x:c r="I818" s="7"/>
      <x:c r="P818" s="63"/>
    </x:row>
    <x:row r="819" ht="15.75" hidden="0" customHeight="1">
      <x:c r="D819" s="63"/>
      <x:c r="I819" s="7"/>
      <x:c r="P819" s="63"/>
    </x:row>
    <x:row r="820" ht="15.75" hidden="0" customHeight="1">
      <x:c r="D820" s="63"/>
      <x:c r="I820" s="7"/>
      <x:c r="P820" s="63"/>
    </x:row>
    <x:row r="821" ht="15.75" hidden="0" customHeight="1">
      <x:c r="D821" s="63"/>
      <x:c r="I821" s="7"/>
      <x:c r="P821" s="63"/>
    </x:row>
    <x:row r="822" ht="15.75" hidden="0" customHeight="1">
      <x:c r="D822" s="63"/>
      <x:c r="I822" s="7"/>
      <x:c r="P822" s="63"/>
    </x:row>
    <x:row r="823" ht="15.75" hidden="0" customHeight="1">
      <x:c r="D823" s="63"/>
      <x:c r="I823" s="7"/>
      <x:c r="P823" s="63"/>
    </x:row>
    <x:row r="824" ht="15.75" hidden="0" customHeight="1">
      <x:c r="D824" s="63"/>
      <x:c r="I824" s="7"/>
      <x:c r="P824" s="63"/>
    </x:row>
    <x:row r="825" ht="15.75" hidden="0" customHeight="1">
      <x:c r="D825" s="63"/>
      <x:c r="I825" s="7"/>
      <x:c r="P825" s="63"/>
    </x:row>
    <x:row r="826" ht="15.75" hidden="0" customHeight="1">
      <x:c r="D826" s="63"/>
      <x:c r="I826" s="7"/>
      <x:c r="P826" s="63"/>
    </x:row>
    <x:row r="827" ht="15.75" hidden="0" customHeight="1">
      <x:c r="D827" s="63"/>
      <x:c r="I827" s="7"/>
      <x:c r="P827" s="63"/>
    </x:row>
    <x:row r="828" ht="15.75" hidden="0" customHeight="1">
      <x:c r="D828" s="63"/>
      <x:c r="I828" s="7"/>
      <x:c r="P828" s="63"/>
    </x:row>
    <x:row r="829" ht="15.75" hidden="0" customHeight="1">
      <x:c r="D829" s="63"/>
      <x:c r="I829" s="7"/>
      <x:c r="P829" s="63"/>
    </x:row>
    <x:row r="830" ht="15.75" hidden="0" customHeight="1">
      <x:c r="D830" s="63"/>
      <x:c r="I830" s="7"/>
      <x:c r="P830" s="63"/>
    </x:row>
    <x:row r="831" ht="15.75" hidden="0" customHeight="1">
      <x:c r="D831" s="63"/>
      <x:c r="I831" s="7"/>
      <x:c r="P831" s="63"/>
    </x:row>
    <x:row r="832" ht="15.75" hidden="0" customHeight="1">
      <x:c r="D832" s="63"/>
      <x:c r="I832" s="7"/>
      <x:c r="P832" s="63"/>
    </x:row>
    <x:row r="833" ht="15.75" hidden="0" customHeight="1">
      <x:c r="D833" s="63"/>
      <x:c r="I833" s="7"/>
      <x:c r="P833" s="63"/>
    </x:row>
    <x:row r="834" ht="15.75" hidden="0" customHeight="1">
      <x:c r="D834" s="63"/>
      <x:c r="I834" s="7"/>
      <x:c r="P834" s="63"/>
    </x:row>
    <x:row r="835" ht="15.75" hidden="0" customHeight="1">
      <x:c r="D835" s="63"/>
      <x:c r="I835" s="7"/>
      <x:c r="P835" s="63"/>
    </x:row>
    <x:row r="836" ht="15.75" hidden="0" customHeight="1">
      <x:c r="D836" s="63"/>
      <x:c r="I836" s="7"/>
      <x:c r="P836" s="63"/>
    </x:row>
    <x:row r="837" ht="15.75" hidden="0" customHeight="1">
      <x:c r="D837" s="63"/>
      <x:c r="I837" s="7"/>
      <x:c r="P837" s="63"/>
    </x:row>
    <x:row r="838" ht="15.75" hidden="0" customHeight="1">
      <x:c r="D838" s="63"/>
      <x:c r="I838" s="7"/>
      <x:c r="P838" s="63"/>
    </x:row>
    <x:row r="839" ht="15.75" hidden="0" customHeight="1">
      <x:c r="D839" s="63"/>
      <x:c r="I839" s="7"/>
      <x:c r="P839" s="63"/>
    </x:row>
    <x:row r="840" ht="15.75" hidden="0" customHeight="1">
      <x:c r="D840" s="63"/>
      <x:c r="I840" s="7"/>
      <x:c r="P840" s="63"/>
    </x:row>
    <x:row r="841" ht="15.75" hidden="0" customHeight="1">
      <x:c r="D841" s="63"/>
      <x:c r="I841" s="7"/>
      <x:c r="P841" s="63"/>
    </x:row>
    <x:row r="842" ht="15.75" hidden="0" customHeight="1">
      <x:c r="D842" s="63"/>
      <x:c r="I842" s="7"/>
      <x:c r="P842" s="63"/>
    </x:row>
    <x:row r="843" ht="15.75" hidden="0" customHeight="1">
      <x:c r="D843" s="63"/>
      <x:c r="I843" s="7"/>
      <x:c r="P843" s="63"/>
    </x:row>
    <x:row r="844" ht="15.75" hidden="0" customHeight="1">
      <x:c r="D844" s="63"/>
      <x:c r="I844" s="7"/>
      <x:c r="P844" s="63"/>
    </x:row>
    <x:row r="845" ht="15.75" hidden="0" customHeight="1">
      <x:c r="D845" s="63"/>
      <x:c r="I845" s="7"/>
      <x:c r="P845" s="63"/>
    </x:row>
    <x:row r="846" ht="15.75" hidden="0" customHeight="1">
      <x:c r="D846" s="63"/>
      <x:c r="I846" s="7"/>
      <x:c r="P846" s="63"/>
    </x:row>
    <x:row r="847" ht="15.75" hidden="0" customHeight="1">
      <x:c r="D847" s="63"/>
      <x:c r="I847" s="7"/>
      <x:c r="P847" s="63"/>
    </x:row>
    <x:row r="848" ht="15.75" hidden="0" customHeight="1">
      <x:c r="D848" s="63"/>
      <x:c r="I848" s="7"/>
      <x:c r="P848" s="63"/>
    </x:row>
    <x:row r="849" ht="15.75" hidden="0" customHeight="1">
      <x:c r="D849" s="63"/>
      <x:c r="I849" s="7"/>
      <x:c r="P849" s="63"/>
    </x:row>
    <x:row r="850" ht="15.75" hidden="0" customHeight="1">
      <x:c r="D850" s="63"/>
      <x:c r="I850" s="7"/>
      <x:c r="P850" s="63"/>
    </x:row>
    <x:row r="851" ht="15.75" hidden="0" customHeight="1">
      <x:c r="D851" s="63"/>
      <x:c r="I851" s="7"/>
      <x:c r="P851" s="63"/>
    </x:row>
    <x:row r="852" ht="15.75" hidden="0" customHeight="1">
      <x:c r="D852" s="63"/>
      <x:c r="I852" s="7"/>
      <x:c r="P852" s="63"/>
    </x:row>
    <x:row r="853" ht="15.75" hidden="0" customHeight="1">
      <x:c r="D853" s="63"/>
      <x:c r="I853" s="7"/>
      <x:c r="P853" s="63"/>
    </x:row>
    <x:row r="854" ht="15.75" hidden="0" customHeight="1">
      <x:c r="D854" s="63"/>
      <x:c r="I854" s="7"/>
      <x:c r="P854" s="63"/>
    </x:row>
    <x:row r="855" ht="15.75" hidden="0" customHeight="1">
      <x:c r="D855" s="63"/>
      <x:c r="I855" s="7"/>
      <x:c r="P855" s="63"/>
    </x:row>
    <x:row r="856" ht="15.75" hidden="0" customHeight="1">
      <x:c r="D856" s="63"/>
      <x:c r="I856" s="7"/>
      <x:c r="P856" s="63"/>
    </x:row>
    <x:row r="857" ht="15.75" hidden="0" customHeight="1">
      <x:c r="D857" s="63"/>
      <x:c r="I857" s="7"/>
      <x:c r="P857" s="63"/>
    </x:row>
    <x:row r="858" ht="15.75" hidden="0" customHeight="1">
      <x:c r="D858" s="63"/>
      <x:c r="I858" s="7"/>
      <x:c r="P858" s="63"/>
    </x:row>
    <x:row r="859" ht="15.75" hidden="0" customHeight="1">
      <x:c r="D859" s="63"/>
      <x:c r="I859" s="7"/>
      <x:c r="P859" s="63"/>
    </x:row>
    <x:row r="860" ht="15.75" hidden="0" customHeight="1">
      <x:c r="D860" s="63"/>
      <x:c r="I860" s="7"/>
      <x:c r="P860" s="63"/>
    </x:row>
    <x:row r="861" ht="15.75" hidden="0" customHeight="1">
      <x:c r="D861" s="63"/>
      <x:c r="I861" s="7"/>
      <x:c r="P861" s="63"/>
    </x:row>
    <x:row r="862" ht="15.75" hidden="0" customHeight="1">
      <x:c r="D862" s="63"/>
      <x:c r="I862" s="7"/>
      <x:c r="P862" s="63"/>
    </x:row>
    <x:row r="863" ht="15.75" hidden="0" customHeight="1">
      <x:c r="D863" s="63"/>
      <x:c r="I863" s="7"/>
      <x:c r="P863" s="63"/>
    </x:row>
    <x:row r="864" ht="15.75" hidden="0" customHeight="1">
      <x:c r="D864" s="63"/>
      <x:c r="I864" s="7"/>
      <x:c r="P864" s="63"/>
    </x:row>
    <x:row r="865" ht="15.75" hidden="0" customHeight="1">
      <x:c r="D865" s="63"/>
      <x:c r="I865" s="7"/>
      <x:c r="P865" s="63"/>
    </x:row>
    <x:row r="866" ht="15.75" hidden="0" customHeight="1">
      <x:c r="D866" s="63"/>
      <x:c r="I866" s="7"/>
      <x:c r="P866" s="63"/>
    </x:row>
    <x:row r="867" ht="15.75" hidden="0" customHeight="1">
      <x:c r="D867" s="63"/>
      <x:c r="I867" s="7"/>
      <x:c r="P867" s="63"/>
    </x:row>
    <x:row r="868" ht="15.75" hidden="0" customHeight="1">
      <x:c r="D868" s="63"/>
      <x:c r="I868" s="7"/>
      <x:c r="P868" s="63"/>
    </x:row>
    <x:row r="869" ht="15.75" hidden="0" customHeight="1">
      <x:c r="D869" s="63"/>
      <x:c r="I869" s="7"/>
      <x:c r="P869" s="63"/>
    </x:row>
    <x:row r="870" ht="15.75" hidden="0" customHeight="1">
      <x:c r="D870" s="63"/>
      <x:c r="I870" s="7"/>
      <x:c r="P870" s="63"/>
    </x:row>
    <x:row r="871" ht="15.75" hidden="0" customHeight="1">
      <x:c r="D871" s="63"/>
      <x:c r="I871" s="7"/>
      <x:c r="P871" s="63"/>
    </x:row>
    <x:row r="872" ht="15.75" hidden="0" customHeight="1">
      <x:c r="D872" s="63"/>
      <x:c r="I872" s="7"/>
      <x:c r="P872" s="63"/>
    </x:row>
    <x:row r="873" ht="15.75" hidden="0" customHeight="1">
      <x:c r="D873" s="63"/>
      <x:c r="I873" s="7"/>
      <x:c r="P873" s="63"/>
    </x:row>
    <x:row r="874" ht="15.75" hidden="0" customHeight="1">
      <x:c r="D874" s="63"/>
      <x:c r="I874" s="7"/>
      <x:c r="P874" s="63"/>
    </x:row>
    <x:row r="875" ht="15.75" hidden="0" customHeight="1">
      <x:c r="D875" s="63"/>
      <x:c r="I875" s="7"/>
      <x:c r="P875" s="63"/>
    </x:row>
    <x:row r="876" ht="15.75" hidden="0" customHeight="1">
      <x:c r="D876" s="63"/>
      <x:c r="I876" s="7"/>
      <x:c r="P876" s="63"/>
    </x:row>
    <x:row r="877" ht="15.75" hidden="0" customHeight="1">
      <x:c r="D877" s="63"/>
      <x:c r="I877" s="7"/>
      <x:c r="P877" s="63"/>
    </x:row>
    <x:row r="878" ht="15.75" hidden="0" customHeight="1">
      <x:c r="D878" s="63"/>
      <x:c r="I878" s="7"/>
      <x:c r="P878" s="63"/>
    </x:row>
    <x:row r="879" ht="15.75" hidden="0" customHeight="1">
      <x:c r="D879" s="63"/>
      <x:c r="I879" s="7"/>
      <x:c r="P879" s="63"/>
    </x:row>
    <x:row r="880" ht="15.75" hidden="0" customHeight="1">
      <x:c r="D880" s="63"/>
      <x:c r="I880" s="7"/>
      <x:c r="P880" s="63"/>
    </x:row>
    <x:row r="881" ht="15.75" hidden="0" customHeight="1">
      <x:c r="D881" s="63"/>
      <x:c r="I881" s="7"/>
      <x:c r="P881" s="63"/>
    </x:row>
    <x:row r="882" ht="15.75" hidden="0" customHeight="1">
      <x:c r="D882" s="63"/>
      <x:c r="I882" s="7"/>
      <x:c r="P882" s="63"/>
    </x:row>
    <x:row r="883" ht="15.75" hidden="0" customHeight="1">
      <x:c r="D883" s="63"/>
      <x:c r="I883" s="7"/>
      <x:c r="P883" s="63"/>
    </x:row>
    <x:row r="884" ht="15.75" hidden="0" customHeight="1">
      <x:c r="D884" s="63"/>
      <x:c r="I884" s="7"/>
      <x:c r="P884" s="63"/>
    </x:row>
    <x:row r="885" ht="15.75" hidden="0" customHeight="1">
      <x:c r="D885" s="63"/>
      <x:c r="I885" s="7"/>
      <x:c r="P885" s="63"/>
    </x:row>
    <x:row r="886" ht="15.75" hidden="0" customHeight="1">
      <x:c r="D886" s="63"/>
      <x:c r="I886" s="7"/>
      <x:c r="P886" s="63"/>
    </x:row>
    <x:row r="887" ht="15.75" hidden="0" customHeight="1">
      <x:c r="D887" s="63"/>
      <x:c r="I887" s="7"/>
      <x:c r="P887" s="63"/>
    </x:row>
    <x:row r="888" ht="15.75" hidden="0" customHeight="1">
      <x:c r="D888" s="63"/>
      <x:c r="I888" s="7"/>
      <x:c r="P888" s="63"/>
    </x:row>
    <x:row r="889" ht="15.75" hidden="0" customHeight="1">
      <x:c r="D889" s="63"/>
      <x:c r="I889" s="7"/>
      <x:c r="P889" s="63"/>
    </x:row>
    <x:row r="890" ht="15.75" hidden="0" customHeight="1">
      <x:c r="D890" s="63"/>
      <x:c r="I890" s="7"/>
      <x:c r="P890" s="63"/>
    </x:row>
    <x:row r="891" ht="15.75" hidden="0" customHeight="1">
      <x:c r="D891" s="63"/>
      <x:c r="I891" s="7"/>
      <x:c r="P891" s="63"/>
    </x:row>
    <x:row r="892" ht="15.75" hidden="0" customHeight="1">
      <x:c r="D892" s="63"/>
      <x:c r="I892" s="7"/>
      <x:c r="P892" s="63"/>
    </x:row>
    <x:row r="893" ht="15.75" hidden="0" customHeight="1">
      <x:c r="D893" s="63"/>
      <x:c r="I893" s="7"/>
      <x:c r="P893" s="63"/>
    </x:row>
    <x:row r="894" ht="15.75" hidden="0" customHeight="1">
      <x:c r="D894" s="63"/>
      <x:c r="I894" s="7"/>
      <x:c r="P894" s="63"/>
    </x:row>
    <x:row r="895" ht="15.75" hidden="0" customHeight="1">
      <x:c r="D895" s="63"/>
      <x:c r="I895" s="7"/>
      <x:c r="P895" s="63"/>
    </x:row>
    <x:row r="896" ht="15.75" hidden="0" customHeight="1">
      <x:c r="D896" s="63"/>
      <x:c r="I896" s="7"/>
      <x:c r="P896" s="63"/>
    </x:row>
    <x:row r="897" ht="15.75" hidden="0" customHeight="1">
      <x:c r="D897" s="63"/>
      <x:c r="I897" s="7"/>
      <x:c r="P897" s="63"/>
    </x:row>
    <x:row r="898" ht="15.75" hidden="0" customHeight="1">
      <x:c r="D898" s="63"/>
      <x:c r="I898" s="7"/>
      <x:c r="P898" s="63"/>
    </x:row>
    <x:row r="899" ht="15.75" hidden="0" customHeight="1">
      <x:c r="D899" s="63"/>
      <x:c r="I899" s="7"/>
      <x:c r="P899" s="63"/>
    </x:row>
    <x:row r="900" ht="15.75" hidden="0" customHeight="1">
      <x:c r="D900" s="63"/>
      <x:c r="I900" s="7"/>
      <x:c r="P900" s="63"/>
    </x:row>
    <x:row r="901" ht="15.75" hidden="0" customHeight="1">
      <x:c r="D901" s="63"/>
      <x:c r="I901" s="7"/>
      <x:c r="P901" s="63"/>
    </x:row>
    <x:row r="902" ht="15.75" hidden="0" customHeight="1">
      <x:c r="D902" s="63"/>
      <x:c r="I902" s="7"/>
      <x:c r="P902" s="63"/>
    </x:row>
    <x:row r="903" ht="15.75" hidden="0" customHeight="1">
      <x:c r="D903" s="63"/>
      <x:c r="I903" s="7"/>
      <x:c r="P903" s="63"/>
    </x:row>
    <x:row r="904" ht="15.75" hidden="0" customHeight="1">
      <x:c r="D904" s="63"/>
      <x:c r="I904" s="7"/>
      <x:c r="P904" s="63"/>
    </x:row>
    <x:row r="905" ht="15.75" hidden="0" customHeight="1">
      <x:c r="D905" s="63"/>
      <x:c r="I905" s="7"/>
      <x:c r="P905" s="63"/>
    </x:row>
    <x:row r="906" ht="15.75" hidden="0" customHeight="1">
      <x:c r="D906" s="63"/>
      <x:c r="I906" s="7"/>
      <x:c r="P906" s="63"/>
    </x:row>
    <x:row r="907" ht="15.75" hidden="0" customHeight="1">
      <x:c r="D907" s="63"/>
      <x:c r="I907" s="7"/>
      <x:c r="P907" s="63"/>
    </x:row>
    <x:row r="908" ht="15.75" hidden="0" customHeight="1">
      <x:c r="D908" s="63"/>
      <x:c r="I908" s="7"/>
      <x:c r="P908" s="63"/>
    </x:row>
    <x:row r="909" ht="15.75" hidden="0" customHeight="1">
      <x:c r="D909" s="63"/>
      <x:c r="I909" s="7"/>
      <x:c r="P909" s="63"/>
    </x:row>
    <x:row r="910" ht="15.75" hidden="0" customHeight="1">
      <x:c r="D910" s="63"/>
      <x:c r="I910" s="7"/>
      <x:c r="P910" s="63"/>
    </x:row>
    <x:row r="911" ht="15.75" hidden="0" customHeight="1">
      <x:c r="D911" s="63"/>
      <x:c r="I911" s="7"/>
      <x:c r="P911" s="63"/>
    </x:row>
    <x:row r="912" ht="15.75" hidden="0" customHeight="1">
      <x:c r="D912" s="63"/>
      <x:c r="I912" s="7"/>
      <x:c r="P912" s="63"/>
    </x:row>
    <x:row r="913" ht="15.75" hidden="0" customHeight="1">
      <x:c r="D913" s="63"/>
      <x:c r="I913" s="7"/>
      <x:c r="P913" s="63"/>
    </x:row>
    <x:row r="914" ht="15.75" hidden="0" customHeight="1">
      <x:c r="D914" s="63"/>
      <x:c r="I914" s="7"/>
      <x:c r="P914" s="63"/>
    </x:row>
    <x:row r="915" ht="15.75" hidden="0" customHeight="1">
      <x:c r="D915" s="63"/>
      <x:c r="I915" s="7"/>
      <x:c r="P915" s="63"/>
    </x:row>
    <x:row r="916" ht="15.75" hidden="0" customHeight="1">
      <x:c r="D916" s="63"/>
      <x:c r="I916" s="7"/>
      <x:c r="P916" s="63"/>
    </x:row>
    <x:row r="917" ht="15.75" hidden="0" customHeight="1">
      <x:c r="D917" s="63"/>
      <x:c r="I917" s="7"/>
      <x:c r="P917" s="63"/>
    </x:row>
    <x:row r="918" ht="15.75" hidden="0" customHeight="1">
      <x:c r="D918" s="63"/>
      <x:c r="I918" s="7"/>
      <x:c r="P918" s="63"/>
    </x:row>
    <x:row r="919" ht="15.75" hidden="0" customHeight="1">
      <x:c r="D919" s="63"/>
      <x:c r="I919" s="7"/>
      <x:c r="P919" s="63"/>
    </x:row>
    <x:row r="920" ht="15.75" hidden="0" customHeight="1">
      <x:c r="D920" s="63"/>
      <x:c r="I920" s="7"/>
      <x:c r="P920" s="63"/>
    </x:row>
    <x:row r="921" ht="15.75" hidden="0" customHeight="1">
      <x:c r="D921" s="63"/>
      <x:c r="I921" s="7"/>
      <x:c r="P921" s="63"/>
    </x:row>
    <x:row r="922" ht="15.75" hidden="0" customHeight="1">
      <x:c r="D922" s="63"/>
      <x:c r="I922" s="7"/>
      <x:c r="P922" s="63"/>
    </x:row>
    <x:row r="923" ht="15.75" hidden="0" customHeight="1">
      <x:c r="D923" s="63"/>
      <x:c r="I923" s="7"/>
      <x:c r="P923" s="63"/>
    </x:row>
    <x:row r="924" ht="15.75" hidden="0" customHeight="1">
      <x:c r="D924" s="63"/>
      <x:c r="I924" s="7"/>
      <x:c r="P924" s="63"/>
    </x:row>
    <x:row r="925" ht="15.75" hidden="0" customHeight="1">
      <x:c r="D925" s="63"/>
      <x:c r="I925" s="7"/>
      <x:c r="P925" s="63"/>
    </x:row>
    <x:row r="926" ht="15.75" hidden="0" customHeight="1">
      <x:c r="D926" s="63"/>
      <x:c r="I926" s="7"/>
      <x:c r="P926" s="63"/>
    </x:row>
    <x:row r="927" ht="15.75" hidden="0" customHeight="1">
      <x:c r="D927" s="63"/>
      <x:c r="I927" s="7"/>
      <x:c r="P927" s="63"/>
    </x:row>
    <x:row r="928" ht="15.75" hidden="0" customHeight="1">
      <x:c r="D928" s="63"/>
      <x:c r="I928" s="7"/>
      <x:c r="P928" s="63"/>
    </x:row>
    <x:row r="929" ht="15.75" hidden="0" customHeight="1">
      <x:c r="D929" s="63"/>
      <x:c r="I929" s="7"/>
      <x:c r="P929" s="63"/>
    </x:row>
    <x:row r="930" ht="15.75" hidden="0" customHeight="1">
      <x:c r="D930" s="63"/>
      <x:c r="I930" s="7"/>
      <x:c r="P930" s="63"/>
    </x:row>
    <x:row r="931" ht="15.75" hidden="0" customHeight="1">
      <x:c r="D931" s="63"/>
      <x:c r="I931" s="7"/>
      <x:c r="P931" s="63"/>
    </x:row>
    <x:row r="932" ht="15.75" hidden="0" customHeight="1">
      <x:c r="D932" s="63"/>
      <x:c r="I932" s="7"/>
      <x:c r="P932" s="63"/>
    </x:row>
    <x:row r="933" ht="15.75" hidden="0" customHeight="1">
      <x:c r="D933" s="63"/>
      <x:c r="I933" s="7"/>
      <x:c r="P933" s="63"/>
    </x:row>
    <x:row r="934" ht="15.75" hidden="0" customHeight="1">
      <x:c r="D934" s="63"/>
      <x:c r="I934" s="7"/>
      <x:c r="P934" s="63"/>
    </x:row>
    <x:row r="935" ht="15.75" hidden="0" customHeight="1">
      <x:c r="D935" s="63"/>
      <x:c r="I935" s="7"/>
      <x:c r="P935" s="63"/>
    </x:row>
    <x:row r="936" ht="15.75" hidden="0" customHeight="1">
      <x:c r="D936" s="63"/>
      <x:c r="I936" s="7"/>
      <x:c r="P936" s="63"/>
    </x:row>
    <x:row r="937" ht="15.75" hidden="0" customHeight="1">
      <x:c r="D937" s="63"/>
      <x:c r="I937" s="7"/>
      <x:c r="P937" s="63"/>
    </x:row>
    <x:row r="938" ht="15.75" hidden="0" customHeight="1">
      <x:c r="D938" s="63"/>
      <x:c r="I938" s="7"/>
      <x:c r="P938" s="63"/>
    </x:row>
    <x:row r="939" ht="15.75" hidden="0" customHeight="1">
      <x:c r="D939" s="63"/>
      <x:c r="I939" s="7"/>
      <x:c r="P939" s="63"/>
    </x:row>
    <x:row r="940" ht="15.75" hidden="0" customHeight="1">
      <x:c r="D940" s="63"/>
      <x:c r="I940" s="7"/>
      <x:c r="P940" s="63"/>
    </x:row>
    <x:row r="941" ht="15.75" hidden="0" customHeight="1">
      <x:c r="D941" s="63"/>
      <x:c r="I941" s="7"/>
      <x:c r="P941" s="63"/>
    </x:row>
    <x:row r="942" ht="15.75" hidden="0" customHeight="1">
      <x:c r="D942" s="63"/>
      <x:c r="I942" s="7"/>
      <x:c r="P942" s="63"/>
    </x:row>
    <x:row r="943" ht="15.75" hidden="0" customHeight="1">
      <x:c r="D943" s="63"/>
      <x:c r="I943" s="7"/>
      <x:c r="P943" s="63"/>
    </x:row>
    <x:row r="944" ht="15.75" hidden="0" customHeight="1">
      <x:c r="D944" s="63"/>
      <x:c r="I944" s="7"/>
      <x:c r="P944" s="63"/>
    </x:row>
    <x:row r="945" ht="15.75" hidden="0" customHeight="1">
      <x:c r="D945" s="63"/>
      <x:c r="I945" s="7"/>
      <x:c r="P945" s="63"/>
    </x:row>
    <x:row r="946" ht="15.75" hidden="0" customHeight="1">
      <x:c r="D946" s="63"/>
      <x:c r="I946" s="7"/>
      <x:c r="P946" s="63"/>
    </x:row>
    <x:row r="947" ht="15.75" hidden="0" customHeight="1">
      <x:c r="D947" s="63"/>
      <x:c r="I947" s="7"/>
      <x:c r="P947" s="63"/>
    </x:row>
    <x:row r="948" ht="15.75" hidden="0" customHeight="1">
      <x:c r="D948" s="63"/>
      <x:c r="I948" s="7"/>
      <x:c r="P948" s="63"/>
    </x:row>
    <x:row r="949" ht="15.75" hidden="0" customHeight="1">
      <x:c r="D949" s="63"/>
      <x:c r="I949" s="7"/>
      <x:c r="P949" s="63"/>
    </x:row>
    <x:row r="950" ht="15.75" hidden="0" customHeight="1">
      <x:c r="D950" s="63"/>
      <x:c r="I950" s="7"/>
      <x:c r="P950" s="63"/>
    </x:row>
    <x:row r="951" ht="15.75" hidden="0" customHeight="1">
      <x:c r="D951" s="63"/>
      <x:c r="I951" s="7"/>
      <x:c r="P951" s="63"/>
    </x:row>
    <x:row r="952" ht="15.75" hidden="0" customHeight="1">
      <x:c r="D952" s="63"/>
      <x:c r="I952" s="7"/>
      <x:c r="P952" s="63"/>
    </x:row>
    <x:row r="953" ht="15.75" hidden="0" customHeight="1">
      <x:c r="D953" s="63"/>
      <x:c r="I953" s="7"/>
      <x:c r="P953" s="63"/>
    </x:row>
    <x:row r="954" ht="15.75" hidden="0" customHeight="1">
      <x:c r="D954" s="63"/>
      <x:c r="I954" s="7"/>
      <x:c r="P954" s="63"/>
    </x:row>
    <x:row r="955" ht="15.75" hidden="0" customHeight="1">
      <x:c r="D955" s="63"/>
      <x:c r="I955" s="7"/>
      <x:c r="P955" s="63"/>
    </x:row>
    <x:row r="956" ht="15.75" hidden="0" customHeight="1">
      <x:c r="D956" s="63"/>
      <x:c r="I956" s="7"/>
      <x:c r="P956" s="63"/>
    </x:row>
    <x:row r="957" ht="15.75" hidden="0" customHeight="1">
      <x:c r="D957" s="63"/>
      <x:c r="I957" s="7"/>
      <x:c r="P957" s="63"/>
    </x:row>
    <x:row r="958" ht="15.75" hidden="0" customHeight="1">
      <x:c r="D958" s="63"/>
      <x:c r="I958" s="7"/>
      <x:c r="P958" s="63"/>
    </x:row>
    <x:row r="959" ht="15.75" hidden="0" customHeight="1">
      <x:c r="D959" s="63"/>
      <x:c r="I959" s="7"/>
      <x:c r="P959" s="63"/>
    </x:row>
    <x:row r="960" ht="15.75" hidden="0" customHeight="1">
      <x:c r="D960" s="63"/>
      <x:c r="I960" s="7"/>
      <x:c r="P960" s="63"/>
    </x:row>
    <x:row r="961" ht="15.75" hidden="0" customHeight="1">
      <x:c r="D961" s="63"/>
      <x:c r="I961" s="7"/>
      <x:c r="P961" s="63"/>
    </x:row>
    <x:row r="962" ht="15.75" hidden="0" customHeight="1">
      <x:c r="D962" s="63"/>
      <x:c r="I962" s="7"/>
      <x:c r="P962" s="63"/>
    </x:row>
    <x:row r="963" ht="15.75" hidden="0" customHeight="1">
      <x:c r="D963" s="63"/>
      <x:c r="I963" s="7"/>
      <x:c r="P963" s="63"/>
    </x:row>
    <x:row r="964" ht="15.75" hidden="0" customHeight="1">
      <x:c r="D964" s="63"/>
      <x:c r="I964" s="7"/>
      <x:c r="P964" s="63"/>
    </x:row>
    <x:row r="965" ht="15.75" hidden="0" customHeight="1">
      <x:c r="D965" s="63"/>
      <x:c r="I965" s="7"/>
      <x:c r="P965" s="63"/>
    </x:row>
    <x:row r="966" ht="15.75" hidden="0" customHeight="1">
      <x:c r="D966" s="63"/>
      <x:c r="I966" s="7"/>
      <x:c r="P966" s="63"/>
    </x:row>
    <x:row r="967" ht="15.75" hidden="0" customHeight="1">
      <x:c r="D967" s="63"/>
      <x:c r="I967" s="7"/>
      <x:c r="P967" s="63"/>
    </x:row>
    <x:row r="968" ht="15.75" hidden="0" customHeight="1">
      <x:c r="D968" s="63"/>
      <x:c r="I968" s="7"/>
      <x:c r="P968" s="63"/>
    </x:row>
    <x:row r="969" ht="15.75" hidden="0" customHeight="1">
      <x:c r="D969" s="63"/>
      <x:c r="I969" s="7"/>
      <x:c r="P969" s="63"/>
    </x:row>
    <x:row r="970" ht="15.75" hidden="0" customHeight="1">
      <x:c r="D970" s="63"/>
      <x:c r="I970" s="7"/>
      <x:c r="P970" s="63"/>
    </x:row>
    <x:row r="971" ht="15.75" hidden="0" customHeight="1">
      <x:c r="D971" s="63"/>
      <x:c r="I971" s="7"/>
      <x:c r="P971" s="63"/>
    </x:row>
    <x:row r="972" ht="15.75" hidden="0" customHeight="1">
      <x:c r="D972" s="63"/>
      <x:c r="I972" s="7"/>
      <x:c r="P972" s="63"/>
    </x:row>
    <x:row r="973" ht="15.75" hidden="0" customHeight="1">
      <x:c r="D973" s="63"/>
      <x:c r="I973" s="7"/>
      <x:c r="P973" s="63"/>
    </x:row>
    <x:row r="974" ht="15.75" hidden="0" customHeight="1">
      <x:c r="D974" s="63"/>
      <x:c r="I974" s="7"/>
      <x:c r="P974" s="63"/>
    </x:row>
    <x:row r="975" ht="15.75" hidden="0" customHeight="1">
      <x:c r="D975" s="63"/>
      <x:c r="I975" s="7"/>
      <x:c r="P975" s="63"/>
    </x:row>
    <x:row r="976" ht="15.75" hidden="0" customHeight="1">
      <x:c r="D976" s="63"/>
      <x:c r="I976" s="7"/>
      <x:c r="P976" s="63"/>
    </x:row>
    <x:row r="977" ht="15.75" hidden="0" customHeight="1">
      <x:c r="D977" s="63"/>
      <x:c r="I977" s="7"/>
      <x:c r="P977" s="63"/>
    </x:row>
    <x:row r="978" ht="15.75" hidden="0" customHeight="1">
      <x:c r="D978" s="63"/>
      <x:c r="I978" s="7"/>
      <x:c r="P978" s="63"/>
    </x:row>
    <x:row r="979" ht="15.75" hidden="0" customHeight="1">
      <x:c r="D979" s="63"/>
      <x:c r="I979" s="7"/>
      <x:c r="P979" s="63"/>
    </x:row>
    <x:row r="980" ht="15.75" hidden="0" customHeight="1">
      <x:c r="D980" s="63"/>
      <x:c r="I980" s="7"/>
      <x:c r="P980" s="63"/>
    </x:row>
    <x:row r="981" ht="15.75" hidden="0" customHeight="1">
      <x:c r="D981" s="63"/>
      <x:c r="I981" s="7"/>
      <x:c r="P981" s="63"/>
    </x:row>
    <x:row r="982" ht="15.75" hidden="0" customHeight="1">
      <x:c r="D982" s="63"/>
      <x:c r="I982" s="7"/>
      <x:c r="P982" s="63"/>
    </x:row>
    <x:row r="983" ht="15.75" hidden="0" customHeight="1">
      <x:c r="D983" s="63"/>
      <x:c r="I983" s="7"/>
      <x:c r="P983" s="63"/>
    </x:row>
    <x:row r="984" ht="15.75" hidden="0" customHeight="1">
      <x:c r="D984" s="63"/>
      <x:c r="I984" s="7"/>
      <x:c r="P984" s="63"/>
    </x:row>
    <x:row r="985" ht="15.75" hidden="0" customHeight="1">
      <x:c r="D985" s="63"/>
      <x:c r="I985" s="7"/>
      <x:c r="P985" s="63"/>
    </x:row>
    <x:row r="986" ht="15.75" hidden="0" customHeight="1">
      <x:c r="D986" s="63"/>
      <x:c r="I986" s="7"/>
      <x:c r="P986" s="63"/>
    </x:row>
    <x:row r="987" ht="15.75" hidden="0" customHeight="1">
      <x:c r="D987" s="63"/>
      <x:c r="I987" s="7"/>
      <x:c r="P987" s="63"/>
    </x:row>
    <x:row r="988" ht="15.75" hidden="0" customHeight="1">
      <x:c r="D988" s="63"/>
      <x:c r="I988" s="7"/>
      <x:c r="P988" s="63"/>
    </x:row>
    <x:row r="989" ht="15.75" hidden="0" customHeight="1">
      <x:c r="D989" s="63"/>
      <x:c r="I989" s="7"/>
      <x:c r="P989" s="63"/>
    </x:row>
    <x:row r="990" ht="15.75" hidden="0" customHeight="1">
      <x:c r="D990" s="63"/>
      <x:c r="I990" s="7"/>
      <x:c r="P990" s="63"/>
    </x:row>
    <x:row r="991" ht="15.75" hidden="0" customHeight="1">
      <x:c r="D991" s="63"/>
      <x:c r="I991" s="7"/>
      <x:c r="P991" s="63"/>
    </x:row>
    <x:row r="992" ht="15.75" hidden="0" customHeight="1">
      <x:c r="D992" s="63"/>
      <x:c r="I992" s="7"/>
      <x:c r="P992" s="63"/>
    </x:row>
    <x:row r="993" ht="15.75" hidden="0" customHeight="1">
      <x:c r="D993" s="63"/>
      <x:c r="I993" s="7"/>
      <x:c r="P993" s="63"/>
    </x:row>
    <x:row r="994" ht="15.75" hidden="0" customHeight="1">
      <x:c r="D994" s="63"/>
      <x:c r="I994" s="7"/>
      <x:c r="P994" s="63"/>
    </x:row>
    <x:row r="995" ht="15.75" hidden="0" customHeight="1">
      <x:c r="D995" s="63"/>
      <x:c r="I995" s="7"/>
      <x:c r="P995" s="63"/>
    </x:row>
    <x:row r="996" ht="15.75" hidden="0" customHeight="1">
      <x:c r="D996" s="63"/>
      <x:c r="I996" s="7"/>
      <x:c r="P996" s="63"/>
    </x:row>
    <x:row r="997" ht="15.75" hidden="0" customHeight="1">
      <x:c r="D997" s="63"/>
      <x:c r="I997" s="7"/>
      <x:c r="P997" s="63"/>
    </x:row>
    <x:row r="998" ht="15.75" hidden="0" customHeight="1">
      <x:c r="D998" s="63"/>
      <x:c r="I998" s="7"/>
      <x:c r="P998" s="63"/>
    </x:row>
    <x:row r="999" ht="15.75" hidden="0" customHeight="1">
      <x:c r="D999" s="63"/>
      <x:c r="I999" s="7"/>
      <x:c r="P999" s="63"/>
    </x:row>
    <x:row r="1000" ht="15.75" hidden="0" customHeight="1">
      <x:c r="D1000" s="63"/>
      <x:c r="I1000" s="7"/>
      <x:c r="P1000" s="63"/>
    </x:row>
    <x:row r="1001" ht="15.75" hidden="0" customHeight="1">
      <x:c r="D1001" s="63"/>
      <x:c r="I1001" s="7"/>
      <x:c r="P1001" s="63"/>
    </x:row>
    <x:row r="1002" ht="15.75" hidden="0" customHeight="1">
      <x:c r="D1002" s="63"/>
      <x:c r="I1002" s="7"/>
      <x:c r="P1002" s="63"/>
    </x:row>
    <x:row r="1003" ht="15.75" hidden="0" customHeight="1">
      <x:c r="D1003" s="63"/>
      <x:c r="I1003" s="7"/>
      <x:c r="P1003" s="63"/>
    </x:row>
    <x:row r="1004" ht="15.75" hidden="0" customHeight="1">
      <x:c r="D1004" s="63"/>
      <x:c r="I1004" s="7"/>
      <x:c r="P1004" s="63"/>
    </x:row>
    <x:row r="1005" ht="15.75" hidden="0" customHeight="1">
      <x:c r="D1005" s="63"/>
      <x:c r="I1005" s="7"/>
      <x:c r="P1005" s="63"/>
    </x:row>
  </x:sheetData>
  <x:pageMargins left="0.7" right="0.7" top="0.75" bottom="0.75" header="0.3" footer="0.3"/>
</x:worksheet>
</file>