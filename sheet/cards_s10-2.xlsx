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新幕シーズン10-2" sheetId="1" state="visible" r:id="rId3"/>
    <sheet name="マスタ"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<sst xmlns="http://schemas.openxmlformats.org/spreadsheetml/2006/main" count="255" uniqueCount="207">
  <si>
    <t xml:space="preserve">カードID</t>
  </si>
  <si>
    <t xml:space="preserve">メガミ</t>
  </si>
  <si>
    <t xml:space="preserve">アナザーID</t>
  </si>
  <si>
    <t xml:space="preserve">置換元カード</t>
  </si>
  <si>
    <t xml:space="preserve">名前</t>
  </si>
  <si>
    <t xml:space="preserve">ふりがな</t>
  </si>
  <si>
    <t xml:space="preserve">名前（中国語）</t>
  </si>
  <si>
    <t xml:space="preserve">名前（中国語G1）</t>
  </si>
  <si>
    <t xml:space="preserve">ふりがな（中国語）</t>
  </si>
  <si>
    <t xml:space="preserve">名前（韓国語）</t>
  </si>
  <si>
    <t xml:space="preserve">名前（英語）</t>
  </si>
  <si>
    <t xml:space="preserve">ふりがな（英語）</t>
  </si>
  <si>
    <t xml:space="preserve">種別</t>
  </si>
  <si>
    <t xml:space="preserve">追加札</t>
  </si>
  <si>
    <t xml:space="preserve">追加元カード</t>
  </si>
  <si>
    <t xml:space="preserve">交換先</t>
  </si>
  <si>
    <t xml:space="preserve">毒</t>
  </si>
  <si>
    <t xml:space="preserve">タイプ</t>
  </si>
  <si>
    <t xml:space="preserve">サブタイプ</t>
  </si>
  <si>
    <t xml:space="preserve">適正距離</t>
  </si>
  <si>
    <t xml:space="preserve">（開）</t>
  </si>
  <si>
    <t xml:space="preserve">ダメージ</t>
  </si>
  <si>
    <t xml:space="preserve">納</t>
  </si>
  <si>
    <t xml:space="preserve">生育</t>
  </si>
  <si>
    <t xml:space="preserve">消費</t>
  </si>
  <si>
    <t xml:space="preserve">偽証</t>
  </si>
  <si>
    <t xml:space="preserve">封印</t>
  </si>
  <si>
    <t xml:space="preserve">取り除く</t>
  </si>
  <si>
    <t xml:space="preserve">投資券</t>
  </si>
  <si>
    <t xml:space="preserve">テキスト</t>
  </si>
  <si>
    <t xml:space="preserve">テキスト補足</t>
  </si>
  <si>
    <t xml:space="preserve">テキスト（中国語）</t>
  </si>
  <si>
    <t xml:space="preserve">テキスト補足（中国語）</t>
  </si>
  <si>
    <t xml:space="preserve">テキスト（中国語G1）</t>
  </si>
  <si>
    <t xml:space="preserve">テキスト補足（中国語G1）</t>
  </si>
  <si>
    <t xml:space="preserve">テキスト（韓国語）</t>
  </si>
  <si>
    <t xml:space="preserve">テキスト補足（韓国語）</t>
  </si>
  <si>
    <t xml:space="preserve">テキスト（英語）</t>
  </si>
  <si>
    <t xml:space="preserve">テキスト補足（英語）</t>
  </si>
  <si>
    <t xml:space="preserve">（開）（中国語）</t>
  </si>
  <si>
    <t xml:space="preserve">（開）（中国語G1）</t>
  </si>
  <si>
    <t xml:space="preserve">（開）（韓国語）</t>
  </si>
  <si>
    <t xml:space="preserve">（開）（英語）</t>
  </si>
  <si>
    <t xml:space="preserve">17-hatsumi-o-s-1</t>
  </si>
  <si>
    <t xml:space="preserve">hatsumi</t>
  </si>
  <si>
    <t xml:space="preserve">イサナ海域</t>
  </si>
  <si>
    <t xml:space="preserve">いさなかいいき</t>
  </si>
  <si>
    <t xml:space="preserve">鲸鱼海域</t>
  </si>
  <si>
    <t xml:space="preserve">이사나 해역</t>
  </si>
  <si>
    <t xml:space="preserve">Cetacean Ocean</t>
  </si>
  <si>
    <t xml:space="preserve">切札</t>
  </si>
  <si>
    <t xml:space="preserve">攻撃</t>
  </si>
  <si>
    <t xml:space="preserve">3-5</t>
  </si>
  <si>
    <t xml:space="preserve">2/1</t>
  </si>
  <si>
    <t xml:space="preserve">【常時】順風ならば、この《攻撃》は+1/+2となる。
【攻撃後】逆風ならば、
ダスト→間合：2
を行い、このカードを未使用に戻す。</t>
  </si>
  <si>
    <t xml:space="preserve">【常时】若顺风，此《攻击》得+1/+2。
【攻击后】若逆风，则：虚→2→距。
然后将此牌变为未使用的状态。</t>
  </si>
  <si>
    <t xml:space="preserve">【상시】순풍이라면, 이 《공격》은 +1/+2된다.
【공격시】역풍이라면,
더스트→간격：2
을 하고, 이 카드를 미사용으로 되돌린다.</t>
  </si>
  <si>
    <t xml:space="preserve">Forced: If there is a tailwind, this attack gains +1/+2.
After Attack: If there is a headwind, Shadow (2)→ Distance, then turn this card face-down.</t>
  </si>
  <si>
    <t xml:space="preserve">20-kanawe-o-n-2</t>
  </si>
  <si>
    <t xml:space="preserve">kanawe</t>
  </si>
  <si>
    <t xml:space="preserve">脚本化</t>
  </si>
  <si>
    <t xml:space="preserve">きゃくほんか</t>
  </si>
  <si>
    <t xml:space="preserve">剧本化</t>
  </si>
  <si>
    <t xml:space="preserve">각본화</t>
  </si>
  <si>
    <t xml:space="preserve">Composition</t>
  </si>
  <si>
    <t xml:space="preserve">通常札</t>
  </si>
  <si>
    <t xml:space="preserve">1/1</t>
  </si>
  <si>
    <t xml:space="preserve">【攻撃後】追加札から構想カードを1枚準備してもよい。
【常時】あなたの終了フェイズにこのカードを捨て札から山札の底に置いてもよい。そうした場合、相手は集中力を1得る。</t>
  </si>
  <si>
    <t xml:space="preserve">【攻击后】你可以从追加牌区的构想牌中准备1张构想。 
【常时】在你的结束阶段你可以将此牌从弃牌放到牌库底。若如此做，对手获得1集中力。</t>
  </si>
  <si>
    <t xml:space="preserve">【공격후】추가패에서 구상 카드를 1장 준비해도 좋다.
【상시】당신의 종료 페이즈에 이 카드가 버림패에 있다면 패산의 아래에 두어도 좋다. 그렇게 했다면, 상대는 집중력 1을 얻는다.</t>
  </si>
  <si>
    <t xml:space="preserve">After Attack: You may prepare one of your set aside Plot cards.
Forced: At the end of your turn, you may move this card from your played pile to the bottom of your deck. If you do, your opponent gains 1 Vigor.</t>
  </si>
  <si>
    <t xml:space="preserve">21-kamuwi-o-s-1</t>
  </si>
  <si>
    <t xml:space="preserve">kamuwi</t>
  </si>
  <si>
    <t xml:space="preserve">灯</t>
  </si>
  <si>
    <t xml:space="preserve">ともしび</t>
  </si>
  <si>
    <t xml:space="preserve">등불</t>
  </si>
  <si>
    <t xml:space="preserve">Kindle</t>
  </si>
  <si>
    <t xml:space="preserve">行動</t>
  </si>
  <si>
    <t xml:space="preserve">5</t>
  </si>
  <si>
    <t xml:space="preserve">(+4) あなたのフレアにある桜花結晶全てをダストに送る。追加札から「暁」を未使用で得る。</t>
  </si>
  <si>
    <t xml:space="preserve">(+3) 将自气的樱花结晶全部移至虚，并给予自命1点伤害。 
从追加牌区以未使用的状态获得『晓』。</t>
  </si>
  <si>
    <t xml:space="preserve">(+4) 당신의 플레어에 있는 벚꽃결정을 전부 더스트로 보낸다. 추가패에서 「새벽」을 미사용 상태로 얻는다.</t>
  </si>
  <si>
    <t xml:space="preserve">(+3): Move all Sakura tokens on your Flare to Shadow. Deal 1 damage to your Life.
Add your set aside "Daybreak" to your Special cards, face-down.
----------</t>
  </si>
  <si>
    <t xml:space="preserve">23-akina-o-n-2</t>
  </si>
  <si>
    <t xml:space="preserve">akina</t>
  </si>
  <si>
    <t xml:space="preserve">恫喝</t>
  </si>
  <si>
    <t xml:space="preserve">どうかつ</t>
  </si>
  <si>
    <t xml:space="preserve">恫吓</t>
  </si>
  <si>
    <t xml:space="preserve">공갈</t>
  </si>
  <si>
    <t xml:space="preserve">Browbeat</t>
  </si>
  <si>
    <t xml:space="preserve">4</t>
  </si>
  <si>
    <t xml:space="preserve">-/0</t>
  </si>
  <si>
    <t xml:space="preserve">○</t>
  </si>
  <si>
    <t xml:space="preserve">投資券
【常時】あなたの資本が相手の資本より大きいならば、この《攻撃》は+0/+1となる。
【攻撃後】あなたの資本が相手の資本以下ならば、このカードを伏せ札にする。</t>
  </si>
  <si>
    <r>
      <rPr>
        <sz val="11"/>
        <color rgb="FF000000"/>
        <rFont val="SimSun"/>
        <family val="0"/>
        <charset val="134"/>
      </rPr>
      <t xml:space="preserve">投资券
</t>
    </r>
    <r>
      <rPr>
        <sz val="9"/>
        <color rgb="FF000000"/>
        <rFont val="SimSun"/>
        <family val="0"/>
        <charset val="128"/>
      </rPr>
      <t xml:space="preserve">【常时】你的资本比对手的资本更多的话，此攻击得+0/+1</t>
    </r>
    <r>
      <rPr>
        <sz val="11"/>
        <color rgb="FF000000"/>
        <rFont val="SimSun"/>
        <family val="0"/>
        <charset val="134"/>
      </rPr>
      <t xml:space="preserve">。
【攻击后】你的资本不比对手的资本多的话，盖伏此卡。</t>
    </r>
  </si>
  <si>
    <t xml:space="preserve">투자권
【상시】 당신의 자본이 상대의 자본보다 크다면, 이 《공격》은 +0/+1 된다.
【공격후】당신의 자본이 상대의 자본 이하라면, 이 카드를 덮음패로 만든다.</t>
  </si>
  <si>
    <t xml:space="preserve">26-innealra-o3-n-6</t>
  </si>
  <si>
    <t xml:space="preserve">innealra</t>
  </si>
  <si>
    <t xml:space="preserve">O3</t>
  </si>
  <si>
    <t xml:space="preserve">26-innealra-o-n-6</t>
  </si>
  <si>
    <t xml:space="preserve">儚き意志</t>
  </si>
  <si>
    <t xml:space="preserve">はかなきいし</t>
  </si>
  <si>
    <t xml:space="preserve">缥缈意志</t>
  </si>
  <si>
    <t xml:space="preserve">덧없는 의지</t>
  </si>
  <si>
    <t xml:space="preserve">付与</t>
  </si>
  <si>
    <t xml:space="preserve">2</t>
  </si>
  <si>
    <t xml:space="preserve">【展開時/破棄時】過去の運命をまだ見ぬ運命へと動かしてもよい。
【常時】この付与札の上の桜花結晶がダストへと送られるならば、代わりにロストへと移動する。</t>
  </si>
  <si>
    <t xml:space="preserve">【展开时】可以将过去的命运移去未知的命运。
 【展开中】达人距离的数值减少1。</t>
  </si>
  <si>
    <t xml:space="preserve">【전개시/파기시】과거의 운명을 아직 보지 않은 운명으로 이동시켜도 된다.
【상시】이 부여패 위의 벚꽃결정이 더스트로 보내진다면, 대신 로스트로 이동한다.</t>
  </si>
  <si>
    <t xml:space="preserve">26-innealra-o3-s-3</t>
  </si>
  <si>
    <t xml:space="preserve">26-innealra-o-s-3</t>
  </si>
  <si>
    <t xml:space="preserve">クレーニャ・アンニャ</t>
  </si>
  <si>
    <t xml:space="preserve">‌宙宇·玄奥无明</t>
  </si>
  <si>
    <t xml:space="preserve">cruinne</t>
  </si>
  <si>
    <t xml:space="preserve">크레냐·안냐</t>
  </si>
  <si>
    <t xml:space="preserve">対応</t>
  </si>
  <si>
    <t xml:space="preserve">0</t>
  </si>
  <si>
    <t xml:space="preserve">過去の運命をまだ見ぬ運命へと動かしてもよい。
自オーラ⇔ロスト：1
【使用済】各ターンの開始フェイズの開始時に攻撃『適正距離0-10、1/1、【常時】この《攻撃》のダメージにより移動する桜花結晶はダストやフレアではなくロストに動かす』を行う。その後、このカードを取り除く。</t>
  </si>
  <si>
    <t xml:space="preserve">可以将过去的命运移去未知的命运。
 【已使用】你的准备步骤开始时，可以进行一次“攻击距离X 伤害2/1 不可避 【常时】X等于迷失的值”的攻击。若如此做，将此卡移出游戏。</t>
  </si>
  <si>
    <t xml:space="preserve">과거의 운명을 보지 못한 운명으로 이동시켜도 된다.
오라(자신)⇔로스트：1
【사용됨】당신의 개시 페이지의 시작시에 공격『적정거리 0-10, 1/1, 【상시】이 공격으로 이동하는 벚꽃결정은 더스트나 플레어로 이동하지 않고 로스트로 이동한다.』를 수행한다. 그 후, 이 카드를 게임에서 제외한다.</t>
  </si>
  <si>
    <t xml:space="preserve">03-himika-o-n-6</t>
  </si>
  <si>
    <t xml:space="preserve">himika</t>
  </si>
  <si>
    <t xml:space="preserve">バックドラフト</t>
  </si>
  <si>
    <t xml:space="preserve">回燃</t>
  </si>
  <si>
    <t xml:space="preserve">Backdraft</t>
  </si>
  <si>
    <t xml:space="preserve">백드래프트</t>
  </si>
  <si>
    <t xml:space="preserve">相手を畏縮させる。
連火―このカードがこのターンに使用した3枚目以降のカードならば、このターンにあなたが次に行う他のメガミによるオーラへのダメージが3以下の《攻撃》は+1/+1となる。</t>
  </si>
  <si>
    <t xml:space="preserve">令对手畏缩。
连火～若此牌是本回合你使用的第3张或更多的牌，则本回合你的下一次其他女神的对装伤害不为「-」的《攻击》得+1/+1。</t>
  </si>
  <si>
    <t xml:space="preserve">상대를 위축시킨다。
 연화-이 카드가 이 턴에 사용한 3장째 이후의 카드라면, 이 턴 당신이 다음에 행하는 다른 여신에 의한 오라 데미지가 3이하의 《공격》을 +1/+1 한다.</t>
  </si>
  <si>
    <r>
      <rPr>
        <sz val="10"/>
        <rFont val="ＭＳ Ｐゴシック"/>
        <family val="3"/>
        <charset val="128"/>
      </rPr>
      <t xml:space="preserve">Flinch your opponent.
</t>
    </r>
    <r>
      <rPr>
        <i val="true"/>
        <sz val="10"/>
        <rFont val="Arial"/>
        <family val="2"/>
        <charset val="1"/>
      </rPr>
      <t xml:space="preserve">Inferno</t>
    </r>
    <r>
      <rPr>
        <sz val="11"/>
        <rFont val="MS PGothic"/>
        <family val="3"/>
        <charset val="128"/>
      </rPr>
      <t xml:space="preserve"> - If this is the third or later card you've played this turn, your next attack this turn from a non-Himika Megami that does not have "-" Damage to </t>
    </r>
    <r>
      <rPr>
        <sz val="10"/>
        <rFont val="Arial"/>
        <family val="2"/>
        <charset val="1"/>
      </rPr>
      <t xml:space="preserve">Aura</t>
    </r>
    <r>
      <rPr>
        <sz val="11"/>
        <rFont val="MS PGothic"/>
        <family val="3"/>
        <charset val="128"/>
      </rPr>
      <t xml:space="preserve"> gains +1/+1.</t>
    </r>
  </si>
  <si>
    <t xml:space="preserve">22-renri-o-n-6</t>
  </si>
  <si>
    <t xml:space="preserve">renri</t>
  </si>
  <si>
    <t xml:space="preserve">魚吊り</t>
  </si>
  <si>
    <t xml:space="preserve">うおつり</t>
  </si>
  <si>
    <t xml:space="preserve">吊魚</t>
  </si>
  <si>
    <t xml:space="preserve">辜毒谄言</t>
  </si>
  <si>
    <t xml:space="preserve">钓鱼</t>
  </si>
  <si>
    <t xml:space="preserve">낚시질</t>
  </si>
  <si>
    <t xml:space="preserve">Motive</t>
  </si>
  <si>
    <t xml:space="preserve">偽証
間合→自フレア：1</t>
  </si>
  <si>
    <t xml:space="preserve">伪证
距→1→自气</t>
  </si>
  <si>
    <t xml:space="preserve">위증
간격→플레어(자신)：1</t>
  </si>
  <si>
    <t xml:space="preserve">18-mizuki-o-s-3</t>
  </si>
  <si>
    <t xml:space="preserve">mizuki</t>
  </si>
  <si>
    <t xml:space="preserve">大手楯無門</t>
  </si>
  <si>
    <t xml:space="preserve">おおてたてなしもん</t>
  </si>
  <si>
    <t xml:space="preserve">大手楯无门</t>
  </si>
  <si>
    <t xml:space="preserve">대수순무문</t>
  </si>
  <si>
    <t xml:space="preserve">Ōte Gate "Tatenashi"</t>
  </si>
  <si>
    <t xml:space="preserve">3</t>
  </si>
  <si>
    <t xml:space="preserve">終端
手札のカードを1枚まで選び、それと追加札の「闘神」を兵舎に徴兵済で置く。
【使用済】あなたが兵舎から使用した《攻撃》カードによる《攻撃》は+1/+0となる。</t>
  </si>
  <si>
    <t xml:space="preserve">终端 
将你的1张手牌和追加牌处的『斗神』以已征兵的状态置入兵营。进行1次征兵。 
【已使用】你从兵营使用的《攻击》牌的《攻击》得+1/+0，从兵营使用的《对应》牌失去终端。</t>
  </si>
  <si>
    <t xml:space="preserve">종단
손패의 카드를 1장까지 고르고 그것과 추가패의 [투신]과 그것들을 병영의 징병된 상태로 놓는다.
징병을 1회 수행한다.
【사용됨】당신이 병영에서 사용한 《공격》카드에 의한 《공격》은 +1/+0을 얻는다.</t>
  </si>
  <si>
    <t xml:space="preserve">Terminal
Put your set aside "Divinity of War" and a card from your hand into your Barracks, conscripted. Conscript a Unit.
Devoted: Attack cards you play from your Barracks gain +1/+0. Reaction cards you play from your Barracks lose Terminal.</t>
  </si>
  <si>
    <t xml:space="preserve">26-innealra-o-n-1</t>
  </si>
  <si>
    <t xml:space="preserve">槍振るい</t>
  </si>
  <si>
    <t xml:space="preserve">やりふるい</t>
  </si>
  <si>
    <t xml:space="preserve">挥枪</t>
  </si>
  <si>
    <t xml:space="preserve">창 휘두르기</t>
  </si>
  <si>
    <t xml:space="preserve">1-5</t>
  </si>
  <si>
    <t xml:space="preserve">【攻撃後】共鳴する。</t>
  </si>
  <si>
    <t xml:space="preserve">【攻击后】进行共鸣。</t>
  </si>
  <si>
    <t xml:space="preserve">【공격후】공명한다</t>
  </si>
  <si>
    <t xml:space="preserve">26-innealra-o2-s-3</t>
  </si>
  <si>
    <t xml:space="preserve">O2</t>
  </si>
  <si>
    <t xml:space="preserve">シキリス・ホリス</t>
  </si>
  <si>
    <r>
      <rPr>
        <sz val="11"/>
        <color rgb="FF000000"/>
        <rFont val="MS PGothic"/>
        <family val="0"/>
        <charset val="128"/>
      </rPr>
      <t xml:space="preserve">同受异诛</t>
    </r>
    <r>
      <rPr>
        <sz val="11"/>
        <color rgb="FF000000"/>
        <rFont val="MS PGothic"/>
        <family val="0"/>
        <charset val="1"/>
      </rPr>
      <t xml:space="preserve">·欲壑难填</t>
    </r>
  </si>
  <si>
    <t xml:space="preserve">scrios</t>
  </si>
  <si>
    <t xml:space="preserve">시키리스·호리스</t>
  </si>
  <si>
    <t xml:space="preserve">1-3</t>
  </si>
  <si>
    <t xml:space="preserve">1</t>
  </si>
  <si>
    <t xml:space="preserve">【常時】この《攻撃》のオーラへのダメージにより移動する桜花結晶はダストでなく間合に動かす。
----
【再起】あなたがこのターン中に2回以上共鳴している。</t>
  </si>
  <si>
    <t xml:space="preserve">【常时】因此《攻击》造成的伤害将移动的樱花结晶改为移去距。
 ----
 【再起】你在本回合进行了至少2次共鸣。</t>
  </si>
  <si>
    <t xml:space="preserve">【상시】이 《공격》의 오라 데미지로 이동하는 벚꽃결정은 더스트가 아니라 간격으로 이동시킨다.
【재기】당신이 이번 턴에 2회 이상 공명하였다.</t>
  </si>
  <si>
    <t xml:space="preserve">26-innealra-o3-f-1</t>
  </si>
  <si>
    <t xml:space="preserve">あこがれ</t>
  </si>
  <si>
    <t xml:space="preserve">憧憬</t>
  </si>
  <si>
    <t xml:space="preserve">동경하다</t>
  </si>
  <si>
    <t xml:space="preserve">運命</t>
  </si>
  <si>
    <t xml:space="preserve">ロスト→ダスト：3
攻撃『適正距離0-3、X/1』を行う。Xはこの矢印（→）で移動した桜花結晶の数に等しい。</t>
  </si>
  <si>
    <t xml:space="preserve">（クリックでまだ見ぬ運命へと移動）</t>
  </si>
  <si>
    <t xml:space="preserve">迷失→3→虚
 若因此效果移动了3个或更多樱花结晶，进行一次“攻击距离0-3 伤害3/1”的攻击。</t>
  </si>
  <si>
    <t xml:space="preserve">（点击即可将其移去未知的命运）</t>
  </si>
  <si>
    <t xml:space="preserve">로스트→더스트:3
공격 『적정거리 0-3, X/1』를 수행한다. X는 이 화살표로 이동한 벚꽃결정의 수와 같다.</t>
  </si>
  <si>
    <t xml:space="preserve">normal</t>
  </si>
  <si>
    <t xml:space="preserve">attack</t>
  </si>
  <si>
    <t xml:space="preserve">special</t>
  </si>
  <si>
    <t xml:space="preserve">action</t>
  </si>
  <si>
    <t xml:space="preserve">extra</t>
  </si>
  <si>
    <t xml:space="preserve">不定</t>
  </si>
  <si>
    <t xml:space="preserve">variable</t>
  </si>
  <si>
    <t xml:space="preserve">transform</t>
  </si>
  <si>
    <t xml:space="preserve">reaction</t>
  </si>
  <si>
    <t xml:space="preserve">嵐</t>
  </si>
  <si>
    <t xml:space="preserve">storm</t>
  </si>
  <si>
    <t xml:space="preserve">全力</t>
  </si>
  <si>
    <t xml:space="preserve">fullpower</t>
  </si>
  <si>
    <t xml:space="preserve">兵員</t>
  </si>
  <si>
    <t xml:space="preserve">troop</t>
  </si>
  <si>
    <t xml:space="preserve">enhance</t>
  </si>
  <si>
    <t xml:space="preserve">構想</t>
  </si>
  <si>
    <t xml:space="preserve">plan</t>
  </si>
  <si>
    <t xml:space="preserve">メインパーツ</t>
  </si>
  <si>
    <t xml:space="preserve">mainParts</t>
  </si>
  <si>
    <t xml:space="preserve">カスタムパーツ</t>
  </si>
  <si>
    <t xml:space="preserve">customParts</t>
  </si>
  <si>
    <t xml:space="preserve">fate</t>
  </si>
</sst>
</file>

<file path=xl/styles.xml><?xml version="1.0" encoding="utf-8"?>
<styleSheet xmlns="http://schemas.openxmlformats.org/spreadsheetml/2006/main">
  <numFmts count="2">
    <numFmt numFmtId="164" formatCode="General"/>
    <numFmt numFmtId="165" formatCode="@"/>
  </numFmts>
  <fonts count="26">
    <font>
      <sz val="11"/>
      <color rgb="FF000000"/>
      <name val="MS PGothic"/>
      <family val="0"/>
      <charset val="1"/>
    </font>
    <font>
      <sz val="10"/>
      <name val="Arial"/>
      <family val="0"/>
      <charset val="128"/>
    </font>
    <font>
      <sz val="10"/>
      <name val="Arial"/>
      <family val="0"/>
      <charset val="128"/>
    </font>
    <font>
      <sz val="10"/>
      <name val="Arial"/>
      <family val="0"/>
      <charset val="128"/>
    </font>
    <font>
      <sz val="12"/>
      <name val="宋体"/>
      <family val="3"/>
      <charset val="128"/>
    </font>
    <font>
      <sz val="11"/>
      <color rgb="FF000000"/>
      <name val="MS PGothic"/>
      <family val="3"/>
      <charset val="128"/>
    </font>
    <font>
      <sz val="10"/>
      <color rgb="FF000000"/>
      <name val="Arial"/>
      <family val="2"/>
      <charset val="1"/>
    </font>
    <font>
      <sz val="11"/>
      <color rgb="FF000000"/>
      <name val="ＭＳ Ｐゴシック"/>
      <family val="3"/>
      <charset val="1"/>
    </font>
    <font>
      <b val="true"/>
      <sz val="11"/>
      <color rgb="FF0000FF"/>
      <name val="ＭＳ Ｐゴシック"/>
      <family val="3"/>
      <charset val="1"/>
    </font>
    <font>
      <sz val="11"/>
      <color rgb="FFC0504D"/>
      <name val="ＭＳ Ｐゴシック"/>
      <family val="3"/>
      <charset val="1"/>
    </font>
    <font>
      <sz val="11"/>
      <color rgb="FF77933C"/>
      <name val="ＭＳ Ｐゴシック"/>
      <family val="3"/>
      <charset val="1"/>
    </font>
    <font>
      <b val="true"/>
      <i val="true"/>
      <sz val="11"/>
      <color rgb="FF000000"/>
      <name val="ＭＳ Ｐゴシック"/>
      <family val="3"/>
      <charset val="1"/>
    </font>
    <font>
      <sz val="11"/>
      <color rgb="FF000000"/>
      <name val="SimSun"/>
      <family val="0"/>
      <charset val="1"/>
    </font>
    <font>
      <sz val="11"/>
      <color rgb="FF000000"/>
      <name val="SimSun"/>
      <family val="0"/>
      <charset val="134"/>
    </font>
    <font>
      <sz val="9"/>
      <color rgb="FF000000"/>
      <name val="SimSun"/>
      <family val="0"/>
      <charset val="128"/>
    </font>
    <font>
      <b val="true"/>
      <i val="true"/>
      <sz val="11"/>
      <color rgb="FF000000"/>
      <name val="MS PGothic"/>
      <family val="3"/>
      <charset val="128"/>
    </font>
    <font>
      <sz val="10"/>
      <name val="ＭＳ Ｐゴシック"/>
      <family val="3"/>
      <charset val="128"/>
    </font>
    <font>
      <i val="true"/>
      <sz val="10"/>
      <name val="Arial"/>
      <family val="2"/>
      <charset val="1"/>
    </font>
    <font>
      <sz val="11"/>
      <name val="MS PGothic"/>
      <family val="3"/>
      <charset val="128"/>
    </font>
    <font>
      <sz val="10"/>
      <name val="Arial"/>
      <family val="2"/>
      <charset val="1"/>
    </font>
    <font>
      <sz val="11"/>
      <color rgb="FF000000"/>
      <name val="ＭＳ Ｐゴシック"/>
      <family val="3"/>
      <charset val="128"/>
    </font>
    <font>
      <sz val="11"/>
      <name val="ＭＳ Ｐゴシック"/>
      <family val="3"/>
      <charset val="128"/>
    </font>
    <font>
      <sz val="11"/>
      <color rgb="FF000000"/>
      <name val="NSimSun"/>
      <family val="3"/>
      <charset val="134"/>
    </font>
    <font>
      <sz val="11"/>
      <color rgb="FF000000"/>
      <name val="MS PGothic"/>
      <family val="0"/>
      <charset val="128"/>
    </font>
    <font>
      <sz val="11"/>
      <color rgb="FF4F81BD"/>
      <name val="ＭＳ Ｐゴシック"/>
      <family val="3"/>
      <charset val="1"/>
    </font>
    <font>
      <sz val="11"/>
      <color rgb="FF000000"/>
      <name val="Calibri"/>
      <family val="2"/>
      <charset val="1"/>
    </font>
  </fonts>
  <fills count="5">
    <fill>
      <patternFill patternType="none"/>
    </fill>
    <fill>
      <patternFill patternType="gray125"/>
    </fill>
    <fill>
      <patternFill patternType="solid">
        <fgColor rgb="FFBFBFBF"/>
        <bgColor rgb="FFCCCCCC"/>
      </patternFill>
    </fill>
    <fill>
      <patternFill patternType="solid">
        <fgColor rgb="FFFFFFE0"/>
        <bgColor rgb="FFFFFFD7"/>
      </patternFill>
    </fill>
    <fill>
      <patternFill patternType="solid">
        <fgColor rgb="FFFFFFD7"/>
        <bgColor rgb="FFFFFFE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fals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21" applyFont="true" applyBorder="false" applyAlignment="true" applyProtection="true">
      <alignment horizontal="general" vertical="center" textRotation="0" wrapText="false" indent="0" shrinkToFit="false"/>
      <protection locked="true" hidden="false"/>
    </xf>
    <xf numFmtId="165" fontId="7" fillId="0" borderId="0" xfId="21" applyFont="true" applyBorder="false" applyAlignment="true" applyProtection="true">
      <alignment horizontal="general" vertical="top" textRotation="0" wrapText="false" indent="0" shrinkToFit="false"/>
      <protection locked="true" hidden="false"/>
    </xf>
    <xf numFmtId="165" fontId="7" fillId="2" borderId="0" xfId="21" applyFont="true" applyBorder="true" applyAlignment="true" applyProtection="true">
      <alignment horizontal="general" vertical="center" textRotation="0" wrapText="false" indent="0" shrinkToFit="false"/>
      <protection locked="true" hidden="false"/>
    </xf>
    <xf numFmtId="165" fontId="7" fillId="0" borderId="0" xfId="21" applyFont="true" applyBorder="false" applyAlignment="true" applyProtection="true">
      <alignment horizontal="general" vertical="center" textRotation="0" wrapText="tru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0" fillId="2" borderId="0" xfId="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tru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top" textRotation="0" wrapText="false" indent="0" shrinkToFit="false"/>
      <protection locked="true" hidden="false"/>
    </xf>
    <xf numFmtId="165" fontId="7" fillId="0" borderId="0" xfId="0" applyFont="true" applyBorder="false" applyAlignment="true" applyProtection="true">
      <alignment horizontal="general" vertical="center" textRotation="0" wrapText="true" indent="0" shrinkToFit="false"/>
      <protection locked="true" hidden="false"/>
    </xf>
    <xf numFmtId="165"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5" fontId="7" fillId="0" borderId="0" xfId="0" applyFont="true" applyBorder="true" applyAlignment="true" applyProtection="true">
      <alignment horizontal="general" vertical="center" textRotation="0" wrapText="true" indent="0" shrinkToFit="false"/>
      <protection locked="true" hidden="false"/>
    </xf>
    <xf numFmtId="164" fontId="7" fillId="0" borderId="0" xfId="21" applyFont="true" applyBorder="true" applyAlignment="true" applyProtection="true">
      <alignment horizontal="general" vertical="bottom" textRotation="0" wrapText="false" indent="0" shrinkToFit="false"/>
      <protection locked="true" hidden="false"/>
    </xf>
    <xf numFmtId="164" fontId="7" fillId="0" borderId="0" xfId="21" applyFont="true" applyBorder="false" applyAlignment="true" applyProtection="true">
      <alignment horizontal="general" vertical="center" textRotation="0" wrapText="true" indent="0" shrinkToFit="false"/>
      <protection locked="true" hidden="false"/>
    </xf>
    <xf numFmtId="165" fontId="7" fillId="3" borderId="0" xfId="21" applyFont="true" applyBorder="false" applyAlignment="true" applyProtection="true">
      <alignment horizontal="general" vertical="top" textRotation="0" wrapText="true" indent="0" shrinkToFit="false"/>
      <protection locked="true" hidden="false"/>
    </xf>
    <xf numFmtId="165" fontId="7" fillId="0" borderId="0" xfId="21" applyFont="true" applyBorder="false" applyAlignment="true" applyProtection="true">
      <alignment horizontal="general" vertical="top" textRotation="0" wrapText="true" indent="0" shrinkToFit="false"/>
      <protection locked="true" hidden="false"/>
    </xf>
    <xf numFmtId="165" fontId="7" fillId="4" borderId="1" xfId="21" applyFont="true" applyBorder="true" applyAlignment="true" applyProtection="true">
      <alignment horizontal="general" vertical="center" textRotation="0" wrapText="true" indent="0" shrinkToFit="false"/>
      <protection locked="true" hidden="false"/>
    </xf>
    <xf numFmtId="164" fontId="7" fillId="0" borderId="0" xfId="21" applyFont="true" applyBorder="tru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center" textRotation="0" wrapText="false" indent="0" shrinkToFit="false"/>
      <protection locked="true" hidden="false"/>
    </xf>
    <xf numFmtId="165" fontId="12"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5" fontId="0" fillId="0" borderId="0" xfId="0" applyFont="true" applyBorder="false" applyAlignment="true" applyProtection="true">
      <alignment horizontal="general" vertical="center" textRotation="0" wrapText="true" indent="0" shrinkToFit="false"/>
      <protection locked="true" hidden="false"/>
    </xf>
    <xf numFmtId="165" fontId="13"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center" textRotation="0" wrapText="false" indent="0" shrinkToFit="false"/>
      <protection locked="true" hidden="false"/>
    </xf>
    <xf numFmtId="165" fontId="5" fillId="0"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5" fontId="0" fillId="4" borderId="0" xfId="0" applyFont="tru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5" fontId="7" fillId="4" borderId="0" xfId="0" applyFont="true" applyBorder="fals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5" fontId="20" fillId="0" borderId="0" xfId="21" applyFont="true" applyBorder="false" applyAlignment="true" applyProtection="true">
      <alignment horizontal="general" vertical="center" textRotation="0" wrapText="false" indent="0" shrinkToFit="false"/>
      <protection locked="true" hidden="false"/>
    </xf>
    <xf numFmtId="165" fontId="20" fillId="0" borderId="0" xfId="21" applyFont="true" applyBorder="false" applyAlignment="true" applyProtection="true">
      <alignment horizontal="general" vertical="top" textRotation="0" wrapText="false" indent="0" shrinkToFit="false"/>
      <protection locked="true" hidden="false"/>
    </xf>
    <xf numFmtId="164" fontId="20" fillId="0" borderId="0" xfId="21" applyFont="true" applyBorder="false" applyAlignment="true" applyProtection="true">
      <alignment horizontal="general" vertical="center" textRotation="0" wrapText="false" indent="0" shrinkToFit="false"/>
      <protection locked="true" hidden="false"/>
    </xf>
    <xf numFmtId="165" fontId="5" fillId="0" borderId="0" xfId="21" applyFont="true" applyBorder="false" applyAlignment="true" applyProtection="true">
      <alignment horizontal="general" vertical="center" textRotation="0" wrapText="false" indent="0" shrinkToFit="false"/>
      <protection locked="true" hidden="false"/>
    </xf>
    <xf numFmtId="165" fontId="5" fillId="0" borderId="0" xfId="21" applyFont="true" applyBorder="false" applyAlignment="true" applyProtection="true">
      <alignment horizontal="general" vertical="center" textRotation="0" wrapText="true" indent="0" shrinkToFit="false"/>
      <protection locked="true" hidden="false"/>
    </xf>
    <xf numFmtId="164" fontId="21" fillId="0" borderId="0" xfId="21" applyFont="true" applyBorder="false" applyAlignment="true" applyProtection="true">
      <alignment horizontal="general" vertical="center" textRotation="0" wrapText="true" indent="0" shrinkToFit="false"/>
      <protection locked="true" hidden="false"/>
    </xf>
    <xf numFmtId="165" fontId="21" fillId="0" borderId="0" xfId="21" applyFont="true" applyBorder="false" applyAlignment="true" applyProtection="true">
      <alignment horizontal="general" vertical="center" textRotation="0" wrapText="true" indent="0" shrinkToFit="false"/>
      <protection locked="true" hidden="false"/>
    </xf>
    <xf numFmtId="165" fontId="22" fillId="3" borderId="0" xfId="21" applyFont="true" applyBorder="false" applyAlignment="true" applyProtection="true">
      <alignment horizontal="general" vertical="top" textRotation="0" wrapText="true" indent="0" shrinkToFit="false"/>
      <protection locked="true" hidden="false"/>
    </xf>
    <xf numFmtId="165" fontId="20" fillId="0" borderId="0" xfId="21" applyFont="true" applyBorder="false" applyAlignment="true" applyProtection="true">
      <alignment horizontal="general" vertical="center" textRotation="0" wrapText="true" indent="0" shrinkToFit="false"/>
      <protection locked="true" hidden="false"/>
    </xf>
    <xf numFmtId="165" fontId="20" fillId="0" borderId="0" xfId="21" applyFont="true" applyBorder="false" applyAlignment="true" applyProtection="true">
      <alignment horizontal="general" vertical="top" textRotation="0" wrapText="true" indent="0" shrinkToFit="false"/>
      <protection locked="true" hidden="false"/>
    </xf>
    <xf numFmtId="165" fontId="20" fillId="4" borderId="0" xfId="21" applyFont="true" applyBorder="false" applyAlignment="true" applyProtection="true">
      <alignment horizontal="general" vertical="center" textRotation="0" wrapText="true" indent="0" shrinkToFit="false"/>
      <protection locked="true" hidden="false"/>
    </xf>
    <xf numFmtId="164" fontId="21" fillId="0" borderId="0" xfId="21"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center" textRotation="0" wrapText="false" indent="0" shrinkToFit="false"/>
      <protection locked="true" hidden="false"/>
    </xf>
    <xf numFmtId="165" fontId="24" fillId="0" borderId="0" xfId="0" applyFont="true" applyBorder="false" applyAlignment="true" applyProtection="true">
      <alignment horizontal="general" vertical="center" textRotation="0" wrapText="true" indent="0" shrinkToFit="false"/>
      <protection locked="true" hidden="false"/>
    </xf>
    <xf numFmtId="165" fontId="7" fillId="0" borderId="1" xfId="0" applyFont="true" applyBorder="true" applyAlignment="true" applyProtection="true">
      <alignment horizontal="general" vertical="center" textRotation="0" wrapText="true" indent="0" shrinkToFit="false"/>
      <protection locked="true" hidden="false"/>
    </xf>
    <xf numFmtId="164" fontId="11" fillId="0" borderId="0"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 name="標準 2" xfId="21"/>
    <cellStyle name="標準 3" xfId="22"/>
    <cellStyle name="標準 4" xfId="23"/>
  </cellStyles>
  <colors>
    <indexedColors>
      <rgbColor rgb="FF000000"/>
      <rgbColor rgb="FFFFFFE0"/>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808080"/>
      <rgbColor rgb="FF9999FF"/>
      <rgbColor rgb="FFC0504D"/>
      <rgbColor rgb="FFFFFFD7"/>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1048576"/>
  <sheetViews>
    <sheetView showFormulas="false" showGridLines="true" showRowColHeaders="true" showZeros="true" rightToLeft="false" tabSelected="true" showOutlineSymbols="true" defaultGridColor="true" view="normal" topLeftCell="AN1" colorId="64" zoomScale="100" zoomScaleNormal="100" zoomScalePageLayoutView="100" workbookViewId="0">
      <selection pane="topLeft" activeCell="AT2" activeCellId="0" sqref="AT2"/>
    </sheetView>
  </sheetViews>
  <sheetFormatPr defaultColWidth="8.57421875" defaultRowHeight="13.8" customHeight="false" zeroHeight="false" outlineLevelRow="0" outlineLevelCol="0"/>
  <cols>
    <col collapsed="false" customWidth="true" hidden="false" outlineLevel="0" max="1" min="1" style="1" width="19.38"/>
    <col collapsed="false" customWidth="true" hidden="false" outlineLevel="0" max="2" min="2" style="1" width="6.88"/>
    <col collapsed="false" customWidth="true" hidden="false" outlineLevel="0" max="3" min="3" style="1" width="9"/>
    <col collapsed="false" customWidth="true" hidden="false" outlineLevel="0" max="4" min="4" style="1" width="23.88"/>
    <col collapsed="false" customWidth="true" hidden="false" outlineLevel="0" max="5" min="5" style="1" width="16.77"/>
    <col collapsed="false" customWidth="true" hidden="false" outlineLevel="0" max="6" min="6" style="1" width="26.89"/>
    <col collapsed="false" customWidth="true" hidden="false" outlineLevel="0" max="8" min="7" style="1" width="16.38"/>
    <col collapsed="false" customWidth="true" hidden="false" outlineLevel="0" max="9" min="9" style="1" width="15.77"/>
    <col collapsed="false" customWidth="true" hidden="false" outlineLevel="0" max="10" min="10" style="1" width="16.38"/>
    <col collapsed="false" customWidth="true" hidden="false" outlineLevel="0" max="11" min="11" style="1" width="43.12"/>
    <col collapsed="false" customWidth="true" hidden="false" outlineLevel="0" max="12" min="12" style="1" width="16.38"/>
    <col collapsed="false" customWidth="true" hidden="false" outlineLevel="0" max="13" min="13" style="1" width="6.88"/>
    <col collapsed="false" customWidth="true" hidden="false" outlineLevel="0" max="14" min="14" style="1" width="4.87"/>
    <col collapsed="false" customWidth="true" hidden="false" outlineLevel="0" max="15" min="15" style="1" width="18.12"/>
    <col collapsed="false" customWidth="true" hidden="false" outlineLevel="0" max="16" min="16" style="1" width="14.27"/>
    <col collapsed="false" customWidth="true" hidden="false" outlineLevel="0" max="17" min="17" style="1" width="6.2"/>
    <col collapsed="false" customWidth="true" hidden="false" outlineLevel="0" max="19" min="18" style="1" width="6.88"/>
    <col collapsed="false" customWidth="true" hidden="false" outlineLevel="0" max="23" min="20" style="1" width="9.76"/>
    <col collapsed="false" customWidth="true" hidden="false" outlineLevel="0" max="30" min="24" style="1" width="6.88"/>
    <col collapsed="false" customWidth="true" hidden="false" outlineLevel="0" max="31" min="31" style="1" width="57.37"/>
    <col collapsed="false" customWidth="true" hidden="false" outlineLevel="0" max="32" min="32" style="1" width="24.75"/>
    <col collapsed="false" customWidth="true" hidden="false" outlineLevel="0" max="33" min="33" style="1" width="45.5"/>
    <col collapsed="false" customWidth="true" hidden="false" outlineLevel="0" max="34" min="34" style="1" width="15.62"/>
    <col collapsed="false" customWidth="true" hidden="false" outlineLevel="0" max="35" min="35" style="1" width="45.5"/>
    <col collapsed="false" customWidth="true" hidden="false" outlineLevel="0" max="36" min="36" style="1" width="15.62"/>
    <col collapsed="false" customWidth="true" hidden="false" outlineLevel="0" max="37" min="37" style="1" width="45.5"/>
    <col collapsed="false" customWidth="true" hidden="false" outlineLevel="0" max="38" min="38" style="1" width="15.62"/>
    <col collapsed="false" customWidth="true" hidden="false" outlineLevel="0" max="39" min="39" style="1" width="42.88"/>
    <col collapsed="false" customWidth="true" hidden="false" outlineLevel="0" max="40" min="40" style="1" width="15.62"/>
    <col collapsed="false" customWidth="true" hidden="false" outlineLevel="0" max="41" min="41" style="1" width="106.25"/>
    <col collapsed="false" customWidth="true" hidden="false" outlineLevel="0" max="45" min="42" style="1" width="18.77"/>
    <col collapsed="false" customWidth="true" hidden="false" outlineLevel="0" max="46" min="46" style="1" width="109.25"/>
    <col collapsed="false" customWidth="true" hidden="false" outlineLevel="0" max="47" min="47" style="1" width="63"/>
    <col collapsed="false" customWidth="true" hidden="false" outlineLevel="0" max="48" min="48" style="1" width="30.75"/>
    <col collapsed="false" customWidth="true" hidden="false" outlineLevel="0" max="1025" min="49" style="1" width="12.62"/>
    <col collapsed="false" customWidth="false" hidden="false" outlineLevel="0" max="16384" min="1026" style="2" width="8.57"/>
  </cols>
  <sheetData>
    <row r="1" customFormat="false" ht="13.8" hidden="false" customHeight="false" outlineLevel="0" collapsed="false">
      <c r="A1" s="3" t="s">
        <v>0</v>
      </c>
      <c r="B1" s="3" t="s">
        <v>1</v>
      </c>
      <c r="C1" s="3" t="s">
        <v>2</v>
      </c>
      <c r="D1" s="3" t="s">
        <v>3</v>
      </c>
      <c r="E1" s="3" t="s">
        <v>4</v>
      </c>
      <c r="F1" s="3" t="s">
        <v>5</v>
      </c>
      <c r="G1" s="3" t="s">
        <v>6</v>
      </c>
      <c r="H1" s="3" t="s">
        <v>7</v>
      </c>
      <c r="I1" s="4" t="s">
        <v>8</v>
      </c>
      <c r="J1" s="3" t="s">
        <v>9</v>
      </c>
      <c r="K1" s="3" t="s">
        <v>10</v>
      </c>
      <c r="L1" s="3" t="s">
        <v>11</v>
      </c>
      <c r="M1" s="3" t="s">
        <v>12</v>
      </c>
      <c r="N1" s="3" t="s">
        <v>13</v>
      </c>
      <c r="O1" s="3" t="s">
        <v>14</v>
      </c>
      <c r="P1" s="3" t="s">
        <v>15</v>
      </c>
      <c r="Q1" s="3" t="s">
        <v>16</v>
      </c>
      <c r="R1" s="3" t="s">
        <v>17</v>
      </c>
      <c r="S1" s="3" t="s">
        <v>18</v>
      </c>
      <c r="T1" s="3" t="s">
        <v>19</v>
      </c>
      <c r="U1" s="5" t="s">
        <v>20</v>
      </c>
      <c r="V1" s="3" t="s">
        <v>21</v>
      </c>
      <c r="W1" s="5" t="s">
        <v>20</v>
      </c>
      <c r="X1" s="3" t="s">
        <v>22</v>
      </c>
      <c r="Y1" s="3" t="s">
        <v>23</v>
      </c>
      <c r="Z1" s="3" t="s">
        <v>24</v>
      </c>
      <c r="AA1" s="3" t="s">
        <v>25</v>
      </c>
      <c r="AB1" s="3" t="s">
        <v>26</v>
      </c>
      <c r="AC1" s="3" t="s">
        <v>27</v>
      </c>
      <c r="AD1" s="3" t="s">
        <v>28</v>
      </c>
      <c r="AE1" s="3" t="s">
        <v>29</v>
      </c>
      <c r="AF1" s="3" t="s">
        <v>30</v>
      </c>
      <c r="AG1" s="3" t="s">
        <v>31</v>
      </c>
      <c r="AH1" s="3" t="s">
        <v>32</v>
      </c>
      <c r="AI1" s="3" t="s">
        <v>33</v>
      </c>
      <c r="AJ1" s="3" t="s">
        <v>34</v>
      </c>
      <c r="AK1" s="6" t="s">
        <v>35</v>
      </c>
      <c r="AL1" s="3" t="s">
        <v>36</v>
      </c>
      <c r="AM1" s="3" t="s">
        <v>37</v>
      </c>
      <c r="AN1" s="3" t="s">
        <v>38</v>
      </c>
      <c r="AO1" s="3" t="s">
        <v>20</v>
      </c>
      <c r="AP1" s="3" t="s">
        <v>39</v>
      </c>
      <c r="AQ1" s="3" t="s">
        <v>40</v>
      </c>
      <c r="AR1" s="3" t="s">
        <v>41</v>
      </c>
      <c r="AS1" s="3" t="s">
        <v>42</v>
      </c>
    </row>
    <row r="2" s="2" customFormat="true" ht="57" hidden="false" customHeight="false" outlineLevel="0" collapsed="false">
      <c r="A2" s="2" t="s">
        <v>43</v>
      </c>
      <c r="B2" s="2" t="s">
        <v>44</v>
      </c>
      <c r="E2" s="2" t="s">
        <v>45</v>
      </c>
      <c r="F2" s="2" t="s">
        <v>46</v>
      </c>
      <c r="G2" s="2" t="s">
        <v>47</v>
      </c>
      <c r="H2" s="2" t="s">
        <v>47</v>
      </c>
      <c r="J2" s="2" t="s">
        <v>48</v>
      </c>
      <c r="K2" s="2" t="s">
        <v>49</v>
      </c>
      <c r="M2" s="2" t="s">
        <v>50</v>
      </c>
      <c r="R2" s="2" t="s">
        <v>51</v>
      </c>
      <c r="T2" s="2" t="s">
        <v>52</v>
      </c>
      <c r="U2" s="5"/>
      <c r="V2" s="7" t="s">
        <v>53</v>
      </c>
      <c r="W2" s="5"/>
      <c r="Z2" s="2" t="n">
        <v>3</v>
      </c>
      <c r="AE2" s="8" t="s">
        <v>54</v>
      </c>
      <c r="AG2" s="8" t="s">
        <v>55</v>
      </c>
      <c r="AI2" s="8"/>
      <c r="AK2" s="8" t="s">
        <v>56</v>
      </c>
      <c r="AM2" s="8" t="s">
        <v>57</v>
      </c>
      <c r="AO2" s="9"/>
      <c r="AP2" s="9"/>
      <c r="AQ2" s="9"/>
      <c r="AR2" s="9"/>
      <c r="AS2" s="9"/>
      <c r="AT2" s="10" t="str">
        <f aca="false">IF(A2="", "","'"&amp;A2&amp;"':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'"&amp;SUBSTITUTE(SUBSTITUTE(AE2, CHAR(13), ""),CHAR(10),"\n")&amp;IF(AF2&lt;&gt;"", "', textAdditional: '"&amp;SUBSTITUTE(SUBSTITUTE(AF2, CHAR(13), ""),CHAR(10),"\n"), "")&amp;"', textZh: '"&amp;SUBSTITUTE(SUBSTITUTE(SUBSTITUTE(AG2, CHAR(13), ""),CHAR(10),"\n"),"'","\'")&amp;"', textZhG1: '"&amp;SUBSTITUTE(SUBSTITUTE(SUBSTITUTE(AI2, CHAR(13), ""),CHAR(10),"\n"),"'","\'")&amp;IF(AH2&lt;&gt;"", "', textZhAdditional: '"&amp;SUBSTITUTE(SUBSTITUTE(AH2, CHAR(13), ""),CHAR(10),"\n"), "")&amp;IF(AJ2&lt;&gt;"", "', textZhG1Additional: '"&amp;SUBSTITUTE(SUBSTITUTE(AJ2, CHAR(13), ""),CHAR(10),"\n"), "")&amp;"', textKo: '"&amp;SUBSTITUTE(SUBSTITUTE(SUBSTITUTE(AK2, CHAR(13), ""),CHAR(10),"\n"),"'","\'")&amp;IF(AL2&lt;&gt;"", "', textKoAdditional: '"&amp;SUBSTITUTE(SUBSTITUTE(AL2, CHAR(13), ""),CHAR(10),"\n"), "")&amp;"', textEn: '"&amp;SUBSTITUTE(SUBSTITUTE(SUBSTITUTE(AM2, CHAR(13), ""),CHAR(10),"\n"),"'","\'")&amp;IF(AN2&lt;&gt;"", "', textEnAdditional: '"&amp;SUBSTITUTE(SUBSTITUTE(AN2, CHAR(13), ""),CHAR(10),"\n"), "")&amp;"'"&amp;IF(AB2="○",", sealable: true","")&amp;IF(AC2="○",", removable: true","")&amp;IF(AA2="○",", lie: true","")&amp;IF(AD2="○",", investable: true","")&amp;"},")</f>
        <v>'17-hatsumi-o-s-1': {megami: 'hatsumi', name: 'イサナ海域', nameEn: 'Cetacean Ocean', nameZh: '鲸鱼海域', nameZhG1: '鲸鱼海域', nameKo: '이사나 해역', ruby: 'いさなかいいき', rubyEn: '', baseType: 'special', type: 'attack', range: '3-5', damage: '2/1', cost: '3', text: '【常時】順風ならば、この《攻撃》は+1/+2となる。\n【攻撃後】逆風ならば、\nダスト→間合：2\nを行い、このカードを未使用に戻す。', textZh: '【常时】若顺风，此《攻击》得+1/+2。\n【攻击后】若逆风，则：虚→2→距。\n然后将此牌变为未使用的状态。', textZhG1: '', textKo: '【상시】순풍이라면, 이 《공격》은 +1/+2된다.\n【공격시】역풍이라면,\n더스트→간격：2\n을 하고, 이 카드를 미사용으로 되돌린다.', textEn: 'Forced: If there is a tailwind, this attack gains +1/+2.\n\nAfter Attack: If there is a headwind, Shadow (2)→ Distance, then turn this card face-down.'},</v>
      </c>
      <c r="AU2" s="11" t="str">
        <f aca="false">IF($A2&lt;&gt;"", "    /** 《"&amp;$E2&amp;"》 */ export const "&amp;SUBSTITUTE(UPPER(IF(MID($A2, 3, 1)="-", RIGHT($A2,LEN($A2)-3), $A2)), "-", "_")&amp;": TCardId = '"&amp;$A2&amp;"';", "")</f>
        <v>    /** 《イサナ海域》 */ export const HATSUMI_O_S_1: TCardId = '17-hatsumi-o-s-1';</v>
      </c>
      <c r="AV2" s="12" t="str">
        <f aca="false">IF($A2&lt;&gt;"", "    | '"&amp;$A2&amp;"'", "")</f>
        <v>    | '17-hatsumi-o-s-1'</v>
      </c>
      <c r="AW2" s="13"/>
      <c r="AX2" s="13"/>
      <c r="AY2" s="13"/>
      <c r="AZ2" s="13"/>
      <c r="BA2" s="13"/>
      <c r="BB2" s="13"/>
      <c r="BC2" s="13"/>
      <c r="BD2" s="13"/>
      <c r="BE2" s="13"/>
      <c r="BF2" s="13"/>
      <c r="BG2" s="13"/>
      <c r="BH2" s="13"/>
      <c r="BI2" s="13"/>
      <c r="BJ2" s="13"/>
      <c r="BK2" s="13"/>
      <c r="BL2" s="13"/>
      <c r="BM2" s="13"/>
      <c r="BN2" s="13"/>
      <c r="BO2" s="13"/>
      <c r="BP2" s="13"/>
      <c r="BQ2" s="13"/>
      <c r="BR2" s="13"/>
      <c r="BS2" s="13"/>
    </row>
    <row r="3" s="2" customFormat="true" ht="68" hidden="false" customHeight="false" outlineLevel="0" collapsed="false">
      <c r="A3" s="14" t="s">
        <v>58</v>
      </c>
      <c r="B3" s="14" t="s">
        <v>59</v>
      </c>
      <c r="C3" s="14"/>
      <c r="D3" s="14"/>
      <c r="E3" s="14" t="s">
        <v>60</v>
      </c>
      <c r="F3" s="14" t="s">
        <v>61</v>
      </c>
      <c r="G3" s="15" t="s">
        <v>62</v>
      </c>
      <c r="H3" s="14" t="s">
        <v>60</v>
      </c>
      <c r="I3" s="16"/>
      <c r="J3" s="15" t="s">
        <v>63</v>
      </c>
      <c r="K3" s="15" t="s">
        <v>64</v>
      </c>
      <c r="L3" s="14"/>
      <c r="M3" s="14" t="s">
        <v>65</v>
      </c>
      <c r="N3" s="14"/>
      <c r="O3" s="14"/>
      <c r="P3" s="14"/>
      <c r="Q3" s="14"/>
      <c r="R3" s="14" t="s">
        <v>51</v>
      </c>
      <c r="S3" s="14"/>
      <c r="T3" s="14" t="s">
        <v>52</v>
      </c>
      <c r="U3" s="5"/>
      <c r="V3" s="7" t="s">
        <v>66</v>
      </c>
      <c r="W3" s="5"/>
      <c r="X3" s="14"/>
      <c r="Y3" s="14"/>
      <c r="Z3" s="14"/>
      <c r="AA3" s="14"/>
      <c r="AB3" s="17"/>
      <c r="AC3" s="17"/>
      <c r="AD3" s="18"/>
      <c r="AE3" s="17" t="s">
        <v>67</v>
      </c>
      <c r="AF3" s="19"/>
      <c r="AG3" s="19" t="s">
        <v>68</v>
      </c>
      <c r="AH3" s="20"/>
      <c r="AI3" s="19"/>
      <c r="AJ3" s="17"/>
      <c r="AK3" s="21" t="s">
        <v>69</v>
      </c>
      <c r="AL3" s="17"/>
      <c r="AM3" s="21" t="s">
        <v>70</v>
      </c>
      <c r="AN3" s="17"/>
      <c r="AO3" s="9"/>
      <c r="AP3" s="9"/>
      <c r="AQ3" s="9"/>
      <c r="AR3" s="9"/>
      <c r="AS3" s="9"/>
      <c r="AT3" s="10" t="str">
        <f aca="false">IF(A3="", "","'"&amp;A3&amp;"':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textZhG1: '"&amp;SUBSTITUTE(SUBSTITUTE(SUBSTITUTE(AI3, CHAR(13), ""),CHAR(10),"\n"),"'","\'")&amp;IF(AH3&lt;&gt;"", "', textZhAdditional: '"&amp;SUBSTITUTE(SUBSTITUTE(AH3, CHAR(13), ""),CHAR(10),"\n"), "")&amp;IF(AJ3&lt;&gt;"", "', textZhG1Additional: '"&amp;SUBSTITUTE(SUBSTITUTE(AJ3, CHAR(13), ""),CHAR(10),"\n"), "")&amp;"', textKo: '"&amp;SUBSTITUTE(SUBSTITUTE(SUBSTITUTE(AK3, CHAR(13), ""),CHAR(10),"\n"),"'","\'")&amp;IF(AL3&lt;&gt;"", "', textKoAdditional: '"&amp;SUBSTITUTE(SUBSTITUTE(AL3, CHAR(13), ""),CHAR(10),"\n"), "")&amp;"', textEn: '"&amp;SUBSTITUTE(SUBSTITUTE(SUBSTITUTE(AM3, CHAR(13), ""),CHAR(10),"\n"),"'","\'")&amp;IF(AN3&lt;&gt;"", "', textEnAdditional: '"&amp;SUBSTITUTE(SUBSTITUTE(AN3, CHAR(13), ""),CHAR(10),"\n"), "")&amp;"'"&amp;IF(AB3="○",", sealable: true","")&amp;IF(AC3="○",", removable: true","")&amp;IF(AA3="○",", lie: true","")&amp;IF(AD3="○",", investable: true","")&amp;"},")</f>
        <v>'20-kanawe-o-n-2': {megami: 'kanawe', name: '脚本化', nameEn: 'Composition', nameZh: '剧本化', nameZhG1: '脚本化', nameKo: '각본화', ruby: 'きゃくほんか', rubyEn: '', baseType: 'normal', type: 'attack', range: '3-5', damage: '1/1', text: '【攻撃後】追加札から構想カードを1枚準備してもよい。\n【常時】あなたの終了フェイズにこのカードを捨て札から山札の底に置いてもよい。そうした場合、相手は集中力を1得る。', textZh: '【攻击后】你可以从追加牌区的构想牌中准备1张构想。 \n【常时】在你的结束阶段你可以将此牌从弃牌放到牌库底。若如此做，对手获得1集中力。', textZhG1: '', textKo: '【공격후】추가패에서 구상 카드를 1장 준비해도 좋다.\n【상시】당신의 종료 페이즈에 이 카드가 버림패에 있다면 패산의 아래에 두어도 좋다. 그렇게 했다면, 상대는 집중력 1을 얻는다.', textEn: 'After Attack: You may prepare one of your set aside Plot cards.\n\nForced: At the end of your turn, you may move this card from your played pile to the bottom of your deck. If you do, your opponent gains 1 Vigor.'},</v>
      </c>
      <c r="AU3" s="11" t="str">
        <f aca="false">IF($A3&lt;&gt;"", "    /** 《"&amp;$E3&amp;"》 */ export const "&amp;SUBSTITUTE(UPPER(IF(MID($A3, 3, 1)="-", RIGHT($A3,LEN($A3)-3), $A3)), "-", "_")&amp;": TCardId = '"&amp;$A3&amp;"';", "")</f>
        <v>    /** 《脚本化》 */ export const KANAWE_O_N_2: TCardId = '20-kanawe-o-n-2';</v>
      </c>
      <c r="AV3" s="12" t="str">
        <f aca="false">IF($A3&lt;&gt;"", "    | '"&amp;$A3&amp;"'", "")</f>
        <v>    | '20-kanawe-o-n-2'</v>
      </c>
      <c r="AW3" s="13"/>
      <c r="AX3" s="13"/>
      <c r="AY3" s="13"/>
      <c r="AZ3" s="13"/>
      <c r="BA3" s="13"/>
      <c r="BB3" s="13"/>
      <c r="BC3" s="13"/>
      <c r="BD3" s="13"/>
      <c r="BE3" s="13"/>
      <c r="BF3" s="13"/>
      <c r="BG3" s="13"/>
      <c r="BH3" s="13"/>
      <c r="BI3" s="13"/>
      <c r="BJ3" s="13"/>
      <c r="BK3" s="13"/>
      <c r="BL3" s="13"/>
      <c r="BM3" s="13"/>
      <c r="BN3" s="13"/>
      <c r="BO3" s="13"/>
      <c r="BP3" s="13"/>
    </row>
    <row r="4" s="2" customFormat="true" ht="79" hidden="false" customHeight="false" outlineLevel="0" collapsed="false">
      <c r="A4" s="3" t="s">
        <v>71</v>
      </c>
      <c r="B4" s="3" t="s">
        <v>72</v>
      </c>
      <c r="C4" s="3"/>
      <c r="D4" s="3"/>
      <c r="E4" s="3" t="s">
        <v>73</v>
      </c>
      <c r="F4" s="3" t="s">
        <v>74</v>
      </c>
      <c r="G4" s="4" t="s">
        <v>73</v>
      </c>
      <c r="H4" s="1" t="s">
        <v>73</v>
      </c>
      <c r="I4" s="4"/>
      <c r="J4" s="1" t="s">
        <v>75</v>
      </c>
      <c r="K4" s="22" t="s">
        <v>76</v>
      </c>
      <c r="L4" s="3"/>
      <c r="M4" s="3" t="s">
        <v>50</v>
      </c>
      <c r="N4" s="3"/>
      <c r="O4" s="3"/>
      <c r="P4" s="3"/>
      <c r="Q4" s="3"/>
      <c r="R4" s="3" t="s">
        <v>77</v>
      </c>
      <c r="S4" s="3"/>
      <c r="T4" s="3"/>
      <c r="U4" s="5"/>
      <c r="V4" s="3"/>
      <c r="W4" s="5"/>
      <c r="X4" s="3"/>
      <c r="Y4" s="3"/>
      <c r="Z4" s="3" t="s">
        <v>78</v>
      </c>
      <c r="AA4" s="3"/>
      <c r="AB4" s="6"/>
      <c r="AC4" s="6"/>
      <c r="AD4" s="6"/>
      <c r="AE4" s="23" t="s">
        <v>79</v>
      </c>
      <c r="AF4" s="6"/>
      <c r="AG4" s="24" t="s">
        <v>80</v>
      </c>
      <c r="AH4" s="6"/>
      <c r="AI4" s="25"/>
      <c r="AJ4" s="6"/>
      <c r="AK4" s="26" t="s">
        <v>81</v>
      </c>
      <c r="AL4" s="27"/>
      <c r="AM4" s="27" t="s">
        <v>82</v>
      </c>
      <c r="AN4" s="17"/>
      <c r="AO4" s="9"/>
      <c r="AP4" s="9"/>
      <c r="AQ4" s="9"/>
      <c r="AR4" s="9"/>
      <c r="AS4" s="9"/>
      <c r="AT4" s="10" t="str">
        <f aca="false">IF(A4="", "","'"&amp;A4&amp;"':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textZhG1: '"&amp;SUBSTITUTE(SUBSTITUTE(SUBSTITUTE(AI4, CHAR(13), ""),CHAR(10),"\n"),"'","\'")&amp;IF(AH4&lt;&gt;"", "', textZhAdditional: '"&amp;SUBSTITUTE(SUBSTITUTE(AH4, CHAR(13), ""),CHAR(10),"\n"), "")&amp;IF(AJ4&lt;&gt;"", "', textZhG1Additional: '"&amp;SUBSTITUTE(SUBSTITUTE(AJ4, CHAR(13), ""),CHAR(10),"\n"), "")&amp;"', textKo: '"&amp;SUBSTITUTE(SUBSTITUTE(SUBSTITUTE(AK4, CHAR(13), ""),CHAR(10),"\n"),"'","\'")&amp;IF(AL4&lt;&gt;"", "', textKoAdditional: '"&amp;SUBSTITUTE(SUBSTITUTE(AL4, CHAR(13), ""),CHAR(10),"\n"), "")&amp;"', textEn: '"&amp;SUBSTITUTE(SUBSTITUTE(SUBSTITUTE(AM4, CHAR(13), ""),CHAR(10),"\n"),"'","\'")&amp;IF(AN4&lt;&gt;"", "', textEnAdditional: '"&amp;SUBSTITUTE(SUBSTITUTE(AN4, CHAR(13), ""),CHAR(10),"\n"), "")&amp;"'"&amp;IF(AB4="○",", sealable: true","")&amp;IF(AC4="○",", removable: true","")&amp;IF(AA4="○",", lie: true","")&amp;IF(AD4="○",", investable: true","")&amp;"},")</f>
        <v>'21-kamuwi-o-s-1': {megami: 'kamuwi', name: '灯', nameEn: 'Kindle', nameZh: '灯', nameZhG1: '灯', nameKo: '등불', ruby: 'ともしび', rubyEn: '', baseType: 'special', type: 'action', cost: '5', text: '(+4) あなたのフレアにある桜花結晶全てをダストに送る。追加札から「暁」を未使用で得る。', textZh: '(+3) 将自气的樱花结晶全部移至虚，并给予自命1点伤害。 \n从追加牌区以未使用的状态获得『晓』。', textZhG1: '', textKo: '(+4) 당신의 플레어에 있는 벚꽃결정을 전부 더스트로 보낸다. 추가패에서 「새벽」을 미사용 상태로 얻는다.', textEn: '(+3): Move all Sakura tokens on your Flare to Shadow. Deal 1 damage to your Life.\n\nAdd your set aside "Daybreak" to your Special cards, face-down.\n\n----------'},</v>
      </c>
      <c r="AU4" s="11" t="str">
        <f aca="false">IF($A4&lt;&gt;"", "    /** 《"&amp;$E4&amp;"》 */ export const "&amp;SUBSTITUTE(UPPER(IF(MID($A4, 3, 1)="-", RIGHT($A4,LEN($A4)-3), $A4)), "-", "_")&amp;": TCardId = '"&amp;$A4&amp;"';", "")</f>
        <v>    /** 《灯》 */ export const KAMUWI_O_S_1: TCardId = '21-kamuwi-o-s-1';</v>
      </c>
      <c r="AV4" s="12" t="str">
        <f aca="false">IF($A4&lt;&gt;"", "    | '"&amp;$A4&amp;"'", "")</f>
        <v>    | '21-kamuwi-o-s-1'</v>
      </c>
      <c r="AW4" s="13"/>
      <c r="AX4" s="13"/>
    </row>
    <row r="5" s="2" customFormat="true" ht="57" hidden="false" customHeight="false" outlineLevel="0" collapsed="false">
      <c r="A5" s="28" t="s">
        <v>83</v>
      </c>
      <c r="B5" s="28" t="s">
        <v>84</v>
      </c>
      <c r="C5" s="28"/>
      <c r="D5" s="28"/>
      <c r="E5" s="28" t="s">
        <v>85</v>
      </c>
      <c r="F5" s="28" t="s">
        <v>86</v>
      </c>
      <c r="G5" s="28" t="s">
        <v>87</v>
      </c>
      <c r="H5" s="28" t="s">
        <v>87</v>
      </c>
      <c r="I5" s="29"/>
      <c r="J5" s="30" t="s">
        <v>88</v>
      </c>
      <c r="K5" s="31" t="s">
        <v>89</v>
      </c>
      <c r="L5" s="28"/>
      <c r="M5" s="28" t="s">
        <v>65</v>
      </c>
      <c r="N5" s="28"/>
      <c r="O5" s="28"/>
      <c r="P5" s="28"/>
      <c r="Q5" s="28"/>
      <c r="R5" s="28" t="s">
        <v>51</v>
      </c>
      <c r="S5" s="28"/>
      <c r="T5" s="28" t="s">
        <v>90</v>
      </c>
      <c r="U5" s="5"/>
      <c r="V5" s="28" t="s">
        <v>91</v>
      </c>
      <c r="W5" s="5"/>
      <c r="X5" s="28"/>
      <c r="Y5" s="28"/>
      <c r="Z5" s="28"/>
      <c r="AA5" s="28"/>
      <c r="AB5" s="28"/>
      <c r="AC5" s="28"/>
      <c r="AD5" s="28" t="s">
        <v>92</v>
      </c>
      <c r="AE5" s="32" t="s">
        <v>93</v>
      </c>
      <c r="AF5" s="33"/>
      <c r="AG5" s="34" t="s">
        <v>94</v>
      </c>
      <c r="AH5" s="33"/>
      <c r="AI5" s="35"/>
      <c r="AJ5" s="33"/>
      <c r="AK5" s="34" t="s">
        <v>95</v>
      </c>
      <c r="AL5" s="33"/>
      <c r="AM5" s="34"/>
      <c r="AN5" s="15"/>
      <c r="AO5" s="9"/>
      <c r="AP5" s="9"/>
      <c r="AQ5" s="9"/>
      <c r="AR5" s="9"/>
      <c r="AS5" s="9"/>
      <c r="AT5" s="10" t="str">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'23-akina-o-n-2': {megami: 'akina', name: '恫喝', nameEn: 'Browbeat', nameZh: '恫吓', nameZhG1: '恫吓', nameKo: '공갈', ruby: 'どうかつ', rubyEn: '', baseType: 'normal', type: 'attack', range: '4', damage: '-/0', text: '投資券\n【常時】あなたの資本が相手の資本より大きいならば、この《攻撃》は+0/+1となる。\n【攻撃後】あなたの資本が相手の資本以下ならば、このカードを伏せ札にする。', textZh: '投资券\n【常时】你的资本比对手的资本更多的话，此攻击得+0/+1。\n【攻击后】你的资本不比对手的资本多的话，盖伏此卡。', textZhG1: '', textKo: '투자권\n【상시】 당신의 자본이 상대의 자본보다 크다면, 이 《공격》은 +0/+1 된다.\n【공격후】당신의 자본이 상대의 자본 이하라면, 이 카드를 덮음패로 만든다.', textEn: '', investable: true},</v>
      </c>
      <c r="AU5" s="11" t="str">
        <f aca="false">IF($A5&lt;&gt;"", "    /** 《"&amp;$E5&amp;"》 */ export const "&amp;SUBSTITUTE(UPPER(IF(MID($A5, 3, 1)="-", RIGHT($A5,LEN($A5)-3), $A5)), "-", "_")&amp;": TCardId = '"&amp;$A5&amp;"';", "")</f>
        <v>    /** 《恫喝》 */ export const AKINA_O_N_2: TCardId = '23-akina-o-n-2';</v>
      </c>
      <c r="AV5" s="12" t="str">
        <f aca="false">IF($A5&lt;&gt;"", "    | '"&amp;$A5&amp;"'", "")</f>
        <v>    | '23-akina-o-n-2'</v>
      </c>
      <c r="AW5" s="13"/>
      <c r="AX5" s="13"/>
      <c r="AY5" s="13"/>
      <c r="AZ5" s="13"/>
      <c r="BA5" s="13"/>
      <c r="BB5" s="13"/>
      <c r="BC5" s="13"/>
      <c r="BD5" s="13"/>
      <c r="BE5" s="13"/>
      <c r="BF5" s="13"/>
      <c r="BG5" s="13"/>
      <c r="BH5" s="13"/>
      <c r="BI5" s="13"/>
      <c r="BJ5" s="13"/>
      <c r="BK5" s="13"/>
      <c r="BL5" s="13"/>
      <c r="BM5" s="13"/>
      <c r="BN5" s="13"/>
      <c r="BO5" s="13"/>
      <c r="BP5" s="13"/>
    </row>
    <row r="6" customFormat="false" ht="46" hidden="false" customHeight="false" outlineLevel="0" collapsed="false">
      <c r="A6" s="36" t="s">
        <v>96</v>
      </c>
      <c r="B6" s="37" t="s">
        <v>97</v>
      </c>
      <c r="C6" s="36" t="s">
        <v>98</v>
      </c>
      <c r="D6" s="36" t="s">
        <v>99</v>
      </c>
      <c r="E6" s="36" t="s">
        <v>100</v>
      </c>
      <c r="F6" s="36" t="s">
        <v>101</v>
      </c>
      <c r="G6" s="36" t="s">
        <v>102</v>
      </c>
      <c r="H6" s="36"/>
      <c r="I6" s="36"/>
      <c r="J6" s="36" t="s">
        <v>103</v>
      </c>
      <c r="K6" s="36"/>
      <c r="L6" s="36"/>
      <c r="M6" s="36" t="s">
        <v>65</v>
      </c>
      <c r="N6" s="36"/>
      <c r="O6" s="36"/>
      <c r="P6" s="36"/>
      <c r="Q6" s="36"/>
      <c r="R6" s="36" t="s">
        <v>104</v>
      </c>
      <c r="S6" s="36"/>
      <c r="T6" s="38"/>
      <c r="U6" s="5"/>
      <c r="V6" s="39"/>
      <c r="W6" s="5"/>
      <c r="X6" s="39" t="s">
        <v>105</v>
      </c>
      <c r="Y6" s="39"/>
      <c r="Z6" s="39"/>
      <c r="AA6" s="39"/>
      <c r="AB6" s="40"/>
      <c r="AC6" s="40"/>
      <c r="AD6" s="34"/>
      <c r="AE6" s="40" t="s">
        <v>106</v>
      </c>
      <c r="AF6" s="41"/>
      <c r="AG6" s="42" t="s">
        <v>107</v>
      </c>
      <c r="AH6" s="43"/>
      <c r="AI6" s="40"/>
      <c r="AJ6" s="40"/>
      <c r="AK6" s="42" t="s">
        <v>108</v>
      </c>
      <c r="AL6" s="40"/>
      <c r="AM6" s="33"/>
      <c r="AN6" s="40"/>
      <c r="AO6" s="9"/>
      <c r="AP6" s="9"/>
      <c r="AQ6" s="9"/>
      <c r="AR6" s="9"/>
      <c r="AS6" s="9"/>
      <c r="AT6" s="10" t="str">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'26-innealra-o3-n-6': {megami: 'innealra', anotherID: 'O3', replace: '26-innealra-o-n-6', name: '儚き意志', nameEn: '', nameZh: '缥缈意志', nameZhG1: '', nameKo: '덧없는 의지', ruby: 'はかなきいし', rubyEn: '', baseType: 'normal', type: 'enhance', capacity: '2', text: '【展開時/破棄時】過去の運命をまだ見ぬ運命へと動かしてもよい。\n【常時】この付与札の上の桜花結晶がダストへと送られるならば、代わりにロストへと移動する。', textZh: '【展开时】可以将过去的命运移去未知的命运。\n 【展开中】达人距离的数值减少1。', textZhG1: '', textKo: '【전개시/파기시】과거의 운명을 아직 보지 않은 운명으로 이동시켜도 된다.\n【상시】이 부여패 위의 벚꽃결정이 더스트로 보내진다면, 대신 로스트로 이동한다.', textEn: ''},</v>
      </c>
      <c r="AU6" s="11" t="str">
        <f aca="false">IF($A6&lt;&gt;"", "    /** 《"&amp;$E6&amp;"》 */ export const "&amp;SUBSTITUTE(UPPER(IF(MID($A6, 3, 1)="-", RIGHT($A6,LEN($A6)-3), $A6)), "-", "_")&amp;": TCardId = '"&amp;$A6&amp;"';", "")</f>
        <v>    /** 《儚き意志》 */ export const INNEALRA_O3_N_6: TCardId = '26-innealra-o3-n-6';</v>
      </c>
      <c r="AV6" s="12" t="str">
        <f aca="false">IF($A6&lt;&gt;"", "    | '"&amp;$A6&amp;"'", "")</f>
        <v>    | '26-innealra-o3-n-6'</v>
      </c>
    </row>
    <row r="7" customFormat="false" ht="90" hidden="false" customHeight="false" outlineLevel="0" collapsed="false">
      <c r="A7" s="36" t="s">
        <v>109</v>
      </c>
      <c r="B7" s="37" t="s">
        <v>97</v>
      </c>
      <c r="C7" s="36" t="s">
        <v>98</v>
      </c>
      <c r="D7" s="36" t="s">
        <v>110</v>
      </c>
      <c r="E7" s="36" t="s">
        <v>111</v>
      </c>
      <c r="F7" s="36"/>
      <c r="G7" s="36" t="s">
        <v>112</v>
      </c>
      <c r="H7" s="36"/>
      <c r="I7" s="36" t="s">
        <v>113</v>
      </c>
      <c r="J7" s="36" t="s">
        <v>114</v>
      </c>
      <c r="K7" s="36"/>
      <c r="L7" s="36"/>
      <c r="M7" s="28" t="s">
        <v>50</v>
      </c>
      <c r="N7" s="36"/>
      <c r="O7" s="36"/>
      <c r="P7" s="36"/>
      <c r="Q7" s="36"/>
      <c r="R7" s="36" t="s">
        <v>77</v>
      </c>
      <c r="S7" s="36" t="s">
        <v>115</v>
      </c>
      <c r="T7" s="38"/>
      <c r="U7" s="5"/>
      <c r="V7" s="39"/>
      <c r="W7" s="5"/>
      <c r="X7" s="39"/>
      <c r="Y7" s="39"/>
      <c r="Z7" s="39" t="s">
        <v>116</v>
      </c>
      <c r="AA7" s="39"/>
      <c r="AB7" s="40"/>
      <c r="AC7" s="40" t="s">
        <v>92</v>
      </c>
      <c r="AD7" s="34"/>
      <c r="AE7" s="40" t="s">
        <v>117</v>
      </c>
      <c r="AF7" s="41"/>
      <c r="AG7" s="42" t="s">
        <v>118</v>
      </c>
      <c r="AH7" s="43"/>
      <c r="AI7" s="40"/>
      <c r="AJ7" s="40"/>
      <c r="AK7" s="42" t="s">
        <v>119</v>
      </c>
      <c r="AL7" s="40"/>
      <c r="AM7" s="33"/>
      <c r="AN7" s="40"/>
      <c r="AO7" s="9"/>
      <c r="AP7" s="9"/>
      <c r="AQ7" s="9"/>
      <c r="AR7" s="9"/>
      <c r="AS7" s="9"/>
      <c r="AT7" s="10" t="str">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'26-innealra-o3-s-3': {megami: 'innealra', anotherID: 'O3', replace: '26-innealra-o-s-3', name: 'クレーニャ・アンニャ', nameEn: '', nameZh: '‌宙宇·玄奥无明', nameZhG1: '', nameKo: '크레냐·안냐', ruby: '', rubyEn: '', rubyZh: 'cruinne', baseType: 'special', type: 'action', subType: 'reaction', cost: '0', text: '過去の運命をまだ見ぬ運命へと動かしてもよい。\n自オーラ⇔ロスト：1\n【使用済】各ターンの開始フェイズの開始時に攻撃『適正距離0-10、1/1、【常時】この《攻撃》のダメージにより移動する桜花結晶はダストやフレアではなくロストに動かす』を行う。その後、このカードを取り除く。', textZh: '可以将过去的命运移去未知的命运。\n 【已使用】你的准备步骤开始时，可以进行一次“攻击距离X 伤害2/1 不可避 【常时】X等于迷失的值”的攻击。若如此做，将此卡移出游戏。', textZhG1: '', textKo: '과거의 운명을 보지 못한 운명으로 이동시켜도 된다.\n오라(자신)⇔로스트：1\n【사용됨】당신의 개시 페이지의 시작시에 공격『적정거리 0-10, 1/1, 【상시】이 공격으로 이동하는 벚꽃결정은 더스트나 플레어로 이동하지 않고 로스트로 이동한다.』를 수행한다. 그 후, 이 카드를 게임에서 제외한다.', textEn: '', removable: true},</v>
      </c>
      <c r="AU7" s="11" t="str">
        <f aca="false">IF($A7&lt;&gt;"", "    /** 《"&amp;$E7&amp;"》 */ export const "&amp;SUBSTITUTE(UPPER(IF(MID($A7, 3, 1)="-", RIGHT($A7,LEN($A7)-3), $A7)), "-", "_")&amp;": TCardId = '"&amp;$A7&amp;"';", "")</f>
        <v>    /** 《クレーニャ・アンニャ》 */ export const INNEALRA_O3_S_3: TCardId = '26-innealra-o3-s-3';</v>
      </c>
      <c r="AV7" s="12" t="str">
        <f aca="false">IF($A7&lt;&gt;"", "    | '"&amp;$A7&amp;"'", "")</f>
        <v>    | '26-innealra-o3-s-3'</v>
      </c>
    </row>
    <row r="8" s="2" customFormat="true" ht="67" hidden="false" customHeight="false" outlineLevel="0" collapsed="false">
      <c r="A8" s="2" t="s">
        <v>120</v>
      </c>
      <c r="B8" s="2" t="s">
        <v>121</v>
      </c>
      <c r="E8" s="2" t="s">
        <v>122</v>
      </c>
      <c r="G8" s="2" t="s">
        <v>123</v>
      </c>
      <c r="H8" s="2" t="s">
        <v>123</v>
      </c>
      <c r="I8" s="2" t="s">
        <v>124</v>
      </c>
      <c r="J8" s="2" t="s">
        <v>125</v>
      </c>
      <c r="K8" s="2" t="s">
        <v>124</v>
      </c>
      <c r="M8" s="2" t="s">
        <v>65</v>
      </c>
      <c r="R8" s="2" t="s">
        <v>77</v>
      </c>
      <c r="U8" s="5"/>
      <c r="V8" s="14"/>
      <c r="W8" s="5"/>
      <c r="X8" s="14"/>
      <c r="Y8" s="14"/>
      <c r="Z8" s="14"/>
      <c r="AA8" s="14"/>
      <c r="AB8" s="14"/>
      <c r="AC8" s="17"/>
      <c r="AD8" s="17"/>
      <c r="AE8" s="17" t="s">
        <v>126</v>
      </c>
      <c r="AF8" s="17"/>
      <c r="AG8" s="44" t="s">
        <v>127</v>
      </c>
      <c r="AH8" s="18"/>
      <c r="AI8" s="20"/>
      <c r="AJ8" s="17"/>
      <c r="AK8" s="44" t="s">
        <v>128</v>
      </c>
      <c r="AL8" s="18"/>
      <c r="AM8" s="45" t="s">
        <v>129</v>
      </c>
      <c r="AN8" s="18"/>
      <c r="AO8" s="9"/>
      <c r="AP8" s="9"/>
      <c r="AQ8" s="9"/>
      <c r="AR8" s="9"/>
      <c r="AS8" s="9"/>
      <c r="AT8" s="10" t="str">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'03-himika-o-n-6': {megami: 'himika', name: 'バックドラフト', nameEn: 'Backdraft', nameZh: '回燃', nameZhG1: '回燃', nameKo: '백드래프트', ruby: '', rubyEn: '', rubyZh: 'Backdraft', baseType: 'normal', type: 'action', text: '相手を畏縮させる。\n連火―このカードがこのターンに使用した3枚目以降のカードならば、このターンにあなたが次に行う他のメガミによるオーラへのダメージが3以下の《攻撃》は+1/+1となる。', textZh: '令对手畏缩。\n连火～若此牌是本回合你使用的第3张或更多的牌，则本回合你的下一次其他女神的对装伤害不为「-」的《攻击》得+1/+1。', textZhG1: '', textKo: '상대를 위축시킨다。\n 연화-이 카드가 이 턴에 사용한 3장째 이후의 카드라면, 이 턴 당신이 다음에 행하는 다른 여신에 의한 오라 데미지가 3이하의 《공격》을 +1/+1 한다.', textEn: 'Flinch your opponent.\n\nInferno - If this is the third or later card you\'ve played this turn, your next attack this turn from a non-Himika Megami that does not have "-" Damage to Aura gains +1/+1.'},</v>
      </c>
      <c r="AU8" s="11" t="str">
        <f aca="false">IF($A8&lt;&gt;"", "    /** 《"&amp;$E8&amp;"》 */ export const "&amp;SUBSTITUTE(UPPER(IF(MID($A8, 3, 1)="-", RIGHT($A8,LEN($A8)-3), $A8)), "-", "_")&amp;": TCardId = '"&amp;$A8&amp;"';", "")</f>
        <v>    /** 《バックドラフト》 */ export const HIMIKA_O_N_6: TCardId = '03-himika-o-n-6';</v>
      </c>
      <c r="AV8" s="12" t="str">
        <f aca="false">IF($A8&lt;&gt;"", "    | '"&amp;$A8&amp;"'", "")</f>
        <v>    | '03-himika-o-n-6'</v>
      </c>
      <c r="AW8" s="13"/>
      <c r="AX8" s="13"/>
      <c r="AY8" s="13"/>
      <c r="AZ8" s="13"/>
      <c r="BA8" s="13"/>
      <c r="BB8" s="13"/>
      <c r="BC8" s="13"/>
      <c r="BD8" s="13"/>
      <c r="BE8" s="13"/>
      <c r="BF8" s="13"/>
      <c r="BG8" s="13"/>
      <c r="BH8" s="13"/>
      <c r="BI8" s="13"/>
      <c r="BJ8" s="13"/>
      <c r="BK8" s="13"/>
      <c r="BL8" s="13"/>
      <c r="BM8" s="13"/>
      <c r="BN8" s="13"/>
      <c r="BO8" s="13"/>
      <c r="BP8" s="13"/>
    </row>
    <row r="9" s="2" customFormat="true" ht="24" hidden="false" customHeight="false" outlineLevel="0" collapsed="false">
      <c r="A9" s="2" t="s">
        <v>130</v>
      </c>
      <c r="B9" s="2" t="s">
        <v>131</v>
      </c>
      <c r="E9" s="2" t="s">
        <v>132</v>
      </c>
      <c r="F9" s="2" t="s">
        <v>133</v>
      </c>
      <c r="G9" s="2" t="s">
        <v>134</v>
      </c>
      <c r="H9" s="2" t="s">
        <v>135</v>
      </c>
      <c r="I9" s="2" t="s">
        <v>136</v>
      </c>
      <c r="J9" s="2" t="s">
        <v>137</v>
      </c>
      <c r="K9" s="2" t="s">
        <v>138</v>
      </c>
      <c r="M9" s="2" t="s">
        <v>65</v>
      </c>
      <c r="R9" s="2" t="s">
        <v>77</v>
      </c>
      <c r="U9" s="5"/>
      <c r="V9" s="14"/>
      <c r="W9" s="5"/>
      <c r="X9" s="14"/>
      <c r="Y9" s="14"/>
      <c r="Z9" s="14"/>
      <c r="AA9" s="14" t="s">
        <v>92</v>
      </c>
      <c r="AB9" s="17"/>
      <c r="AC9" s="17"/>
      <c r="AD9" s="18"/>
      <c r="AE9" s="17" t="s">
        <v>139</v>
      </c>
      <c r="AF9" s="19"/>
      <c r="AG9" s="18" t="s">
        <v>140</v>
      </c>
      <c r="AH9" s="20"/>
      <c r="AI9" s="17"/>
      <c r="AJ9" s="17"/>
      <c r="AK9" s="18" t="s">
        <v>141</v>
      </c>
      <c r="AL9" s="17"/>
      <c r="AM9" s="18"/>
      <c r="AN9" s="17"/>
      <c r="AO9" s="9"/>
      <c r="AP9" s="9"/>
      <c r="AQ9" s="9"/>
      <c r="AR9" s="9"/>
      <c r="AS9" s="9"/>
      <c r="AT9" s="10" t="str">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'22-renri-o-n-6': {megami: 'renri', name: '魚吊り', nameEn: 'Motive', nameZh: '吊魚', nameZhG1: '辜毒谄言', nameKo: '낚시질', ruby: 'うおつり', rubyEn: '', rubyZh: '钓鱼', baseType: 'normal', type: 'action', text: '偽証\n間合→自フレア：1', textZh: '伪证\n距→1→自气', textZhG1: '', textKo: '위증\n간격→플레어(자신)：1', textEn: '', lie: true},</v>
      </c>
      <c r="AU9" s="11" t="str">
        <f aca="false">IF($A9&lt;&gt;"", "    /** 《"&amp;$E9&amp;"》 */ export const "&amp;SUBSTITUTE(UPPER(IF(MID($A9, 3, 1)="-", RIGHT($A9,LEN($A9)-3), $A9)), "-", "_")&amp;": TCardId = '"&amp;$A9&amp;"';", "")</f>
        <v>    /** 《魚吊り》 */ export const RENRI_O_N_6: TCardId = '22-renri-o-n-6';</v>
      </c>
      <c r="AV9" s="12" t="str">
        <f aca="false">IF($A9&lt;&gt;"", "    | '"&amp;$A9&amp;"'", "")</f>
        <v>    | '22-renri-o-n-6'</v>
      </c>
      <c r="AW9" s="13"/>
      <c r="AX9" s="13"/>
      <c r="AY9" s="13"/>
      <c r="AZ9" s="13"/>
      <c r="BA9" s="13"/>
      <c r="BB9" s="13"/>
      <c r="BC9" s="13"/>
      <c r="BD9" s="13"/>
      <c r="BE9" s="13"/>
      <c r="BF9" s="13"/>
      <c r="BG9" s="13"/>
      <c r="BH9" s="13"/>
      <c r="BI9" s="13"/>
      <c r="BJ9" s="13"/>
      <c r="BK9" s="13"/>
      <c r="BL9" s="13"/>
      <c r="BM9" s="13"/>
      <c r="BN9" s="13"/>
      <c r="BO9" s="13"/>
      <c r="BP9" s="13"/>
    </row>
    <row r="10" s="2" customFormat="true" ht="101" hidden="false" customHeight="false" outlineLevel="0" collapsed="false">
      <c r="A10" s="46" t="s">
        <v>142</v>
      </c>
      <c r="B10" s="46" t="s">
        <v>143</v>
      </c>
      <c r="C10" s="46"/>
      <c r="D10" s="46"/>
      <c r="E10" s="46" t="s">
        <v>144</v>
      </c>
      <c r="F10" s="46" t="s">
        <v>145</v>
      </c>
      <c r="G10" s="46" t="s">
        <v>146</v>
      </c>
      <c r="H10" s="46" t="s">
        <v>146</v>
      </c>
      <c r="I10" s="47"/>
      <c r="J10" s="46" t="s">
        <v>147</v>
      </c>
      <c r="K10" s="48" t="s">
        <v>148</v>
      </c>
      <c r="L10" s="46"/>
      <c r="M10" s="46" t="s">
        <v>50</v>
      </c>
      <c r="N10" s="46"/>
      <c r="O10" s="46"/>
      <c r="P10" s="46"/>
      <c r="Q10" s="46"/>
      <c r="R10" s="46" t="s">
        <v>77</v>
      </c>
      <c r="S10" s="46"/>
      <c r="T10" s="46"/>
      <c r="U10" s="5"/>
      <c r="V10" s="46"/>
      <c r="W10" s="5"/>
      <c r="X10" s="46"/>
      <c r="Y10" s="46"/>
      <c r="Z10" s="46" t="s">
        <v>149</v>
      </c>
      <c r="AA10" s="49"/>
      <c r="AB10" s="50"/>
      <c r="AC10" s="50"/>
      <c r="AD10" s="51"/>
      <c r="AE10" s="51" t="s">
        <v>150</v>
      </c>
      <c r="AF10" s="52"/>
      <c r="AG10" s="53" t="s">
        <v>151</v>
      </c>
      <c r="AH10" s="54"/>
      <c r="AI10" s="20"/>
      <c r="AJ10" s="55"/>
      <c r="AK10" s="56" t="s">
        <v>152</v>
      </c>
      <c r="AL10" s="57"/>
      <c r="AM10" s="57" t="s">
        <v>153</v>
      </c>
      <c r="AN10" s="18"/>
      <c r="AO10" s="9"/>
      <c r="AP10" s="9"/>
      <c r="AQ10" s="9"/>
      <c r="AR10" s="9"/>
      <c r="AS10" s="9"/>
      <c r="AT10" s="10" t="str">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'18-mizuki-o-s-3': {megami: 'mizuki', name: '大手楯無門', nameEn: 'Ōte Gate "Tatenashi"', nameZh: '大手楯无门', nameZhG1: '大手楯无门', nameKo: '대수순무문', ruby: 'おおてたてなしもん', rubyEn: '', baseType: 'special', type: 'action', cost: '3', text: '終端\n手札のカードを1枚まで選び、それと追加札の「闘神」を兵舎に徴兵済で置く。\n【使用済】あなたが兵舎から使用した《攻撃》カードによる《攻撃》は+1/+0となる。', textZh: '终端 \n将你的1张手牌和追加牌处的『斗神』以已征兵的状态置入兵营。进行1次征兵。 \n【已使用】你从兵营使用的《攻击》牌的《攻击》得+1/+0，从兵营使用的《对应》牌失去终端。', textZhG1: '', textKo: '종단\n손패의 카드를 1장까지 고르고 그것과 추가패의 [투신]과 그것들을 병영의 징병된 상태로 놓는다.\n징병을 1회 수행한다.\n【사용됨】당신이 병영에서 사용한 《공격》카드에 의한 《공격》은 +1/+0을 얻는다.', textEn: 'Terminal\n\nPut your set aside "Divinity of War" and a card from your hand into your Barracks, conscripted. Conscript a Unit.\n\nDevoted: Attack cards you play from your Barracks gain +1/+0. Reaction cards you play from your Barracks lose Terminal.'},</v>
      </c>
      <c r="AU10" s="11" t="str">
        <f aca="false">IF($A10&lt;&gt;"", "    /** 《"&amp;$E10&amp;"》 */ export const "&amp;SUBSTITUTE(UPPER(IF(MID($A10, 3, 1)="-", RIGHT($A10,LEN($A10)-3), $A10)), "-", "_")&amp;": TCardId = '"&amp;$A10&amp;"';", "")</f>
        <v>    /** 《大手楯無門》 */ export const MIZUKI_O_S_3: TCardId = '18-mizuki-o-s-3';</v>
      </c>
      <c r="AV10" s="12" t="str">
        <f aca="false">IF($A10&lt;&gt;"", "    | '"&amp;$A10&amp;"'", "")</f>
        <v>    | '18-mizuki-o-s-3'</v>
      </c>
      <c r="AW10" s="13"/>
      <c r="AX10" s="13"/>
      <c r="AY10" s="13"/>
      <c r="AZ10" s="13"/>
      <c r="BA10" s="13"/>
      <c r="BB10" s="13"/>
      <c r="BC10" s="13"/>
      <c r="BD10" s="13"/>
      <c r="BE10" s="13"/>
      <c r="BF10" s="13"/>
      <c r="BG10" s="13"/>
      <c r="BH10" s="13"/>
      <c r="BI10" s="13"/>
      <c r="BJ10" s="13"/>
      <c r="BK10" s="13"/>
      <c r="BL10" s="13"/>
      <c r="BM10" s="13"/>
      <c r="BN10" s="13"/>
      <c r="BO10" s="13"/>
      <c r="BP10" s="13"/>
    </row>
    <row r="11" s="2" customFormat="true" ht="13.8" hidden="false" customHeight="false" outlineLevel="0" collapsed="false">
      <c r="A11" s="36" t="s">
        <v>154</v>
      </c>
      <c r="B11" s="37" t="s">
        <v>97</v>
      </c>
      <c r="C11" s="36"/>
      <c r="D11" s="36"/>
      <c r="E11" s="36" t="s">
        <v>155</v>
      </c>
      <c r="F11" s="36" t="s">
        <v>156</v>
      </c>
      <c r="G11" s="36" t="s">
        <v>157</v>
      </c>
      <c r="H11" s="36"/>
      <c r="I11" s="36"/>
      <c r="J11" s="36" t="s">
        <v>158</v>
      </c>
      <c r="K11" s="36"/>
      <c r="L11" s="36"/>
      <c r="M11" s="36" t="s">
        <v>65</v>
      </c>
      <c r="N11" s="36"/>
      <c r="O11" s="36"/>
      <c r="P11" s="36"/>
      <c r="Q11" s="36"/>
      <c r="R11" s="36" t="s">
        <v>51</v>
      </c>
      <c r="S11" s="36"/>
      <c r="T11" s="38" t="s">
        <v>159</v>
      </c>
      <c r="U11" s="5"/>
      <c r="V11" s="39" t="s">
        <v>66</v>
      </c>
      <c r="W11" s="5"/>
      <c r="X11" s="39"/>
      <c r="Y11" s="39"/>
      <c r="Z11" s="39"/>
      <c r="AA11" s="39"/>
      <c r="AB11" s="40"/>
      <c r="AC11" s="40"/>
      <c r="AD11" s="34"/>
      <c r="AE11" s="40" t="s">
        <v>160</v>
      </c>
      <c r="AF11" s="41"/>
      <c r="AG11" s="33" t="s">
        <v>161</v>
      </c>
      <c r="AH11" s="43"/>
      <c r="AI11" s="40"/>
      <c r="AJ11" s="40"/>
      <c r="AK11" s="33" t="s">
        <v>162</v>
      </c>
      <c r="AL11" s="40"/>
      <c r="AM11" s="33"/>
      <c r="AN11" s="40"/>
      <c r="AO11" s="9"/>
      <c r="AP11" s="9"/>
      <c r="AQ11" s="9"/>
      <c r="AR11" s="9"/>
      <c r="AS11" s="9"/>
      <c r="AT11" s="10" t="str">
        <f aca="false">IF(A11="", "","'"&amp;A11&amp;"':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'"&amp;SUBSTITUTE(SUBSTITUTE(AE11, CHAR(13), ""),CHAR(10),"\n")&amp;IF(AF11&lt;&gt;"", "', textAdditional: '"&amp;SUBSTITUTE(SUBSTITUTE(AF11, CHAR(13), ""),CHAR(10),"\n"), "")&amp;"', textZh: '"&amp;SUBSTITUTE(SUBSTITUTE(SUBSTITUTE(AG11, CHAR(13), ""),CHAR(10),"\n"),"'","\'")&amp;"', textZhG1: '"&amp;SUBSTITUTE(SUBSTITUTE(SUBSTITUTE(AI11, CHAR(13), ""),CHAR(10),"\n"),"'","\'")&amp;IF(AH11&lt;&gt;"", "', textZhAdditional: '"&amp;SUBSTITUTE(SUBSTITUTE(AH11, CHAR(13), ""),CHAR(10),"\n"), "")&amp;IF(AJ11&lt;&gt;"", "', textZhG1Additional: '"&amp;SUBSTITUTE(SUBSTITUTE(AJ11, CHAR(13), ""),CHAR(10),"\n"), "")&amp;"', textKo: '"&amp;SUBSTITUTE(SUBSTITUTE(SUBSTITUTE(AK11, CHAR(13), ""),CHAR(10),"\n"),"'","\'")&amp;IF(AL11&lt;&gt;"", "', textKoAdditional: '"&amp;SUBSTITUTE(SUBSTITUTE(AL11, CHAR(13), ""),CHAR(10),"\n"), "")&amp;"', textEn: '"&amp;SUBSTITUTE(SUBSTITUTE(SUBSTITUTE(AM11, CHAR(13), ""),CHAR(10),"\n"),"'","\'")&amp;IF(AN11&lt;&gt;"", "', textEnAdditional: '"&amp;SUBSTITUTE(SUBSTITUTE(AN11, CHAR(13), ""),CHAR(10),"\n"), "")&amp;"'"&amp;IF(AB11="○",", sealable: true","")&amp;IF(AC11="○",", removable: true","")&amp;IF(AA11="○",", lie: true","")&amp;IF(AD11="○",", investable: true","")&amp;"},")</f>
        <v>'26-innealra-o-n-1': {megami: 'innealra', name: '槍振るい', nameEn: '', nameZh: '挥枪', nameZhG1: '', nameKo: '창 휘두르기', ruby: 'やりふるい', rubyEn: '', baseType: 'normal', type: 'attack', range: '1-5', damage: '1/1', text: '【攻撃後】共鳴する。', textZh: '【攻击后】进行共鸣。', textZhG1: '', textKo: '【공격후】공명한다', textEn: ''},</v>
      </c>
      <c r="AU11" s="11" t="str">
        <f aca="false">IF($A11&lt;&gt;"", "    /** 《"&amp;$E11&amp;"》 */ export const "&amp;SUBSTITUTE(UPPER(IF(MID($A11, 3, 1)="-", RIGHT($A11,LEN($A11)-3), $A11)), "-", "_")&amp;": TCardId = '"&amp;$A11&amp;"';", "")</f>
        <v>    /** 《槍振るい》 */ export const INNEALRA_O_N_1: TCardId = '26-innealra-o-n-1';</v>
      </c>
      <c r="AV11" s="12" t="str">
        <f aca="false">IF($A11&lt;&gt;"", "    | '"&amp;$A11&amp;"'", "")</f>
        <v>    | '26-innealra-o-n-1'</v>
      </c>
      <c r="AW11" s="13"/>
      <c r="AX11" s="13"/>
      <c r="AY11" s="13"/>
      <c r="AZ11" s="13"/>
      <c r="BA11" s="13"/>
      <c r="BB11" s="13"/>
      <c r="BC11" s="13"/>
      <c r="BD11" s="13"/>
      <c r="BE11" s="13"/>
      <c r="BF11" s="13"/>
      <c r="BG11" s="13"/>
      <c r="BH11" s="13"/>
      <c r="BI11" s="13"/>
      <c r="BJ11" s="13"/>
      <c r="BK11" s="13"/>
      <c r="BL11" s="13"/>
      <c r="BM11" s="13"/>
      <c r="BN11" s="13"/>
      <c r="BO11" s="13"/>
      <c r="BP11" s="13"/>
    </row>
    <row r="12" s="2" customFormat="true" ht="46" hidden="false" customHeight="false" outlineLevel="0" collapsed="false">
      <c r="A12" s="36" t="s">
        <v>163</v>
      </c>
      <c r="B12" s="37" t="s">
        <v>97</v>
      </c>
      <c r="C12" s="36" t="s">
        <v>164</v>
      </c>
      <c r="D12" s="36" t="s">
        <v>110</v>
      </c>
      <c r="E12" s="36" t="s">
        <v>165</v>
      </c>
      <c r="F12" s="36"/>
      <c r="G12" s="58" t="s">
        <v>166</v>
      </c>
      <c r="H12" s="36"/>
      <c r="I12" s="36" t="s">
        <v>167</v>
      </c>
      <c r="J12" s="36" t="s">
        <v>168</v>
      </c>
      <c r="K12" s="36"/>
      <c r="L12" s="36"/>
      <c r="M12" s="28" t="s">
        <v>50</v>
      </c>
      <c r="N12" s="36"/>
      <c r="O12" s="36"/>
      <c r="P12" s="36"/>
      <c r="Q12" s="36"/>
      <c r="R12" s="36" t="s">
        <v>51</v>
      </c>
      <c r="S12" s="36"/>
      <c r="T12" s="38" t="s">
        <v>169</v>
      </c>
      <c r="U12" s="5"/>
      <c r="V12" s="39" t="s">
        <v>66</v>
      </c>
      <c r="W12" s="5"/>
      <c r="X12" s="39"/>
      <c r="Y12" s="39"/>
      <c r="Z12" s="39" t="s">
        <v>170</v>
      </c>
      <c r="AA12" s="39"/>
      <c r="AB12" s="40"/>
      <c r="AC12" s="40"/>
      <c r="AD12" s="34"/>
      <c r="AE12" s="40" t="s">
        <v>171</v>
      </c>
      <c r="AF12" s="41"/>
      <c r="AG12" s="42" t="s">
        <v>172</v>
      </c>
      <c r="AH12" s="43"/>
      <c r="AI12" s="40"/>
      <c r="AJ12" s="40"/>
      <c r="AK12" s="42" t="s">
        <v>173</v>
      </c>
      <c r="AL12" s="40"/>
      <c r="AM12" s="42"/>
      <c r="AN12" s="40"/>
      <c r="AO12" s="9"/>
      <c r="AP12" s="9"/>
      <c r="AQ12" s="9"/>
      <c r="AR12" s="9"/>
      <c r="AS12" s="9"/>
      <c r="AT12" s="10" t="str">
        <f aca="false">IF(A12="", "","'"&amp;A12&amp;"':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'"&amp;SUBSTITUTE(SUBSTITUTE(AE12, CHAR(13), ""),CHAR(10),"\n")&amp;IF(AF12&lt;&gt;"", "', textAdditional: '"&amp;SUBSTITUTE(SUBSTITUTE(AF12, CHAR(13), ""),CHAR(10),"\n"), "")&amp;"', textZh: '"&amp;SUBSTITUTE(SUBSTITUTE(SUBSTITUTE(AG12, CHAR(13), ""),CHAR(10),"\n"),"'","\'")&amp;"', textZhG1: '"&amp;SUBSTITUTE(SUBSTITUTE(SUBSTITUTE(AI12, CHAR(13), ""),CHAR(10),"\n"),"'","\'")&amp;IF(AH12&lt;&gt;"", "', textZhAdditional: '"&amp;SUBSTITUTE(SUBSTITUTE(AH12, CHAR(13), ""),CHAR(10),"\n"), "")&amp;IF(AJ12&lt;&gt;"", "', textZhG1Additional: '"&amp;SUBSTITUTE(SUBSTITUTE(AJ12, CHAR(13), ""),CHAR(10),"\n"), "")&amp;"', textKo: '"&amp;SUBSTITUTE(SUBSTITUTE(SUBSTITUTE(AK12, CHAR(13), ""),CHAR(10),"\n"),"'","\'")&amp;IF(AL12&lt;&gt;"", "', textKoAdditional: '"&amp;SUBSTITUTE(SUBSTITUTE(AL12, CHAR(13), ""),CHAR(10),"\n"), "")&amp;"', textEn: '"&amp;SUBSTITUTE(SUBSTITUTE(SUBSTITUTE(AM12, CHAR(13), ""),CHAR(10),"\n"),"'","\'")&amp;IF(AN12&lt;&gt;"", "', textEnAdditional: '"&amp;SUBSTITUTE(SUBSTITUTE(AN12, CHAR(13), ""),CHAR(10),"\n"), "")&amp;"'"&amp;IF(AB12="○",", sealable: true","")&amp;IF(AC12="○",", removable: true","")&amp;IF(AA12="○",", lie: true","")&amp;IF(AD12="○",", investable: true","")&amp;"},")</f>
        <v>'26-innealra-o2-s-3': {megami: 'innealra', anotherID: 'O2', replace: '26-innealra-o-s-3', name: 'シキリス・ホリス', nameEn: '', nameZh: '同受异诛·欲壑难填', nameZhG1: '', nameKo: '시키리스·호리스', ruby: '', rubyEn: '', rubyZh: 'scrios', baseType: 'special', type: 'attack', range: '1-3', damage: '1/1', cost: '1', text: '【常時】この《攻撃》のオーラへのダメージにより移動する桜花結晶はダストでなく間合に動かす。\n----\n【再起】あなたがこのターン中に2回以上共鳴している。', textZh: '【常时】因此《攻击》造成的伤害将移动的樱花结晶改为移去距。\n ----\n 【再起】你在本回合进行了至少2次共鸣。', textZhG1: '', textKo: '【상시】이 《공격》의 오라 데미지로 이동하는 벚꽃결정은 더스트가 아니라 간격으로 이동시킨다.\n【재기】당신이 이번 턴에 2회 이상 공명하였다.', textEn: ''},</v>
      </c>
      <c r="AU12" s="11" t="str">
        <f aca="false">IF($A12&lt;&gt;"", "    /** 《"&amp;$E12&amp;"》 */ export const "&amp;SUBSTITUTE(UPPER(IF(MID($A12, 3, 1)="-", RIGHT($A12,LEN($A12)-3), $A12)), "-", "_")&amp;": TCardId = '"&amp;$A12&amp;"';", "")</f>
        <v>    /** 《シキリス・ホリス》 */ export const INNEALRA_O2_S_3: TCardId = '26-innealra-o2-s-3';</v>
      </c>
      <c r="AV12" s="12" t="str">
        <f aca="false">IF($A12&lt;&gt;"", "    | '"&amp;$A12&amp;"'", "")</f>
        <v>    | '26-innealra-o2-s-3'</v>
      </c>
      <c r="AW12" s="13"/>
      <c r="AX12" s="13"/>
      <c r="AY12" s="13"/>
      <c r="AZ12" s="13"/>
      <c r="BA12" s="13"/>
      <c r="BB12" s="13"/>
      <c r="BC12" s="13"/>
      <c r="BD12" s="13"/>
      <c r="BE12" s="13"/>
      <c r="BF12" s="13"/>
      <c r="BG12" s="13"/>
      <c r="BH12" s="13"/>
      <c r="BI12" s="13"/>
      <c r="BJ12" s="13"/>
      <c r="BK12" s="13"/>
      <c r="BL12" s="13"/>
      <c r="BM12" s="13"/>
      <c r="BN12" s="13"/>
      <c r="BO12" s="13"/>
      <c r="BP12" s="13"/>
    </row>
    <row r="13" s="2" customFormat="true" ht="35" hidden="false" customHeight="false" outlineLevel="0" collapsed="false">
      <c r="A13" s="36" t="s">
        <v>174</v>
      </c>
      <c r="B13" s="37" t="s">
        <v>97</v>
      </c>
      <c r="C13" s="36" t="s">
        <v>98</v>
      </c>
      <c r="D13" s="36"/>
      <c r="E13" s="36" t="s">
        <v>175</v>
      </c>
      <c r="F13" s="36"/>
      <c r="G13" s="36" t="s">
        <v>176</v>
      </c>
      <c r="H13" s="36"/>
      <c r="I13" s="36"/>
      <c r="J13" s="36" t="s">
        <v>177</v>
      </c>
      <c r="K13" s="36"/>
      <c r="L13" s="36"/>
      <c r="M13" s="58" t="s">
        <v>178</v>
      </c>
      <c r="N13" s="36"/>
      <c r="O13" s="36"/>
      <c r="P13" s="36"/>
      <c r="Q13" s="36"/>
      <c r="R13" s="36"/>
      <c r="S13" s="36"/>
      <c r="T13" s="36"/>
      <c r="U13" s="5"/>
      <c r="V13" s="39"/>
      <c r="W13" s="5"/>
      <c r="X13" s="39"/>
      <c r="Y13" s="39"/>
      <c r="Z13" s="39"/>
      <c r="AA13" s="39"/>
      <c r="AB13" s="40"/>
      <c r="AC13" s="40"/>
      <c r="AD13" s="34"/>
      <c r="AE13" s="40" t="s">
        <v>179</v>
      </c>
      <c r="AF13" s="41" t="s">
        <v>180</v>
      </c>
      <c r="AG13" s="42" t="s">
        <v>181</v>
      </c>
      <c r="AH13" s="43" t="s">
        <v>182</v>
      </c>
      <c r="AI13" s="40"/>
      <c r="AJ13" s="40"/>
      <c r="AK13" s="42" t="s">
        <v>183</v>
      </c>
      <c r="AL13" s="40"/>
      <c r="AM13" s="33"/>
      <c r="AN13" s="40"/>
      <c r="AO13" s="9"/>
      <c r="AP13" s="9"/>
      <c r="AQ13" s="9"/>
      <c r="AR13" s="9"/>
      <c r="AS13" s="9"/>
      <c r="AT13" s="10" t="str">
        <f aca="false">IF(A13="", "","'"&amp;A13&amp;"':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'"&amp;SUBSTITUTE(SUBSTITUTE(AE13, CHAR(13), ""),CHAR(10),"\n")&amp;IF(AF13&lt;&gt;"", "', textAdditional: '"&amp;SUBSTITUTE(SUBSTITUTE(AF13, CHAR(13), ""),CHAR(10),"\n"), "")&amp;"', textZh: '"&amp;SUBSTITUTE(SUBSTITUTE(SUBSTITUTE(AG13, CHAR(13), ""),CHAR(10),"\n"),"'","\'")&amp;"', textZhG1: '"&amp;SUBSTITUTE(SUBSTITUTE(SUBSTITUTE(AI13, CHAR(13), ""),CHAR(10),"\n"),"'","\'")&amp;IF(AH13&lt;&gt;"", "', textZhAdditional: '"&amp;SUBSTITUTE(SUBSTITUTE(AH13, CHAR(13), ""),CHAR(10),"\n"), "")&amp;IF(AJ13&lt;&gt;"", "', textZhG1Additional: '"&amp;SUBSTITUTE(SUBSTITUTE(AJ13, CHAR(13), ""),CHAR(10),"\n"), "")&amp;"', textKo: '"&amp;SUBSTITUTE(SUBSTITUTE(SUBSTITUTE(AK13, CHAR(13), ""),CHAR(10),"\n"),"'","\'")&amp;IF(AL13&lt;&gt;"", "', textKoAdditional: '"&amp;SUBSTITUTE(SUBSTITUTE(AL13, CHAR(13), ""),CHAR(10),"\n"), "")&amp;"', textEn: '"&amp;SUBSTITUTE(SUBSTITUTE(SUBSTITUTE(AM13, CHAR(13), ""),CHAR(10),"\n"),"'","\'")&amp;IF(AN13&lt;&gt;"", "', textEnAdditional: '"&amp;SUBSTITUTE(SUBSTITUTE(AN13, CHAR(13), ""),CHAR(10),"\n"), "")&amp;"'"&amp;IF(AB13="○",", sealable: true","")&amp;IF(AC13="○",", removable: true","")&amp;IF(AA13="○",", lie: true","")&amp;IF(AD13="○",", investable: true","")&amp;"},")</f>
        <v>'26-innealra-o3-f-1': {megami: 'innealra', anotherID: 'O3', replace: '', name: 'あこがれ', nameEn: '', nameZh: '憧憬', nameZhG1: '', nameKo: '동경하다', ruby: '', rubyEn: '', baseType: 'fate', text: 'ロスト→ダスト：3\n攻撃『適正距離0-3、X/1』を行う。Xはこの矢印（→）で移動した桜花結晶の数に等しい。', textAdditional: '（クリックでまだ見ぬ運命へと移動）', textZh: '迷失→3→虚\n 若因此效果移动了3个或更多樱花结晶，进行一次“攻击距离0-3 伤害3/1”的攻击。', textZhG1: '', textZhAdditional: '（点击即可将其移去未知的命运）', textKo: '로스트→더스트:3\n공격 『적정거리 0-3, X/1』를 수행한다. X는 이 화살표로 이동한 벚꽃결정의 수와 같다.', textEn: ''},</v>
      </c>
      <c r="AU13" s="11" t="str">
        <f aca="false">IF($A13&lt;&gt;"", "    /** 《"&amp;$E13&amp;"》 */ export const "&amp;SUBSTITUTE(UPPER(IF(MID($A13, 3, 1)="-", RIGHT($A13,LEN($A13)-3), $A13)), "-", "_")&amp;": TCardId = '"&amp;$A13&amp;"';", "")</f>
        <v>    /** 《あこがれ》 */ export const INNEALRA_O3_F_1: TCardId = '26-innealra-o3-f-1';</v>
      </c>
      <c r="AV13" s="12" t="str">
        <f aca="false">IF($A13&lt;&gt;"", "    | '"&amp;$A13&amp;"'", "")</f>
        <v>    | '26-innealra-o3-f-1'</v>
      </c>
      <c r="AW13" s="59"/>
      <c r="AX13" s="59"/>
      <c r="AY13" s="59"/>
      <c r="AZ13" s="59"/>
      <c r="BA13" s="59"/>
      <c r="BB13" s="59"/>
      <c r="BC13" s="59"/>
      <c r="BD13" s="59"/>
      <c r="BE13" s="59"/>
      <c r="BF13" s="59"/>
      <c r="BG13" s="59"/>
      <c r="BH13" s="59"/>
      <c r="BI13" s="59"/>
      <c r="BJ13" s="59"/>
      <c r="BK13" s="59"/>
      <c r="BL13" s="59"/>
      <c r="BM13" s="59"/>
      <c r="BN13" s="59"/>
      <c r="BO13" s="13"/>
      <c r="BP13" s="13"/>
    </row>
    <row r="14" s="2" customFormat="true" ht="13.8" hidden="false" customHeight="false" outlineLevel="0" collapsed="false">
      <c r="A14" s="14"/>
      <c r="B14" s="14"/>
      <c r="C14" s="14"/>
      <c r="D14" s="14"/>
      <c r="E14" s="14"/>
      <c r="F14" s="14"/>
      <c r="G14" s="14"/>
      <c r="H14" s="13"/>
      <c r="I14" s="16"/>
      <c r="J14" s="13"/>
      <c r="L14" s="14"/>
      <c r="M14" s="14"/>
      <c r="N14" s="14"/>
      <c r="O14" s="14"/>
      <c r="P14" s="14"/>
      <c r="Q14" s="14"/>
      <c r="R14" s="14"/>
      <c r="S14" s="14"/>
      <c r="T14" s="14"/>
      <c r="U14" s="15"/>
      <c r="V14" s="14"/>
      <c r="W14" s="15"/>
      <c r="X14" s="14"/>
      <c r="Y14" s="14"/>
      <c r="Z14" s="14"/>
      <c r="AA14" s="14"/>
      <c r="AB14" s="14"/>
      <c r="AC14" s="13"/>
      <c r="AD14" s="13"/>
      <c r="AE14" s="17"/>
      <c r="AF14" s="60"/>
      <c r="AG14" s="19"/>
      <c r="AH14" s="17"/>
      <c r="AI14" s="19"/>
      <c r="AJ14" s="61"/>
      <c r="AK14" s="61"/>
      <c r="AL14" s="13"/>
      <c r="AM14" s="62"/>
      <c r="AN14" s="17"/>
      <c r="AO14" s="15"/>
      <c r="AP14" s="15"/>
      <c r="AQ14" s="15"/>
      <c r="AR14" s="15"/>
      <c r="AS14" s="15"/>
      <c r="AT14" s="10" t="str">
        <f aca="false">IF(A14="", "","'"&amp;A14&amp;"':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'"&amp;SUBSTITUTE(SUBSTITUTE(AE14, CHAR(13), ""),CHAR(10),"\n")&amp;IF(AF14&lt;&gt;"", "', textAdditional: '"&amp;SUBSTITUTE(SUBSTITUTE(AF14, CHAR(13), ""),CHAR(10),"\n"), "")&amp;"', textZh: '"&amp;SUBSTITUTE(SUBSTITUTE(SUBSTITUTE(AG14, CHAR(13), ""),CHAR(10),"\n"),"'","\'")&amp;"', textZhG1: '"&amp;SUBSTITUTE(SUBSTITUTE(SUBSTITUTE(AI14, CHAR(13), ""),CHAR(10),"\n"),"'","\'")&amp;IF(AH14&lt;&gt;"", "', textZhAdditional: '"&amp;SUBSTITUTE(SUBSTITUTE(AH14, CHAR(13), ""),CHAR(10),"\n"), "")&amp;IF(AJ14&lt;&gt;"", "', textZhG1Additional: '"&amp;SUBSTITUTE(SUBSTITUTE(AJ14, CHAR(13), ""),CHAR(10),"\n"), "")&amp;"', textKo: '"&amp;SUBSTITUTE(SUBSTITUTE(SUBSTITUTE(AK14, CHAR(13), ""),CHAR(10),"\n"),"'","\'")&amp;IF(AL14&lt;&gt;"", "', textKoAdditional: '"&amp;SUBSTITUTE(SUBSTITUTE(AL14, CHAR(13), ""),CHAR(10),"\n"), "")&amp;"', textEn: '"&amp;SUBSTITUTE(SUBSTITUTE(SUBSTITUTE(AM14, CHAR(13), ""),CHAR(10),"\n"),"'","\'")&amp;IF(AN14&lt;&gt;"", "', textEnAdditional: '"&amp;SUBSTITUTE(SUBSTITUTE(AN14, CHAR(13), ""),CHAR(10),"\n"), "")&amp;"'"&amp;IF(AB14="○",", sealable: true","")&amp;IF(AC14="○",", removable: true","")&amp;IF(AA14="○",", lie: true","")&amp;IF(AD14="○",", investable: true","")&amp;"},")</f>
        <v/>
      </c>
      <c r="AU14" s="11" t="str">
        <f aca="false">IF($A14&lt;&gt;"", "    /** 《"&amp;$E14&amp;"》 */ export const "&amp;SUBSTITUTE(UPPER(IF(MID($A14, 3, 1)="-", RIGHT($A14,LEN($A14)-3), $A14)), "-", "_")&amp;": TCardId = '"&amp;$A14&amp;"';", "")</f>
        <v/>
      </c>
      <c r="AV14" s="12" t="str">
        <f aca="false">IF($A15&lt;&gt;"", "    | '"&amp;$A15&amp;"'", "")</f>
        <v/>
      </c>
      <c r="AW14" s="13"/>
      <c r="AX14" s="13"/>
      <c r="AY14" s="13"/>
      <c r="AZ14" s="13"/>
      <c r="BA14" s="13"/>
      <c r="BB14" s="13"/>
      <c r="BC14" s="13"/>
      <c r="BD14" s="13"/>
      <c r="BE14" s="13"/>
      <c r="BF14" s="13"/>
      <c r="BG14" s="13"/>
      <c r="BH14" s="13"/>
      <c r="BI14" s="13"/>
      <c r="BJ14" s="13"/>
      <c r="BK14" s="13"/>
      <c r="BL14" s="13"/>
      <c r="BM14" s="13"/>
      <c r="BN14" s="13"/>
      <c r="BO14" s="13"/>
      <c r="BP14" s="13"/>
    </row>
    <row r="15" customFormat="false" ht="13.8" hidden="false" customHeight="false" outlineLevel="0" collapsed="false">
      <c r="A15" s="14"/>
      <c r="B15" s="14"/>
      <c r="C15" s="14"/>
      <c r="D15" s="14"/>
      <c r="E15" s="14"/>
      <c r="F15" s="14"/>
      <c r="G15" s="14"/>
      <c r="H15" s="63"/>
      <c r="I15" s="16"/>
      <c r="J15" s="63"/>
      <c r="K15" s="8"/>
      <c r="L15" s="14"/>
      <c r="M15" s="14"/>
      <c r="N15" s="14"/>
      <c r="O15" s="14"/>
      <c r="P15" s="14"/>
      <c r="Q15" s="14"/>
      <c r="R15" s="14"/>
      <c r="S15" s="14"/>
      <c r="T15" s="14"/>
      <c r="U15" s="15"/>
      <c r="V15" s="14"/>
      <c r="W15" s="15"/>
      <c r="X15" s="14"/>
      <c r="Y15" s="14"/>
      <c r="Z15" s="14"/>
      <c r="AA15" s="14"/>
      <c r="AB15" s="14"/>
      <c r="AC15" s="14"/>
      <c r="AD15" s="14"/>
      <c r="AE15" s="19"/>
      <c r="AF15" s="17"/>
      <c r="AG15" s="18"/>
      <c r="AH15" s="17"/>
      <c r="AI15" s="19"/>
      <c r="AJ15" s="17"/>
      <c r="AK15" s="18"/>
      <c r="AL15" s="17"/>
      <c r="AM15" s="18"/>
      <c r="AN15" s="17"/>
      <c r="AO15" s="15"/>
      <c r="AP15" s="15"/>
      <c r="AQ15" s="15"/>
      <c r="AR15" s="15"/>
      <c r="AS15" s="15"/>
      <c r="AT15" s="10" t="str">
        <f aca="false">IF(A15="", "","'"&amp;A15&amp;"':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'"&amp;SUBSTITUTE(SUBSTITUTE(AE15, CHAR(13), ""),CHAR(10),"\n")&amp;IF(AF15&lt;&gt;"", "', textAdditional: '"&amp;SUBSTITUTE(SUBSTITUTE(AF15, CHAR(13), ""),CHAR(10),"\n"), "")&amp;"', textZh: '"&amp;SUBSTITUTE(SUBSTITUTE(SUBSTITUTE(AG15, CHAR(13), ""),CHAR(10),"\n"),"'","\'")&amp;"', textZhG1: '"&amp;SUBSTITUTE(SUBSTITUTE(SUBSTITUTE(AI15, CHAR(13), ""),CHAR(10),"\n"),"'","\'")&amp;IF(AH15&lt;&gt;"", "', textZhAdditional: '"&amp;SUBSTITUTE(SUBSTITUTE(AH15, CHAR(13), ""),CHAR(10),"\n"), "")&amp;IF(AJ15&lt;&gt;"", "', textZhG1Additional: '"&amp;SUBSTITUTE(SUBSTITUTE(AJ15, CHAR(13), ""),CHAR(10),"\n"), "")&amp;"', textKo: '"&amp;SUBSTITUTE(SUBSTITUTE(SUBSTITUTE(AK15, CHAR(13), ""),CHAR(10),"\n"),"'","\'")&amp;IF(AL15&lt;&gt;"", "', textKoAdditional: '"&amp;SUBSTITUTE(SUBSTITUTE(AL15, CHAR(13), ""),CHAR(10),"\n"), "")&amp;"', textEn: '"&amp;SUBSTITUTE(SUBSTITUTE(SUBSTITUTE(AM15, CHAR(13), ""),CHAR(10),"\n"),"'","\'")&amp;IF(AN15&lt;&gt;"", "', textEnAdditional: '"&amp;SUBSTITUTE(SUBSTITUTE(AN15, CHAR(13), ""),CHAR(10),"\n"), "")&amp;"'"&amp;IF(AB15="○",", sealable: true","")&amp;IF(AC15="○",", removable: true","")&amp;IF(AA15="○",", lie: true","")&amp;IF(AD15="○",", investable: true","")&amp;"},")</f>
        <v/>
      </c>
      <c r="AU15" s="11" t="str">
        <f aca="false">IF($A15&lt;&gt;"", "    /** 《"&amp;$E15&amp;"》 */ export const "&amp;SUBSTITUTE(UPPER(IF(MID($A15, 3, 1)="-", RIGHT($A15,LEN($A15)-3), $A15)), "-", "_")&amp;": TCardId = '"&amp;$A15&amp;"';", "")</f>
        <v/>
      </c>
      <c r="AV15" s="12" t="str">
        <f aca="false">IF($A16&lt;&gt;"", "    | '"&amp;$A16&amp;"'", "")</f>
        <v/>
      </c>
    </row>
    <row r="16" customFormat="false" ht="13.8" hidden="false" customHeight="false" outlineLevel="0" collapsed="false">
      <c r="A16" s="2"/>
      <c r="B16" s="2"/>
      <c r="C16" s="2"/>
      <c r="D16" s="2"/>
      <c r="E16" s="2"/>
      <c r="F16" s="2"/>
      <c r="G16" s="2"/>
      <c r="H16" s="2"/>
      <c r="I16" s="2"/>
      <c r="J16" s="2"/>
      <c r="K16" s="2"/>
      <c r="L16" s="2"/>
      <c r="M16" s="2"/>
      <c r="N16" s="2"/>
      <c r="O16" s="2"/>
      <c r="P16" s="2"/>
      <c r="Q16" s="2"/>
      <c r="R16" s="2"/>
      <c r="S16" s="2"/>
      <c r="T16" s="2"/>
      <c r="U16" s="15"/>
      <c r="V16" s="14"/>
      <c r="W16" s="15"/>
      <c r="X16" s="14"/>
      <c r="Y16" s="14"/>
      <c r="Z16" s="14"/>
      <c r="AA16" s="14"/>
      <c r="AB16" s="17"/>
      <c r="AC16" s="17"/>
      <c r="AD16" s="18"/>
      <c r="AE16" s="17"/>
      <c r="AF16" s="19"/>
      <c r="AG16" s="17"/>
      <c r="AH16" s="20"/>
      <c r="AI16" s="17"/>
      <c r="AJ16" s="17"/>
      <c r="AK16" s="17"/>
      <c r="AL16" s="17"/>
      <c r="AM16" s="17"/>
      <c r="AN16" s="17"/>
      <c r="AO16" s="15"/>
      <c r="AP16" s="15"/>
      <c r="AQ16" s="15"/>
      <c r="AR16" s="15"/>
      <c r="AS16" s="15"/>
      <c r="AT16" s="10" t="str">
        <f aca="false">IF(A16="", "","'"&amp;A16&amp;"':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'"&amp;SUBSTITUTE(SUBSTITUTE(AE16, CHAR(13), ""),CHAR(10),"\n")&amp;IF(AF16&lt;&gt;"", "', textAdditional: '"&amp;SUBSTITUTE(SUBSTITUTE(AF16, CHAR(13), ""),CHAR(10),"\n"), "")&amp;"', textZh: '"&amp;SUBSTITUTE(SUBSTITUTE(SUBSTITUTE(AG16, CHAR(13), ""),CHAR(10),"\n"),"'","\'")&amp;"', textZhG1: '"&amp;SUBSTITUTE(SUBSTITUTE(SUBSTITUTE(AI16, CHAR(13), ""),CHAR(10),"\n"),"'","\'")&amp;IF(AH16&lt;&gt;"", "', textZhAdditional: '"&amp;SUBSTITUTE(SUBSTITUTE(AH16, CHAR(13), ""),CHAR(10),"\n"), "")&amp;IF(AJ16&lt;&gt;"", "', textZhG1Additional: '"&amp;SUBSTITUTE(SUBSTITUTE(AJ16, CHAR(13), ""),CHAR(10),"\n"), "")&amp;"', textKo: '"&amp;SUBSTITUTE(SUBSTITUTE(SUBSTITUTE(AK16, CHAR(13), ""),CHAR(10),"\n"),"'","\'")&amp;IF(AL16&lt;&gt;"", "', textKoAdditional: '"&amp;SUBSTITUTE(SUBSTITUTE(AL16, CHAR(13), ""),CHAR(10),"\n"), "")&amp;"', textEn: '"&amp;SUBSTITUTE(SUBSTITUTE(SUBSTITUTE(AM16, CHAR(13), ""),CHAR(10),"\n"),"'","\'")&amp;IF(AN16&lt;&gt;"", "', textEnAdditional: '"&amp;SUBSTITUTE(SUBSTITUTE(AN16, CHAR(13), ""),CHAR(10),"\n"), "")&amp;"'"&amp;IF(AB16="○",", sealable: true","")&amp;IF(AC16="○",", removable: true","")&amp;IF(AA16="○",", lie: true","")&amp;IF(AD16="○",", investable: true","")&amp;"},")</f>
        <v/>
      </c>
      <c r="AU16" s="11" t="str">
        <f aca="false">IF($A16&lt;&gt;"", "    /** 《"&amp;$E16&amp;"》 */ export const "&amp;SUBSTITUTE(UPPER(IF(MID($A16, 3, 1)="-", RIGHT($A16,LEN($A16)-3), $A16)), "-", "_")&amp;": TCardId = '"&amp;$A16&amp;"';", "")</f>
        <v/>
      </c>
      <c r="AV16" s="12" t="str">
        <f aca="false">IF($A17&lt;&gt;"", "    | '"&amp;$A17&amp;"'", "")</f>
        <v/>
      </c>
    </row>
    <row r="17" customFormat="false" ht="13.8" hidden="false" customHeight="false" outlineLevel="0" collapsed="false">
      <c r="A17" s="2"/>
      <c r="B17" s="2"/>
      <c r="C17" s="2"/>
      <c r="D17" s="2"/>
      <c r="E17" s="2"/>
      <c r="F17" s="2"/>
      <c r="G17" s="2"/>
      <c r="H17" s="2"/>
      <c r="I17" s="2"/>
      <c r="J17" s="2"/>
      <c r="K17" s="2"/>
      <c r="L17" s="2"/>
      <c r="M17" s="2"/>
      <c r="N17" s="2"/>
      <c r="O17" s="2"/>
      <c r="P17" s="2"/>
      <c r="Q17" s="2"/>
      <c r="R17" s="2"/>
      <c r="S17" s="2"/>
      <c r="T17" s="2"/>
      <c r="U17" s="15"/>
      <c r="V17" s="14"/>
      <c r="W17" s="15"/>
      <c r="X17" s="14"/>
      <c r="Y17" s="14"/>
      <c r="Z17" s="14"/>
      <c r="AA17" s="14"/>
      <c r="AB17" s="17"/>
      <c r="AC17" s="17"/>
      <c r="AD17" s="18"/>
      <c r="AE17" s="17"/>
      <c r="AF17" s="19"/>
      <c r="AG17" s="17"/>
      <c r="AH17" s="20"/>
      <c r="AI17" s="17"/>
      <c r="AJ17" s="17"/>
      <c r="AK17" s="17"/>
      <c r="AL17" s="17"/>
      <c r="AM17" s="17"/>
      <c r="AN17" s="17"/>
      <c r="AO17" s="15"/>
      <c r="AP17" s="15"/>
      <c r="AQ17" s="15"/>
      <c r="AR17" s="15"/>
      <c r="AS17" s="15"/>
      <c r="AT17" s="10" t="str">
        <f aca="false">IF(A17="", "","'"&amp;A17&amp;"':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 '"&amp;SUBSTITUTE(SUBSTITUTE(SUBSTITUTE(AI17, CHAR(13), ""),CHAR(10),"\n"),"'","\'")&amp;IF(AH17&lt;&gt;"", "', textZhAdditional: '"&amp;SUBSTITUTE(SUBSTITUTE(AH17, CHAR(13), ""),CHAR(10),"\n"), "")&amp;IF(AJ17&lt;&gt;"", "', textZhG1Additional: '"&amp;SUBSTITUTE(SUBSTITUTE(AJ17, CHAR(13), ""),CHAR(10),"\n"), "")&amp;"', textKo: '"&amp;SUBSTITUTE(SUBSTITUTE(SUBSTITUTE(AK17, CHAR(13), ""),CHAR(10),"\n"),"'","\'")&amp;IF(AL17&lt;&gt;"", "', textKoAdditional: '"&amp;SUBSTITUTE(SUBSTITUTE(AL17, CHAR(13), ""),CHAR(10),"\n"), "")&amp;"', textEn: '"&amp;SUBSTITUTE(SUBSTITUTE(SUBSTITUTE(AM17, CHAR(13), ""),CHAR(10),"\n"),"'","\'")&amp;IF(AN17&lt;&gt;"", "', textEnAdditional: '"&amp;SUBSTITUTE(SUBSTITUTE(AN17, CHAR(13), ""),CHAR(10),"\n"), "")&amp;"'"&amp;IF(AB17="○",", sealable: true","")&amp;IF(AC17="○",", removable: true","")&amp;IF(AA17="○",", lie: true","")&amp;IF(AD17="○",", investable: true","")&amp;"},")</f>
        <v/>
      </c>
      <c r="AU17" s="11" t="str">
        <f aca="false">IF($A17&lt;&gt;"", "    /** 《"&amp;$E17&amp;"》 */ export const "&amp;SUBSTITUTE(UPPER(IF(MID($A17, 3, 1)="-", RIGHT($A17,LEN($A17)-3), $A17)), "-", "_")&amp;": TCardId = '"&amp;$A17&amp;"';", "")</f>
        <v/>
      </c>
      <c r="AV17" s="12" t="str">
        <f aca="false">IF($A18&lt;&gt;"", "    | '"&amp;$A18&amp;"'", "")</f>
        <v/>
      </c>
    </row>
    <row r="18" customFormat="false" ht="13.8" hidden="false" customHeight="false" outlineLevel="0" collapsed="false">
      <c r="A18" s="2"/>
      <c r="B18" s="2"/>
      <c r="C18" s="2"/>
      <c r="D18" s="2"/>
      <c r="E18" s="2"/>
      <c r="F18" s="2"/>
      <c r="G18" s="2"/>
      <c r="H18" s="2"/>
      <c r="I18" s="2"/>
      <c r="J18" s="2"/>
      <c r="K18" s="2"/>
      <c r="L18" s="2"/>
      <c r="M18" s="2"/>
      <c r="N18" s="2"/>
      <c r="O18" s="2"/>
      <c r="P18" s="2"/>
      <c r="Q18" s="2"/>
      <c r="R18" s="2"/>
      <c r="S18" s="2"/>
      <c r="T18" s="2"/>
      <c r="U18" s="15"/>
      <c r="V18" s="14"/>
      <c r="W18" s="15"/>
      <c r="X18" s="14"/>
      <c r="Y18" s="14"/>
      <c r="Z18" s="14"/>
      <c r="AA18" s="14"/>
      <c r="AB18" s="17"/>
      <c r="AC18" s="17"/>
      <c r="AD18" s="18"/>
      <c r="AE18" s="17"/>
      <c r="AF18" s="19"/>
      <c r="AG18" s="17"/>
      <c r="AH18" s="20"/>
      <c r="AI18" s="17"/>
      <c r="AJ18" s="17"/>
      <c r="AK18" s="17"/>
      <c r="AL18" s="17"/>
      <c r="AM18" s="17"/>
      <c r="AN18" s="17"/>
      <c r="AO18" s="15"/>
      <c r="AP18" s="15"/>
      <c r="AQ18" s="15"/>
      <c r="AR18" s="15"/>
      <c r="AS18" s="15"/>
      <c r="AT18" s="10" t="str">
        <f aca="false">IF(A18="", "","'"&amp;A18&amp;"':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 '"&amp;SUBSTITUTE(SUBSTITUTE(SUBSTITUTE(AI18, CHAR(13), ""),CHAR(10),"\n"),"'","\'")&amp;IF(AH18&lt;&gt;"", "', textZhAdditional: '"&amp;SUBSTITUTE(SUBSTITUTE(AH18, CHAR(13), ""),CHAR(10),"\n"), "")&amp;IF(AJ18&lt;&gt;"", "', textZhG1Additional: '"&amp;SUBSTITUTE(SUBSTITUTE(AJ18, CHAR(13), ""),CHAR(10),"\n"), "")&amp;"', textKo: '"&amp;SUBSTITUTE(SUBSTITUTE(SUBSTITUTE(AK18, CHAR(13), ""),CHAR(10),"\n"),"'","\'")&amp;IF(AL18&lt;&gt;"", "', textKoAdditional: '"&amp;SUBSTITUTE(SUBSTITUTE(AL18, CHAR(13), ""),CHAR(10),"\n"), "")&amp;"', textEn: '"&amp;SUBSTITUTE(SUBSTITUTE(SUBSTITUTE(AM18, CHAR(13), ""),CHAR(10),"\n"),"'","\'")&amp;IF(AN18&lt;&gt;"", "', textEnAdditional: '"&amp;SUBSTITUTE(SUBSTITUTE(AN18, CHAR(13), ""),CHAR(10),"\n"), "")&amp;"'"&amp;IF(AB18="○",", sealable: true","")&amp;IF(AC18="○",", removable: true","")&amp;IF(AA18="○",", lie: true","")&amp;IF(AD18="○",", investable: true","")&amp;"},")</f>
        <v/>
      </c>
      <c r="AU18" s="11" t="str">
        <f aca="false">IF($A18&lt;&gt;"", "    /** 《"&amp;$E18&amp;"》 */ export const "&amp;SUBSTITUTE(UPPER(IF(MID($A18, 3, 1)="-", RIGHT($A18,LEN($A18)-3), $A18)), "-", "_")&amp;": TCardId = '"&amp;$A18&amp;"';", "")</f>
        <v/>
      </c>
      <c r="AV18" s="12" t="str">
        <f aca="false">IF($A19&lt;&gt;"", "    | '"&amp;$A19&amp;"'", "")</f>
        <v/>
      </c>
    </row>
    <row r="19" customFormat="false" ht="13.8" hidden="false" customHeight="false" outlineLevel="0" collapsed="false">
      <c r="A19" s="2"/>
      <c r="B19" s="2"/>
      <c r="C19" s="2"/>
      <c r="D19" s="2"/>
      <c r="E19" s="2"/>
      <c r="F19" s="2"/>
      <c r="G19" s="2"/>
      <c r="H19" s="2"/>
      <c r="I19" s="2"/>
      <c r="J19" s="2"/>
      <c r="K19" s="2"/>
      <c r="L19" s="2"/>
      <c r="M19" s="2"/>
      <c r="N19" s="2"/>
      <c r="O19" s="2"/>
      <c r="P19" s="2"/>
      <c r="Q19" s="2"/>
      <c r="R19" s="2"/>
      <c r="S19" s="2"/>
      <c r="T19" s="2"/>
      <c r="U19" s="15"/>
      <c r="V19" s="14"/>
      <c r="W19" s="15"/>
      <c r="X19" s="14"/>
      <c r="Y19" s="14"/>
      <c r="Z19" s="14"/>
      <c r="AA19" s="14"/>
      <c r="AB19" s="17"/>
      <c r="AC19" s="17"/>
      <c r="AD19" s="18"/>
      <c r="AE19" s="17"/>
      <c r="AF19" s="19"/>
      <c r="AG19" s="17"/>
      <c r="AH19" s="20"/>
      <c r="AI19" s="17"/>
      <c r="AJ19" s="17"/>
      <c r="AK19" s="17"/>
      <c r="AL19" s="17"/>
      <c r="AM19" s="17"/>
      <c r="AN19" s="17"/>
      <c r="AO19" s="15"/>
      <c r="AP19" s="15"/>
      <c r="AQ19" s="15"/>
      <c r="AR19" s="15"/>
      <c r="AS19" s="15"/>
      <c r="AT19" s="10" t="str">
        <f aca="false">IF(A19="", "","'"&amp;A19&amp;"':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 '"&amp;SUBSTITUTE(SUBSTITUTE(SUBSTITUTE(AI19, CHAR(13), ""),CHAR(10),"\n"),"'","\'")&amp;IF(AH19&lt;&gt;"", "', textZhAdditional: '"&amp;SUBSTITUTE(SUBSTITUTE(AH19, CHAR(13), ""),CHAR(10),"\n"), "")&amp;IF(AJ19&lt;&gt;"", "', textZhG1Additional: '"&amp;SUBSTITUTE(SUBSTITUTE(AJ19, CHAR(13), ""),CHAR(10),"\n"), "")&amp;"', textKo: '"&amp;SUBSTITUTE(SUBSTITUTE(SUBSTITUTE(AK19, CHAR(13), ""),CHAR(10),"\n"),"'","\'")&amp;IF(AL19&lt;&gt;"", "', textKoAdditional: '"&amp;SUBSTITUTE(SUBSTITUTE(AL19, CHAR(13), ""),CHAR(10),"\n"), "")&amp;"', textEn: '"&amp;SUBSTITUTE(SUBSTITUTE(SUBSTITUTE(AM19, CHAR(13), ""),CHAR(10),"\n"),"'","\'")&amp;IF(AN19&lt;&gt;"", "', textEnAdditional: '"&amp;SUBSTITUTE(SUBSTITUTE(AN19, CHAR(13), ""),CHAR(10),"\n"), "")&amp;"'"&amp;IF(AB19="○",", sealable: true","")&amp;IF(AC19="○",", removable: true","")&amp;IF(AA19="○",", lie: true","")&amp;IF(AD19="○",", investable: true","")&amp;"},")</f>
        <v/>
      </c>
      <c r="AU19" s="11" t="str">
        <f aca="false">IF($A19&lt;&gt;"", "    /** 《"&amp;$E19&amp;"》 */ export const "&amp;SUBSTITUTE(UPPER(IF(MID($A19, 3, 1)="-", RIGHT($A19,LEN($A19)-3), $A19)), "-", "_")&amp;": TCardId = '"&amp;$A19&amp;"';", "")</f>
        <v/>
      </c>
      <c r="AV19" s="12" t="str">
        <f aca="false">IF($A20&lt;&gt;"", "    | '"&amp;$A20&amp;"'", "")</f>
        <v/>
      </c>
    </row>
    <row r="20" customFormat="false" ht="13.8" hidden="false" customHeight="false" outlineLevel="0" collapsed="false">
      <c r="A20" s="2"/>
      <c r="B20" s="2"/>
      <c r="C20" s="2"/>
      <c r="D20" s="2"/>
      <c r="E20" s="2"/>
      <c r="F20" s="2"/>
      <c r="G20" s="2"/>
      <c r="H20" s="2"/>
      <c r="I20" s="2"/>
      <c r="J20" s="2"/>
      <c r="K20" s="2"/>
      <c r="L20" s="2"/>
      <c r="M20" s="2"/>
      <c r="N20" s="2"/>
      <c r="O20" s="2"/>
      <c r="P20" s="2"/>
      <c r="Q20" s="2"/>
      <c r="R20" s="2"/>
      <c r="S20" s="2"/>
      <c r="T20" s="7"/>
      <c r="U20" s="15"/>
      <c r="V20" s="14"/>
      <c r="W20" s="15"/>
      <c r="X20" s="14"/>
      <c r="Y20" s="14"/>
      <c r="Z20" s="14"/>
      <c r="AA20" s="14"/>
      <c r="AB20" s="17"/>
      <c r="AC20" s="17"/>
      <c r="AD20" s="18"/>
      <c r="AE20" s="17"/>
      <c r="AF20" s="19"/>
      <c r="AG20" s="17"/>
      <c r="AH20" s="20"/>
      <c r="AI20" s="17"/>
      <c r="AJ20" s="17"/>
      <c r="AK20" s="17"/>
      <c r="AL20" s="17"/>
      <c r="AM20" s="17"/>
      <c r="AN20" s="17"/>
      <c r="AO20" s="15"/>
      <c r="AP20" s="15"/>
      <c r="AQ20" s="15"/>
      <c r="AR20" s="15"/>
      <c r="AS20" s="15"/>
      <c r="AT20" s="10" t="str">
        <f aca="false">IF(A20="", "","'"&amp;A20&amp;"':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 '"&amp;SUBSTITUTE(SUBSTITUTE(SUBSTITUTE(AI20, CHAR(13), ""),CHAR(10),"\n"),"'","\'")&amp;IF(AH20&lt;&gt;"", "', textZhAdditional: '"&amp;SUBSTITUTE(SUBSTITUTE(AH20, CHAR(13), ""),CHAR(10),"\n"), "")&amp;IF(AJ20&lt;&gt;"", "', textZhG1Additional: '"&amp;SUBSTITUTE(SUBSTITUTE(AJ20, CHAR(13), ""),CHAR(10),"\n"), "")&amp;"', textKo: '"&amp;SUBSTITUTE(SUBSTITUTE(SUBSTITUTE(AK20, CHAR(13), ""),CHAR(10),"\n"),"'","\'")&amp;IF(AL20&lt;&gt;"", "', textKoAdditional: '"&amp;SUBSTITUTE(SUBSTITUTE(AL20, CHAR(13), ""),CHAR(10),"\n"), "")&amp;"', textEn: '"&amp;SUBSTITUTE(SUBSTITUTE(SUBSTITUTE(AM20, CHAR(13), ""),CHAR(10),"\n"),"'","\'")&amp;IF(AN20&lt;&gt;"", "', textEnAdditional: '"&amp;SUBSTITUTE(SUBSTITUTE(AN20, CHAR(13), ""),CHAR(10),"\n"), "")&amp;"'"&amp;IF(AB20="○",", sealable: true","")&amp;IF(AC20="○",", removable: true","")&amp;IF(AA20="○",", lie: true","")&amp;IF(AD20="○",", investable: true","")&amp;"},")</f>
        <v/>
      </c>
      <c r="AU20" s="11" t="str">
        <f aca="false">IF($A20&lt;&gt;"", "    /** 《"&amp;$E20&amp;"》 */ export const "&amp;SUBSTITUTE(UPPER(IF(MID($A20, 3, 1)="-", RIGHT($A20,LEN($A20)-3), $A20)), "-", "_")&amp;": TCardId = '"&amp;$A20&amp;"';", "")</f>
        <v/>
      </c>
      <c r="AV20" s="12" t="str">
        <f aca="false">IF($A21&lt;&gt;"", "    | '"&amp;$A21&amp;"'", "")</f>
        <v/>
      </c>
    </row>
    <row r="21" customFormat="false" ht="13.8" hidden="false" customHeight="false" outlineLevel="0" collapsed="false">
      <c r="A21" s="2"/>
      <c r="B21" s="2"/>
      <c r="C21" s="2"/>
      <c r="D21" s="2"/>
      <c r="E21" s="2"/>
      <c r="F21" s="2"/>
      <c r="G21" s="2"/>
      <c r="H21" s="2"/>
      <c r="I21" s="2"/>
      <c r="J21" s="2"/>
      <c r="K21" s="2"/>
      <c r="L21" s="2"/>
      <c r="M21" s="2"/>
      <c r="N21" s="2"/>
      <c r="O21" s="2"/>
      <c r="P21" s="2"/>
      <c r="Q21" s="2"/>
      <c r="R21" s="2"/>
      <c r="S21" s="2"/>
      <c r="T21" s="2"/>
      <c r="U21" s="15"/>
      <c r="V21" s="14"/>
      <c r="W21" s="15"/>
      <c r="X21" s="14"/>
      <c r="Y21" s="14"/>
      <c r="Z21" s="14"/>
      <c r="AA21" s="14"/>
      <c r="AB21" s="17"/>
      <c r="AC21" s="17"/>
      <c r="AD21" s="18"/>
      <c r="AE21" s="17"/>
      <c r="AF21" s="19"/>
      <c r="AG21" s="17"/>
      <c r="AH21" s="20"/>
      <c r="AI21" s="17"/>
      <c r="AJ21" s="17"/>
      <c r="AK21" s="17"/>
      <c r="AL21" s="17"/>
      <c r="AM21" s="17"/>
      <c r="AN21" s="17"/>
      <c r="AO21" s="15"/>
      <c r="AP21" s="15"/>
      <c r="AQ21" s="15"/>
      <c r="AR21" s="15"/>
      <c r="AS21" s="15"/>
      <c r="AT21" s="10" t="str">
        <f aca="false">IF(A21="", "","'"&amp;A21&amp;"':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textZhG1: '"&amp;SUBSTITUTE(SUBSTITUTE(SUBSTITUTE(AI21, CHAR(13), ""),CHAR(10),"\n"),"'","\'")&amp;IF(AH21&lt;&gt;"", "', textZhAdditional: '"&amp;SUBSTITUTE(SUBSTITUTE(AH21, CHAR(13), ""),CHAR(10),"\n"), "")&amp;IF(AJ21&lt;&gt;"", "', textZhG1Additional: '"&amp;SUBSTITUTE(SUBSTITUTE(AJ21, CHAR(13), ""),CHAR(10),"\n"), "")&amp;"', textKo: '"&amp;SUBSTITUTE(SUBSTITUTE(SUBSTITUTE(AK21, CHAR(13), ""),CHAR(10),"\n"),"'","\'")&amp;IF(AL21&lt;&gt;"", "', textKoAdditional: '"&amp;SUBSTITUTE(SUBSTITUTE(AL21, CHAR(13), ""),CHAR(10),"\n"), "")&amp;"', textEn: '"&amp;SUBSTITUTE(SUBSTITUTE(SUBSTITUTE(AM21, CHAR(13), ""),CHAR(10),"\n"),"'","\'")&amp;IF(AN21&lt;&gt;"", "', textEnAdditional: '"&amp;SUBSTITUTE(SUBSTITUTE(AN21, CHAR(13), ""),CHAR(10),"\n"), "")&amp;"'"&amp;IF(AB21="○",", sealable: true","")&amp;IF(AC21="○",", removable: true","")&amp;IF(AA21="○",", lie: true","")&amp;IF(AD21="○",", investable: true","")&amp;"},")</f>
        <v/>
      </c>
      <c r="AU21" s="11" t="str">
        <f aca="false">IF($A21&lt;&gt;"", "    /** 《"&amp;$E21&amp;"》 */ export const "&amp;SUBSTITUTE(UPPER(IF(MID($A21, 3, 1)="-", RIGHT($A21,LEN($A21)-3), $A21)), "-", "_")&amp;": TCardId = '"&amp;$A21&amp;"';", "")</f>
        <v/>
      </c>
      <c r="AV21" s="12" t="str">
        <f aca="false">IF($A22&lt;&gt;"", "    | '"&amp;$A22&amp;"'", "")</f>
        <v/>
      </c>
    </row>
    <row r="22" customFormat="false" ht="13.8" hidden="false" customHeight="false" outlineLevel="0" collapsed="false">
      <c r="A22" s="2"/>
      <c r="B22" s="2"/>
      <c r="C22" s="2"/>
      <c r="D22" s="2"/>
      <c r="E22" s="2"/>
      <c r="F22" s="2"/>
      <c r="G22" s="2"/>
      <c r="H22" s="2"/>
      <c r="I22" s="2"/>
      <c r="J22" s="2"/>
      <c r="K22" s="2"/>
      <c r="L22" s="2"/>
      <c r="M22" s="2"/>
      <c r="N22" s="2"/>
      <c r="O22" s="2"/>
      <c r="P22" s="2"/>
      <c r="Q22" s="2"/>
      <c r="R22" s="2"/>
      <c r="S22" s="2"/>
      <c r="T22" s="2"/>
      <c r="U22" s="15"/>
      <c r="V22" s="14"/>
      <c r="W22" s="15"/>
      <c r="X22" s="14"/>
      <c r="Y22" s="14"/>
      <c r="Z22" s="14"/>
      <c r="AA22" s="14"/>
      <c r="AB22" s="17"/>
      <c r="AC22" s="17"/>
      <c r="AD22" s="18"/>
      <c r="AE22" s="17"/>
      <c r="AF22" s="19"/>
      <c r="AG22" s="17"/>
      <c r="AH22" s="20"/>
      <c r="AI22" s="17"/>
      <c r="AJ22" s="17"/>
      <c r="AK22" s="17"/>
      <c r="AL22" s="17"/>
      <c r="AM22" s="17"/>
      <c r="AN22" s="17"/>
      <c r="AO22" s="15"/>
      <c r="AP22" s="15"/>
      <c r="AQ22" s="15"/>
      <c r="AR22" s="15"/>
      <c r="AS22" s="15"/>
      <c r="AT22" s="10" t="str">
        <f aca="false">IF(A22="", "","'"&amp;A22&amp;"':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textZhG1: '"&amp;SUBSTITUTE(SUBSTITUTE(SUBSTITUTE(AI22, CHAR(13), ""),CHAR(10),"\n"),"'","\'")&amp;IF(AH22&lt;&gt;"", "', textZhAdditional: '"&amp;SUBSTITUTE(SUBSTITUTE(AH22, CHAR(13), ""),CHAR(10),"\n"), "")&amp;IF(AJ22&lt;&gt;"", "', textZhG1Additional: '"&amp;SUBSTITUTE(SUBSTITUTE(AJ22, CHAR(13), ""),CHAR(10),"\n"), "")&amp;"', textKo: '"&amp;SUBSTITUTE(SUBSTITUTE(SUBSTITUTE(AK22, CHAR(13), ""),CHAR(10),"\n"),"'","\'")&amp;IF(AL22&lt;&gt;"", "', textKoAdditional: '"&amp;SUBSTITUTE(SUBSTITUTE(AL22, CHAR(13), ""),CHAR(10),"\n"), "")&amp;"', textEn: '"&amp;SUBSTITUTE(SUBSTITUTE(SUBSTITUTE(AM22, CHAR(13), ""),CHAR(10),"\n"),"'","\'")&amp;IF(AN22&lt;&gt;"", "', textEnAdditional: '"&amp;SUBSTITUTE(SUBSTITUTE(AN22, CHAR(13), ""),CHAR(10),"\n"), "")&amp;"'"&amp;IF(AB22="○",", sealable: true","")&amp;IF(AC22="○",", removable: true","")&amp;IF(AA22="○",", lie: true","")&amp;IF(AD22="○",", investable: true","")&amp;"},")</f>
        <v/>
      </c>
      <c r="AU22" s="11" t="str">
        <f aca="false">IF($A22&lt;&gt;"", "    /** 《"&amp;$E22&amp;"》 */ export const "&amp;SUBSTITUTE(UPPER(IF(MID($A22, 3, 1)="-", RIGHT($A22,LEN($A22)-3), $A22)), "-", "_")&amp;": TCardId = '"&amp;$A22&amp;"';", "")</f>
        <v/>
      </c>
      <c r="AV22" s="12" t="str">
        <f aca="false">IF($A23&lt;&gt;"", "    | '"&amp;$A23&amp;"'", "")</f>
        <v/>
      </c>
    </row>
    <row r="23" customFormat="false" ht="13.8" hidden="false" customHeight="false" outlineLevel="0" collapsed="false">
      <c r="A23" s="2"/>
      <c r="B23" s="2"/>
      <c r="C23" s="2"/>
      <c r="D23" s="2"/>
      <c r="E23" s="2"/>
      <c r="F23" s="2"/>
      <c r="G23" s="2"/>
      <c r="H23" s="2"/>
      <c r="I23" s="2"/>
      <c r="J23" s="2"/>
      <c r="K23" s="2"/>
      <c r="L23" s="2"/>
      <c r="M23" s="14"/>
      <c r="N23" s="2"/>
      <c r="O23" s="2"/>
      <c r="P23" s="2"/>
      <c r="Q23" s="2"/>
      <c r="R23" s="2"/>
      <c r="S23" s="2"/>
      <c r="T23" s="7"/>
      <c r="U23" s="15"/>
      <c r="V23" s="14"/>
      <c r="W23" s="15"/>
      <c r="X23" s="14"/>
      <c r="Y23" s="14"/>
      <c r="Z23" s="14"/>
      <c r="AA23" s="14"/>
      <c r="AB23" s="17"/>
      <c r="AC23" s="17"/>
      <c r="AD23" s="18"/>
      <c r="AE23" s="17"/>
      <c r="AF23" s="19"/>
      <c r="AG23" s="17"/>
      <c r="AH23" s="19"/>
      <c r="AI23" s="17"/>
      <c r="AJ23" s="17"/>
      <c r="AK23" s="17"/>
      <c r="AL23" s="19"/>
      <c r="AM23" s="17"/>
      <c r="AN23" s="17"/>
      <c r="AO23" s="15"/>
      <c r="AP23" s="15"/>
      <c r="AQ23" s="15"/>
      <c r="AR23" s="15"/>
      <c r="AS23" s="15"/>
      <c r="AT23" s="10" t="str">
        <f aca="false">IF(A23="", "","'"&amp;A23&amp;"':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textZhG1: '"&amp;SUBSTITUTE(SUBSTITUTE(SUBSTITUTE(AI23, CHAR(13), ""),CHAR(10),"\n"),"'","\'")&amp;IF(AH23&lt;&gt;"", "', textZhAdditional: '"&amp;SUBSTITUTE(SUBSTITUTE(AH23, CHAR(13), ""),CHAR(10),"\n"), "")&amp;IF(AJ23&lt;&gt;"", "', textZhG1Additional: '"&amp;SUBSTITUTE(SUBSTITUTE(AJ23, CHAR(13), ""),CHAR(10),"\n"), "")&amp;"', textKo: '"&amp;SUBSTITUTE(SUBSTITUTE(SUBSTITUTE(AK23, CHAR(13), ""),CHAR(10),"\n"),"'","\'")&amp;IF(AL23&lt;&gt;"", "', textKoAdditional: '"&amp;SUBSTITUTE(SUBSTITUTE(AL23, CHAR(13), ""),CHAR(10),"\n"), "")&amp;"', textEn: '"&amp;SUBSTITUTE(SUBSTITUTE(SUBSTITUTE(AM23, CHAR(13), ""),CHAR(10),"\n"),"'","\'")&amp;IF(AN23&lt;&gt;"", "', textEnAdditional: '"&amp;SUBSTITUTE(SUBSTITUTE(AN23, CHAR(13), ""),CHAR(10),"\n"), "")&amp;"'"&amp;IF(AB23="○",", sealable: true","")&amp;IF(AC23="○",", removable: true","")&amp;IF(AA23="○",", lie: true","")&amp;IF(AD23="○",", investable: true","")&amp;"},")</f>
        <v/>
      </c>
      <c r="AU23" s="11" t="str">
        <f aca="false">IF($A23&lt;&gt;"", "    /** 《"&amp;$E23&amp;"》 */ export const "&amp;SUBSTITUTE(UPPER(IF(MID($A23, 3, 1)="-", RIGHT($A23,LEN($A23)-3), $A23)), "-", "_")&amp;": TCardId = '"&amp;$A23&amp;"';", "")</f>
        <v/>
      </c>
      <c r="AV23" s="12" t="str">
        <f aca="false">IF($A24&lt;&gt;"", "    | '"&amp;$A24&amp;"'", "")</f>
        <v/>
      </c>
    </row>
    <row r="24" customFormat="false" ht="13.8" hidden="false" customHeight="false" outlineLevel="0" collapsed="false">
      <c r="A24" s="2"/>
      <c r="B24" s="2"/>
      <c r="C24" s="2"/>
      <c r="D24" s="2"/>
      <c r="E24" s="2"/>
      <c r="F24" s="2"/>
      <c r="G24" s="2"/>
      <c r="H24" s="2"/>
      <c r="I24" s="2"/>
      <c r="J24" s="2"/>
      <c r="K24" s="2"/>
      <c r="L24" s="2"/>
      <c r="M24" s="2"/>
      <c r="N24" s="2"/>
      <c r="O24" s="2"/>
      <c r="P24" s="2"/>
      <c r="Q24" s="2"/>
      <c r="R24" s="2"/>
      <c r="S24" s="2"/>
      <c r="T24" s="7"/>
      <c r="U24" s="15"/>
      <c r="V24" s="14"/>
      <c r="W24" s="15"/>
      <c r="X24" s="14"/>
      <c r="Y24" s="14"/>
      <c r="Z24" s="14"/>
      <c r="AA24" s="14"/>
      <c r="AB24" s="17"/>
      <c r="AC24" s="17"/>
      <c r="AD24" s="18"/>
      <c r="AE24" s="17"/>
      <c r="AF24" s="19"/>
      <c r="AG24" s="17"/>
      <c r="AH24" s="20"/>
      <c r="AI24" s="17"/>
      <c r="AJ24" s="17"/>
      <c r="AK24" s="17"/>
      <c r="AL24" s="17"/>
      <c r="AM24" s="17"/>
      <c r="AN24" s="17"/>
      <c r="AO24" s="15"/>
      <c r="AP24" s="15"/>
      <c r="AQ24" s="15"/>
      <c r="AR24" s="15"/>
      <c r="AS24" s="15"/>
      <c r="AT24" s="10" t="str">
        <f aca="false">IF(A24="", "","'"&amp;A24&amp;"':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textZhG1: '"&amp;SUBSTITUTE(SUBSTITUTE(SUBSTITUTE(AI24, CHAR(13), ""),CHAR(10),"\n"),"'","\'")&amp;IF(AH24&lt;&gt;"", "', textZhAdditional: '"&amp;SUBSTITUTE(SUBSTITUTE(AH24, CHAR(13), ""),CHAR(10),"\n"), "")&amp;IF(AJ24&lt;&gt;"", "', textZhG1Additional: '"&amp;SUBSTITUTE(SUBSTITUTE(AJ24, CHAR(13), ""),CHAR(10),"\n"), "")&amp;"', textKo: '"&amp;SUBSTITUTE(SUBSTITUTE(SUBSTITUTE(AK24, CHAR(13), ""),CHAR(10),"\n"),"'","\'")&amp;IF(AL24&lt;&gt;"", "', textKoAdditional: '"&amp;SUBSTITUTE(SUBSTITUTE(AL24, CHAR(13), ""),CHAR(10),"\n"), "")&amp;"', textEn: '"&amp;SUBSTITUTE(SUBSTITUTE(SUBSTITUTE(AM24, CHAR(13), ""),CHAR(10),"\n"),"'","\'")&amp;IF(AN24&lt;&gt;"", "', textEnAdditional: '"&amp;SUBSTITUTE(SUBSTITUTE(AN24, CHAR(13), ""),CHAR(10),"\n"), "")&amp;"'"&amp;IF(AB24="○",", sealable: true","")&amp;IF(AC24="○",", removable: true","")&amp;IF(AA24="○",", lie: true","")&amp;IF(AD24="○",", investable: true","")&amp;"},")</f>
        <v/>
      </c>
      <c r="AU24" s="11" t="str">
        <f aca="false">IF($A24&lt;&gt;"", "    /** 《"&amp;$E24&amp;"》 */ export const "&amp;SUBSTITUTE(UPPER(IF(MID($A24, 3, 1)="-", RIGHT($A24,LEN($A24)-3), $A24)), "-", "_")&amp;": TCardId = '"&amp;$A24&amp;"';", "")</f>
        <v/>
      </c>
      <c r="AV24" s="12" t="str">
        <f aca="false">IF($A25&lt;&gt;"", "    | '"&amp;$A25&amp;"'", "")</f>
        <v/>
      </c>
    </row>
    <row r="25" customFormat="false" ht="13.8" hidden="false" customHeight="false" outlineLevel="0" collapsed="false">
      <c r="A25" s="2"/>
      <c r="B25" s="2"/>
      <c r="C25" s="2"/>
      <c r="D25" s="2"/>
      <c r="E25" s="2"/>
      <c r="F25" s="2"/>
      <c r="G25" s="2"/>
      <c r="H25" s="2"/>
      <c r="I25" s="2"/>
      <c r="J25" s="2"/>
      <c r="K25" s="2"/>
      <c r="L25" s="2"/>
      <c r="M25" s="2"/>
      <c r="N25" s="2"/>
      <c r="O25" s="2"/>
      <c r="P25" s="2"/>
      <c r="Q25" s="2"/>
      <c r="R25" s="2"/>
      <c r="S25" s="2"/>
      <c r="T25" s="7"/>
      <c r="U25" s="15"/>
      <c r="V25" s="14"/>
      <c r="W25" s="15"/>
      <c r="X25" s="14"/>
      <c r="Y25" s="14"/>
      <c r="Z25" s="14"/>
      <c r="AA25" s="14"/>
      <c r="AB25" s="17"/>
      <c r="AC25" s="17"/>
      <c r="AD25" s="18"/>
      <c r="AE25" s="17"/>
      <c r="AF25" s="19"/>
      <c r="AG25" s="17"/>
      <c r="AH25" s="20"/>
      <c r="AI25" s="17"/>
      <c r="AJ25" s="17"/>
      <c r="AK25" s="17"/>
      <c r="AL25" s="17"/>
      <c r="AM25" s="17"/>
      <c r="AN25" s="17"/>
      <c r="AO25" s="15"/>
      <c r="AP25" s="15"/>
      <c r="AQ25" s="15"/>
      <c r="AR25" s="15"/>
      <c r="AS25" s="15"/>
      <c r="AT25" s="10" t="str">
        <f aca="false">IF(A25="", "","'"&amp;A25&amp;"':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textZhG1: '"&amp;SUBSTITUTE(SUBSTITUTE(SUBSTITUTE(AI25, CHAR(13), ""),CHAR(10),"\n"),"'","\'")&amp;IF(AH25&lt;&gt;"", "', textZhAdditional: '"&amp;SUBSTITUTE(SUBSTITUTE(AH25, CHAR(13), ""),CHAR(10),"\n"), "")&amp;IF(AJ25&lt;&gt;"", "', textZhG1Additional: '"&amp;SUBSTITUTE(SUBSTITUTE(AJ25, CHAR(13), ""),CHAR(10),"\n"), "")&amp;"', textKo: '"&amp;SUBSTITUTE(SUBSTITUTE(SUBSTITUTE(AK25, CHAR(13), ""),CHAR(10),"\n"),"'","\'")&amp;IF(AL25&lt;&gt;"", "', textKoAdditional: '"&amp;SUBSTITUTE(SUBSTITUTE(AL25, CHAR(13), ""),CHAR(10),"\n"), "")&amp;"', textEn: '"&amp;SUBSTITUTE(SUBSTITUTE(SUBSTITUTE(AM25, CHAR(13), ""),CHAR(10),"\n"),"'","\'")&amp;IF(AN25&lt;&gt;"", "', textEnAdditional: '"&amp;SUBSTITUTE(SUBSTITUTE(AN25, CHAR(13), ""),CHAR(10),"\n"), "")&amp;"'"&amp;IF(AB25="○",", sealable: true","")&amp;IF(AC25="○",", removable: true","")&amp;IF(AA25="○",", lie: true","")&amp;IF(AD25="○",", investable: true","")&amp;"},")</f>
        <v/>
      </c>
      <c r="AU25" s="11" t="str">
        <f aca="false">IF($A25&lt;&gt;"", "    /** 《"&amp;$E25&amp;"》 */ export const "&amp;SUBSTITUTE(UPPER(IF(MID($A25, 3, 1)="-", RIGHT($A25,LEN($A25)-3), $A25)), "-", "_")&amp;": TCardId = '"&amp;$A25&amp;"';", "")</f>
        <v/>
      </c>
      <c r="AV25" s="12" t="str">
        <f aca="false">IF($A26&lt;&gt;"", "    | '"&amp;$A26&amp;"'", "")</f>
        <v/>
      </c>
    </row>
    <row r="26" customFormat="false" ht="13.8" hidden="false" customHeight="false" outlineLevel="0" collapsed="false">
      <c r="A26" s="2"/>
      <c r="B26" s="2"/>
      <c r="C26" s="2"/>
      <c r="D26" s="2"/>
      <c r="E26" s="2"/>
      <c r="F26" s="2"/>
      <c r="G26" s="2"/>
      <c r="H26" s="2"/>
      <c r="I26" s="2"/>
      <c r="J26" s="2"/>
      <c r="K26" s="2"/>
      <c r="L26" s="2"/>
      <c r="M26" s="2"/>
      <c r="N26" s="2"/>
      <c r="O26" s="2"/>
      <c r="P26" s="2"/>
      <c r="Q26" s="2"/>
      <c r="R26" s="2"/>
      <c r="S26" s="2"/>
      <c r="T26" s="7"/>
      <c r="U26" s="15"/>
      <c r="V26" s="14"/>
      <c r="W26" s="15"/>
      <c r="X26" s="14"/>
      <c r="Y26" s="14"/>
      <c r="Z26" s="14"/>
      <c r="AA26" s="14"/>
      <c r="AB26" s="17"/>
      <c r="AC26" s="17"/>
      <c r="AD26" s="18"/>
      <c r="AE26" s="19"/>
      <c r="AF26" s="19"/>
      <c r="AG26" s="17"/>
      <c r="AH26" s="20"/>
      <c r="AI26" s="17"/>
      <c r="AJ26" s="17"/>
      <c r="AK26" s="17"/>
      <c r="AL26" s="17"/>
      <c r="AM26" s="17"/>
      <c r="AN26" s="17"/>
      <c r="AO26" s="15"/>
      <c r="AP26" s="15"/>
      <c r="AQ26" s="15"/>
      <c r="AR26" s="15"/>
      <c r="AS26" s="15"/>
      <c r="AT26" s="10" t="str">
        <f aca="false">IF(A26="", "","'"&amp;A26&amp;"':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textZhG1: '"&amp;SUBSTITUTE(SUBSTITUTE(SUBSTITUTE(AI26, CHAR(13), ""),CHAR(10),"\n"),"'","\'")&amp;IF(AH26&lt;&gt;"", "', textZhAdditional: '"&amp;SUBSTITUTE(SUBSTITUTE(AH26, CHAR(13), ""),CHAR(10),"\n"), "")&amp;IF(AJ26&lt;&gt;"", "', textZhG1Additional: '"&amp;SUBSTITUTE(SUBSTITUTE(AJ26, CHAR(13), ""),CHAR(10),"\n"), "")&amp;"', textKo: '"&amp;SUBSTITUTE(SUBSTITUTE(SUBSTITUTE(AK26, CHAR(13), ""),CHAR(10),"\n"),"'","\'")&amp;IF(AL26&lt;&gt;"", "', textKoAdditional: '"&amp;SUBSTITUTE(SUBSTITUTE(AL26, CHAR(13), ""),CHAR(10),"\n"), "")&amp;"', textEn: '"&amp;SUBSTITUTE(SUBSTITUTE(SUBSTITUTE(AM26, CHAR(13), ""),CHAR(10),"\n"),"'","\'")&amp;IF(AN26&lt;&gt;"", "', textEnAdditional: '"&amp;SUBSTITUTE(SUBSTITUTE(AN26, CHAR(13), ""),CHAR(10),"\n"), "")&amp;"'"&amp;IF(AB26="○",", sealable: true","")&amp;IF(AC26="○",", removable: true","")&amp;IF(AA26="○",", lie: true","")&amp;IF(AD26="○",", investable: true","")&amp;"},")</f>
        <v/>
      </c>
      <c r="AU26" s="11" t="str">
        <f aca="false">IF($A26&lt;&gt;"", "    /** 《"&amp;$E26&amp;"》 */ export const "&amp;SUBSTITUTE(UPPER(IF(MID($A26, 3, 1)="-", RIGHT($A26,LEN($A26)-3), $A26)), "-", "_")&amp;": TCardId = '"&amp;$A26&amp;"';", "")</f>
        <v/>
      </c>
      <c r="AV26" s="12" t="str">
        <f aca="false">IF($A27&lt;&gt;"", "    | '"&amp;$A27&amp;"'", "")</f>
        <v/>
      </c>
    </row>
    <row r="27" customFormat="false" ht="13.8" hidden="false" customHeight="false" outlineLevel="0" collapsed="false">
      <c r="A27" s="2"/>
      <c r="B27" s="2"/>
      <c r="C27" s="2"/>
      <c r="D27" s="2"/>
      <c r="E27" s="2"/>
      <c r="F27" s="2"/>
      <c r="G27" s="2"/>
      <c r="H27" s="2"/>
      <c r="I27" s="2"/>
      <c r="J27" s="2"/>
      <c r="K27" s="2"/>
      <c r="L27" s="2"/>
      <c r="M27" s="2"/>
      <c r="N27" s="2"/>
      <c r="O27" s="2"/>
      <c r="P27" s="2"/>
      <c r="Q27" s="2"/>
      <c r="R27" s="2"/>
      <c r="S27" s="2"/>
      <c r="T27" s="7"/>
      <c r="U27" s="15"/>
      <c r="V27" s="14"/>
      <c r="W27" s="15"/>
      <c r="X27" s="14"/>
      <c r="Y27" s="14"/>
      <c r="Z27" s="14"/>
      <c r="AA27" s="14"/>
      <c r="AB27" s="17"/>
      <c r="AC27" s="17"/>
      <c r="AD27" s="18"/>
      <c r="AE27" s="17"/>
      <c r="AF27" s="19"/>
      <c r="AG27" s="17"/>
      <c r="AH27" s="20"/>
      <c r="AI27" s="17"/>
      <c r="AJ27" s="17"/>
      <c r="AK27" s="17"/>
      <c r="AL27" s="17"/>
      <c r="AM27" s="17"/>
      <c r="AN27" s="17"/>
      <c r="AO27" s="15"/>
      <c r="AP27" s="15"/>
      <c r="AQ27" s="15"/>
      <c r="AR27" s="15"/>
      <c r="AS27" s="15"/>
      <c r="AT27" s="10" t="str">
        <f aca="false">IF(A27="", "","'"&amp;A27&amp;"':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textZhG1: '"&amp;SUBSTITUTE(SUBSTITUTE(SUBSTITUTE(AI27, CHAR(13), ""),CHAR(10),"\n"),"'","\'")&amp;IF(AH27&lt;&gt;"", "', textZhAdditional: '"&amp;SUBSTITUTE(SUBSTITUTE(AH27, CHAR(13), ""),CHAR(10),"\n"), "")&amp;IF(AJ27&lt;&gt;"", "', textZhG1Additional: '"&amp;SUBSTITUTE(SUBSTITUTE(AJ27, CHAR(13), ""),CHAR(10),"\n"), "")&amp;"', textKo: '"&amp;SUBSTITUTE(SUBSTITUTE(SUBSTITUTE(AK27, CHAR(13), ""),CHAR(10),"\n"),"'","\'")&amp;IF(AL27&lt;&gt;"", "', textKoAdditional: '"&amp;SUBSTITUTE(SUBSTITUTE(AL27, CHAR(13), ""),CHAR(10),"\n"), "")&amp;"', textEn: '"&amp;SUBSTITUTE(SUBSTITUTE(SUBSTITUTE(AM27, CHAR(13), ""),CHAR(10),"\n"),"'","\'")&amp;IF(AN27&lt;&gt;"", "', textEnAdditional: '"&amp;SUBSTITUTE(SUBSTITUTE(AN27, CHAR(13), ""),CHAR(10),"\n"), "")&amp;"'"&amp;IF(AB27="○",", sealable: true","")&amp;IF(AC27="○",", removable: true","")&amp;IF(AA27="○",", lie: true","")&amp;IF(AD27="○",", investable: true","")&amp;"},")</f>
        <v/>
      </c>
      <c r="AU27" s="11" t="str">
        <f aca="false">IF($A27&lt;&gt;"", "    /** 《"&amp;$E27&amp;"》 */ export const "&amp;SUBSTITUTE(UPPER(IF(MID($A27, 3, 1)="-", RIGHT($A27,LEN($A27)-3), $A27)), "-", "_")&amp;": TCardId = '"&amp;$A27&amp;"';", "")</f>
        <v/>
      </c>
      <c r="AV27" s="12" t="str">
        <f aca="false">IF($A28&lt;&gt;"", "    | '"&amp;$A28&amp;"'", "")</f>
        <v/>
      </c>
    </row>
    <row r="28" customFormat="false" ht="13.8" hidden="false" customHeight="false" outlineLevel="0" collapsed="false">
      <c r="A28" s="2"/>
      <c r="B28" s="2"/>
      <c r="C28" s="2"/>
      <c r="D28" s="2"/>
      <c r="E28" s="2"/>
      <c r="F28" s="2"/>
      <c r="G28" s="2"/>
      <c r="H28" s="2"/>
      <c r="I28" s="2"/>
      <c r="J28" s="2"/>
      <c r="K28" s="2"/>
      <c r="L28" s="2"/>
      <c r="M28" s="14"/>
      <c r="N28" s="2"/>
      <c r="O28" s="2"/>
      <c r="P28" s="2"/>
      <c r="Q28" s="2"/>
      <c r="R28" s="2"/>
      <c r="S28" s="2"/>
      <c r="T28" s="7"/>
      <c r="U28" s="15"/>
      <c r="V28" s="14"/>
      <c r="W28" s="15"/>
      <c r="X28" s="14"/>
      <c r="Y28" s="14"/>
      <c r="Z28" s="14"/>
      <c r="AA28" s="14"/>
      <c r="AB28" s="17"/>
      <c r="AC28" s="17"/>
      <c r="AD28" s="18"/>
      <c r="AE28" s="19"/>
      <c r="AF28" s="19"/>
      <c r="AG28" s="17"/>
      <c r="AH28" s="20"/>
      <c r="AI28" s="17"/>
      <c r="AJ28" s="17"/>
      <c r="AK28" s="17"/>
      <c r="AL28" s="17"/>
      <c r="AM28" s="17"/>
      <c r="AN28" s="17"/>
      <c r="AO28" s="15"/>
      <c r="AP28" s="15"/>
      <c r="AQ28" s="15"/>
      <c r="AR28" s="15"/>
      <c r="AS28" s="15"/>
      <c r="AT28" s="10" t="str">
        <f aca="false">IF(A28="", "","'"&amp;A28&amp;"':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'"&amp;SUBSTITUTE(SUBSTITUTE(AE28, CHAR(13), ""),CHAR(10),"\n")&amp;IF(AF28&lt;&gt;"", "', textAdditional: '"&amp;SUBSTITUTE(SUBSTITUTE(AF28, CHAR(13), ""),CHAR(10),"\n"), "")&amp;"', textZh: '"&amp;SUBSTITUTE(SUBSTITUTE(SUBSTITUTE(AG28, CHAR(13), ""),CHAR(10),"\n"),"'","\'")&amp;"', textZhG1: '"&amp;SUBSTITUTE(SUBSTITUTE(SUBSTITUTE(AI28, CHAR(13), ""),CHAR(10),"\n"),"'","\'")&amp;IF(AH28&lt;&gt;"", "', textZhAdditional: '"&amp;SUBSTITUTE(SUBSTITUTE(AH28, CHAR(13), ""),CHAR(10),"\n"), "")&amp;IF(AJ28&lt;&gt;"", "', textZhG1Additional: '"&amp;SUBSTITUTE(SUBSTITUTE(AJ28, CHAR(13), ""),CHAR(10),"\n"), "")&amp;"', textKo: '"&amp;SUBSTITUTE(SUBSTITUTE(SUBSTITUTE(AK28, CHAR(13), ""),CHAR(10),"\n"),"'","\'")&amp;IF(AL28&lt;&gt;"", "', textKoAdditional: '"&amp;SUBSTITUTE(SUBSTITUTE(AL28, CHAR(13), ""),CHAR(10),"\n"), "")&amp;"', textEn: '"&amp;SUBSTITUTE(SUBSTITUTE(SUBSTITUTE(AM28, CHAR(13), ""),CHAR(10),"\n"),"'","\'")&amp;IF(AN28&lt;&gt;"", "', textEnAdditional: '"&amp;SUBSTITUTE(SUBSTITUTE(AN28, CHAR(13), ""),CHAR(10),"\n"), "")&amp;"'"&amp;IF(AB28="○",", sealable: true","")&amp;IF(AC28="○",", removable: true","")&amp;IF(AA28="○",", lie: true","")&amp;IF(AD28="○",", investable: true","")&amp;"},")</f>
        <v/>
      </c>
      <c r="AU28" s="11" t="str">
        <f aca="false">IF($A28&lt;&gt;"", "    /** 《"&amp;$E28&amp;"》 */ export const "&amp;SUBSTITUTE(UPPER(IF(MID($A28, 3, 1)="-", RIGHT($A28,LEN($A28)-3), $A28)), "-", "_")&amp;": TCardId = '"&amp;$A28&amp;"';", "")</f>
        <v/>
      </c>
      <c r="AV28" s="12" t="str">
        <f aca="false">IF($A29&lt;&gt;"", "    | '"&amp;$A29&amp;"'", "")</f>
        <v/>
      </c>
    </row>
    <row r="29" customFormat="false" ht="13.8" hidden="false" customHeight="false" outlineLevel="0" collapsed="false">
      <c r="A29" s="2"/>
      <c r="B29" s="2"/>
      <c r="C29" s="2"/>
      <c r="D29" s="2"/>
      <c r="E29" s="2"/>
      <c r="F29" s="2"/>
      <c r="G29" s="2"/>
      <c r="H29" s="2"/>
      <c r="I29" s="2"/>
      <c r="J29" s="2"/>
      <c r="K29" s="2"/>
      <c r="L29" s="2"/>
      <c r="M29" s="14"/>
      <c r="N29" s="2"/>
      <c r="O29" s="2"/>
      <c r="P29" s="2"/>
      <c r="Q29" s="2"/>
      <c r="R29" s="2"/>
      <c r="S29" s="2"/>
      <c r="T29" s="7"/>
      <c r="U29" s="15"/>
      <c r="V29" s="14"/>
      <c r="W29" s="15"/>
      <c r="X29" s="14"/>
      <c r="Y29" s="14"/>
      <c r="Z29" s="14"/>
      <c r="AA29" s="14"/>
      <c r="AB29" s="17"/>
      <c r="AC29" s="17"/>
      <c r="AD29" s="18"/>
      <c r="AE29" s="17"/>
      <c r="AF29" s="19"/>
      <c r="AG29" s="17"/>
      <c r="AH29" s="20"/>
      <c r="AI29" s="17"/>
      <c r="AJ29" s="17"/>
      <c r="AK29" s="17"/>
      <c r="AL29" s="17"/>
      <c r="AM29" s="17"/>
      <c r="AN29" s="17"/>
      <c r="AO29" s="15"/>
      <c r="AP29" s="15"/>
      <c r="AQ29" s="15"/>
      <c r="AR29" s="15"/>
      <c r="AS29" s="15"/>
      <c r="AT29" s="10" t="str">
        <f aca="false">IF(A29="", "","'"&amp;A29&amp;"':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textZhG1: '"&amp;SUBSTITUTE(SUBSTITUTE(SUBSTITUTE(AI29, CHAR(13), ""),CHAR(10),"\n"),"'","\'")&amp;IF(AH29&lt;&gt;"", "', textZhAdditional: '"&amp;SUBSTITUTE(SUBSTITUTE(AH29, CHAR(13), ""),CHAR(10),"\n"), "")&amp;IF(AJ29&lt;&gt;"", "', textZhG1Additional: '"&amp;SUBSTITUTE(SUBSTITUTE(AJ29, CHAR(13), ""),CHAR(10),"\n"), "")&amp;"', textKo: '"&amp;SUBSTITUTE(SUBSTITUTE(SUBSTITUTE(AK29, CHAR(13), ""),CHAR(10),"\n"),"'","\'")&amp;IF(AL29&lt;&gt;"", "', textKoAdditional: '"&amp;SUBSTITUTE(SUBSTITUTE(AL29, CHAR(13), ""),CHAR(10),"\n"), "")&amp;"', textEn: '"&amp;SUBSTITUTE(SUBSTITUTE(SUBSTITUTE(AM29, CHAR(13), ""),CHAR(10),"\n"),"'","\'")&amp;IF(AN29&lt;&gt;"", "', textEnAdditional: '"&amp;SUBSTITUTE(SUBSTITUTE(AN29, CHAR(13), ""),CHAR(10),"\n"), "")&amp;"'"&amp;IF(AB29="○",", sealable: true","")&amp;IF(AC29="○",", removable: true","")&amp;IF(AA29="○",", lie: true","")&amp;IF(AD29="○",", investable: true","")&amp;"},")</f>
        <v/>
      </c>
      <c r="AU29" s="11" t="str">
        <f aca="false">IF($A29&lt;&gt;"", "    /** 《"&amp;$E29&amp;"》 */ export const "&amp;SUBSTITUTE(UPPER(IF(MID($A29, 3, 1)="-", RIGHT($A29,LEN($A29)-3), $A29)), "-", "_")&amp;": TCardId = '"&amp;$A29&amp;"';", "")</f>
        <v/>
      </c>
      <c r="AV29" s="12" t="str">
        <f aca="false">IF($A30&lt;&gt;"", "    | '"&amp;$A30&amp;"'", "")</f>
        <v/>
      </c>
    </row>
    <row r="30" customFormat="false" ht="13.8" hidden="false" customHeight="false" outlineLevel="0" collapsed="false">
      <c r="A30" s="2"/>
      <c r="B30" s="2"/>
      <c r="C30" s="2"/>
      <c r="D30" s="2"/>
      <c r="E30" s="2"/>
      <c r="F30" s="2"/>
      <c r="G30" s="2"/>
      <c r="H30" s="2"/>
      <c r="I30" s="2"/>
      <c r="J30" s="2"/>
      <c r="K30" s="2"/>
      <c r="L30" s="2"/>
      <c r="M30" s="14"/>
      <c r="N30" s="2"/>
      <c r="O30" s="2"/>
      <c r="P30" s="2"/>
      <c r="Q30" s="2"/>
      <c r="R30" s="2"/>
      <c r="S30" s="2"/>
      <c r="T30" s="7"/>
      <c r="U30" s="15"/>
      <c r="V30" s="14"/>
      <c r="W30" s="15"/>
      <c r="X30" s="14"/>
      <c r="Y30" s="14"/>
      <c r="Z30" s="14"/>
      <c r="AA30" s="14"/>
      <c r="AB30" s="17"/>
      <c r="AC30" s="17"/>
      <c r="AD30" s="18"/>
      <c r="AE30" s="17"/>
      <c r="AF30" s="19"/>
      <c r="AG30" s="17"/>
      <c r="AH30" s="20"/>
      <c r="AI30" s="17"/>
      <c r="AJ30" s="17"/>
      <c r="AK30" s="17"/>
      <c r="AL30" s="17"/>
      <c r="AM30" s="17"/>
      <c r="AN30" s="17"/>
      <c r="AO30" s="15"/>
      <c r="AP30" s="15"/>
      <c r="AQ30" s="15"/>
      <c r="AR30" s="15"/>
      <c r="AS30" s="15"/>
      <c r="AT30" s="10" t="str">
        <f aca="false">IF(A30="", "","'"&amp;A30&amp;"':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textZhG1: '"&amp;SUBSTITUTE(SUBSTITUTE(SUBSTITUTE(AI30, CHAR(13), ""),CHAR(10),"\n"),"'","\'")&amp;IF(AH30&lt;&gt;"", "', textZhAdditional: '"&amp;SUBSTITUTE(SUBSTITUTE(AH30, CHAR(13), ""),CHAR(10),"\n"), "")&amp;IF(AJ30&lt;&gt;"", "', textZhG1Additional: '"&amp;SUBSTITUTE(SUBSTITUTE(AJ30, CHAR(13), ""),CHAR(10),"\n"), "")&amp;"', textKo: '"&amp;SUBSTITUTE(SUBSTITUTE(SUBSTITUTE(AK30, CHAR(13), ""),CHAR(10),"\n"),"'","\'")&amp;IF(AL30&lt;&gt;"", "', textKoAdditional: '"&amp;SUBSTITUTE(SUBSTITUTE(AL30, CHAR(13), ""),CHAR(10),"\n"), "")&amp;"', textEn: '"&amp;SUBSTITUTE(SUBSTITUTE(SUBSTITUTE(AM30, CHAR(13), ""),CHAR(10),"\n"),"'","\'")&amp;IF(AN30&lt;&gt;"", "', textEnAdditional: '"&amp;SUBSTITUTE(SUBSTITUTE(AN30, CHAR(13), ""),CHAR(10),"\n"), "")&amp;"'"&amp;IF(AB30="○",", sealable: true","")&amp;IF(AC30="○",", removable: true","")&amp;IF(AA30="○",", lie: true","")&amp;IF(AD30="○",", investable: true","")&amp;"},")</f>
        <v/>
      </c>
      <c r="AU30" s="11" t="str">
        <f aca="false">IF($A30&lt;&gt;"", "    /** 《"&amp;$E30&amp;"》 */ export const "&amp;SUBSTITUTE(UPPER(IF(MID($A30, 3, 1)="-", RIGHT($A30,LEN($A30)-3), $A30)), "-", "_")&amp;": TCardId = '"&amp;$A30&amp;"';", "")</f>
        <v/>
      </c>
      <c r="AV30" s="12" t="str">
        <f aca="false">IF($A31&lt;&gt;"", "    | '"&amp;$A31&amp;"'", "")</f>
        <v/>
      </c>
    </row>
    <row r="31" customFormat="false" ht="13.8" hidden="false" customHeight="false" outlineLevel="0" collapsed="false">
      <c r="A31" s="2"/>
      <c r="B31" s="2"/>
      <c r="C31" s="2"/>
      <c r="D31" s="2"/>
      <c r="E31" s="2"/>
      <c r="F31" s="2"/>
      <c r="G31" s="2"/>
      <c r="H31" s="2"/>
      <c r="I31" s="2"/>
      <c r="J31" s="2"/>
      <c r="K31" s="2"/>
      <c r="L31" s="2"/>
      <c r="M31" s="2"/>
      <c r="N31" s="2"/>
      <c r="O31" s="2"/>
      <c r="P31" s="2"/>
      <c r="Q31" s="2"/>
      <c r="R31" s="2"/>
      <c r="S31" s="2"/>
      <c r="T31" s="7"/>
      <c r="U31" s="15"/>
      <c r="V31" s="14"/>
      <c r="W31" s="15"/>
      <c r="X31" s="14"/>
      <c r="Y31" s="14"/>
      <c r="Z31" s="14"/>
      <c r="AA31" s="14"/>
      <c r="AB31" s="17"/>
      <c r="AC31" s="17"/>
      <c r="AD31" s="18"/>
      <c r="AE31" s="17"/>
      <c r="AF31" s="19"/>
      <c r="AG31" s="17"/>
      <c r="AH31" s="20"/>
      <c r="AI31" s="17"/>
      <c r="AJ31" s="17"/>
      <c r="AK31" s="17"/>
      <c r="AL31" s="17"/>
      <c r="AM31" s="17"/>
      <c r="AN31" s="17"/>
      <c r="AO31" s="15"/>
      <c r="AP31" s="15"/>
      <c r="AQ31" s="15"/>
      <c r="AR31" s="15"/>
      <c r="AS31" s="15"/>
      <c r="AT31" s="10" t="str">
        <f aca="false">IF(A31="", "","'"&amp;A31&amp;"':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textZhG1: '"&amp;SUBSTITUTE(SUBSTITUTE(SUBSTITUTE(AI31, CHAR(13), ""),CHAR(10),"\n"),"'","\'")&amp;IF(AH31&lt;&gt;"", "', textZhAdditional: '"&amp;SUBSTITUTE(SUBSTITUTE(AH31, CHAR(13), ""),CHAR(10),"\n"), "")&amp;IF(AJ31&lt;&gt;"", "', textZhG1Additional: '"&amp;SUBSTITUTE(SUBSTITUTE(AJ31, CHAR(13), ""),CHAR(10),"\n"), "")&amp;"', textKo: '"&amp;SUBSTITUTE(SUBSTITUTE(SUBSTITUTE(AK31, CHAR(13), ""),CHAR(10),"\n"),"'","\'")&amp;IF(AL31&lt;&gt;"", "', textKoAdditional: '"&amp;SUBSTITUTE(SUBSTITUTE(AL31, CHAR(13), ""),CHAR(10),"\n"), "")&amp;"', textEn: '"&amp;SUBSTITUTE(SUBSTITUTE(SUBSTITUTE(AM31, CHAR(13), ""),CHAR(10),"\n"),"'","\'")&amp;IF(AN31&lt;&gt;"", "', textEnAdditional: '"&amp;SUBSTITUTE(SUBSTITUTE(AN31, CHAR(13), ""),CHAR(10),"\n"), "")&amp;"'"&amp;IF(AB31="○",", sealable: true","")&amp;IF(AC31="○",", removable: true","")&amp;IF(AA31="○",", lie: true","")&amp;IF(AD31="○",", investable: true","")&amp;"},")</f>
        <v/>
      </c>
      <c r="AU31" s="11" t="str">
        <f aca="false">IF($A31&lt;&gt;"", "    /** 《"&amp;$E31&amp;"》 */ export const "&amp;SUBSTITUTE(UPPER(IF(MID($A31, 3, 1)="-", RIGHT($A31,LEN($A31)-3), $A31)), "-", "_")&amp;": TCardId = '"&amp;$A31&amp;"';", "")</f>
        <v/>
      </c>
      <c r="AV31" s="12" t="str">
        <f aca="false">IF($A32&lt;&gt;"", "    | '"&amp;$A32&amp;"'", "")</f>
        <v/>
      </c>
    </row>
    <row r="32" customFormat="false" ht="13.8" hidden="false" customHeight="false" outlineLevel="0" collapsed="false">
      <c r="A32" s="2"/>
      <c r="B32" s="2"/>
      <c r="C32" s="2"/>
      <c r="D32" s="2"/>
      <c r="E32" s="2"/>
      <c r="F32" s="2"/>
      <c r="G32" s="2"/>
      <c r="H32" s="2"/>
      <c r="I32" s="2"/>
      <c r="J32" s="2"/>
      <c r="K32" s="2"/>
      <c r="L32" s="2"/>
      <c r="M32" s="2"/>
      <c r="N32" s="2"/>
      <c r="O32" s="2"/>
      <c r="P32" s="2"/>
      <c r="Q32" s="2"/>
      <c r="R32" s="2"/>
      <c r="S32" s="2"/>
      <c r="T32" s="7"/>
      <c r="U32" s="15"/>
      <c r="V32" s="14"/>
      <c r="W32" s="15"/>
      <c r="X32" s="14"/>
      <c r="Y32" s="14"/>
      <c r="Z32" s="14"/>
      <c r="AA32" s="14"/>
      <c r="AB32" s="17"/>
      <c r="AC32" s="17"/>
      <c r="AD32" s="18"/>
      <c r="AE32" s="17"/>
      <c r="AF32" s="19"/>
      <c r="AG32" s="17"/>
      <c r="AH32" s="20"/>
      <c r="AI32" s="17"/>
      <c r="AJ32" s="17"/>
      <c r="AK32" s="17"/>
      <c r="AL32" s="17"/>
      <c r="AM32" s="17"/>
      <c r="AN32" s="17"/>
      <c r="AO32" s="15"/>
      <c r="AP32" s="15"/>
      <c r="AQ32" s="15"/>
      <c r="AR32" s="15"/>
      <c r="AS32" s="15"/>
      <c r="AT32" s="10" t="str">
        <f aca="false">IF(A32="", "","'"&amp;A32&amp;"':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textZhG1: '"&amp;SUBSTITUTE(SUBSTITUTE(SUBSTITUTE(AI32, CHAR(13), ""),CHAR(10),"\n"),"'","\'")&amp;IF(AH32&lt;&gt;"", "', textZhAdditional: '"&amp;SUBSTITUTE(SUBSTITUTE(AH32, CHAR(13), ""),CHAR(10),"\n"), "")&amp;IF(AJ32&lt;&gt;"", "', textZhG1Additional: '"&amp;SUBSTITUTE(SUBSTITUTE(AJ32, CHAR(13), ""),CHAR(10),"\n"), "")&amp;"', textKo: '"&amp;SUBSTITUTE(SUBSTITUTE(SUBSTITUTE(AK32, CHAR(13), ""),CHAR(10),"\n"),"'","\'")&amp;IF(AL32&lt;&gt;"", "', textKoAdditional: '"&amp;SUBSTITUTE(SUBSTITUTE(AL32, CHAR(13), ""),CHAR(10),"\n"), "")&amp;"', textEn: '"&amp;SUBSTITUTE(SUBSTITUTE(SUBSTITUTE(AM32, CHAR(13), ""),CHAR(10),"\n"),"'","\'")&amp;IF(AN32&lt;&gt;"", "', textEnAdditional: '"&amp;SUBSTITUTE(SUBSTITUTE(AN32, CHAR(13), ""),CHAR(10),"\n"), "")&amp;"'"&amp;IF(AB32="○",", sealable: true","")&amp;IF(AC32="○",", removable: true","")&amp;IF(AA32="○",", lie: true","")&amp;IF(AD32="○",", investable: true","")&amp;"},")</f>
        <v/>
      </c>
      <c r="AU32" s="11" t="str">
        <f aca="false">IF($A32&lt;&gt;"", "    /** 《"&amp;$E32&amp;"》 */ export const "&amp;SUBSTITUTE(UPPER(IF(MID($A32, 3, 1)="-", RIGHT($A32,LEN($A32)-3), $A32)), "-", "_")&amp;": TCardId = '"&amp;$A32&amp;"';", "")</f>
        <v/>
      </c>
      <c r="AV32" s="12" t="str">
        <f aca="false">IF($A33&lt;&gt;"", "    | '"&amp;$A33&amp;"'", "")</f>
        <v/>
      </c>
    </row>
    <row r="33" customFormat="false" ht="13.8" hidden="false" customHeight="false" outlineLevel="0" collapsed="false">
      <c r="A33" s="2"/>
      <c r="B33" s="2"/>
      <c r="C33" s="2"/>
      <c r="D33" s="2"/>
      <c r="E33" s="2"/>
      <c r="F33" s="2"/>
      <c r="G33" s="2"/>
      <c r="H33" s="2"/>
      <c r="I33" s="2"/>
      <c r="J33" s="2"/>
      <c r="K33" s="2"/>
      <c r="L33" s="2"/>
      <c r="M33" s="2"/>
      <c r="N33" s="2"/>
      <c r="O33" s="2"/>
      <c r="P33" s="2"/>
      <c r="Q33" s="2"/>
      <c r="R33" s="2"/>
      <c r="S33" s="2"/>
      <c r="T33" s="7"/>
      <c r="U33" s="15"/>
      <c r="V33" s="14"/>
      <c r="W33" s="15"/>
      <c r="X33" s="14"/>
      <c r="Y33" s="14"/>
      <c r="Z33" s="14"/>
      <c r="AA33" s="14"/>
      <c r="AB33" s="17"/>
      <c r="AC33" s="17"/>
      <c r="AD33" s="18"/>
      <c r="AE33" s="19"/>
      <c r="AF33" s="19"/>
      <c r="AG33" s="17"/>
      <c r="AH33" s="20"/>
      <c r="AI33" s="17"/>
      <c r="AJ33" s="17"/>
      <c r="AK33" s="17"/>
      <c r="AL33" s="17"/>
      <c r="AM33" s="17"/>
      <c r="AN33" s="17"/>
      <c r="AO33" s="15"/>
      <c r="AP33" s="15"/>
      <c r="AQ33" s="15"/>
      <c r="AR33" s="15"/>
      <c r="AS33" s="15"/>
      <c r="AT33" s="10" t="str">
        <f aca="false">IF(A33="", "","'"&amp;A33&amp;"':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textZhG1: '"&amp;SUBSTITUTE(SUBSTITUTE(SUBSTITUTE(AI33, CHAR(13), ""),CHAR(10),"\n"),"'","\'")&amp;IF(AH33&lt;&gt;"", "', textZhAdditional: '"&amp;SUBSTITUTE(SUBSTITUTE(AH33, CHAR(13), ""),CHAR(10),"\n"), "")&amp;IF(AJ33&lt;&gt;"", "', textZhG1Additional: '"&amp;SUBSTITUTE(SUBSTITUTE(AJ33, CHAR(13), ""),CHAR(10),"\n"), "")&amp;"', textKo: '"&amp;SUBSTITUTE(SUBSTITUTE(SUBSTITUTE(AK33, CHAR(13), ""),CHAR(10),"\n"),"'","\'")&amp;IF(AL33&lt;&gt;"", "', textKoAdditional: '"&amp;SUBSTITUTE(SUBSTITUTE(AL33, CHAR(13), ""),CHAR(10),"\n"), "")&amp;"', textEn: '"&amp;SUBSTITUTE(SUBSTITUTE(SUBSTITUTE(AM33, CHAR(13), ""),CHAR(10),"\n"),"'","\'")&amp;IF(AN33&lt;&gt;"", "', textEnAdditional: '"&amp;SUBSTITUTE(SUBSTITUTE(AN33, CHAR(13), ""),CHAR(10),"\n"), "")&amp;"'"&amp;IF(AB33="○",", sealable: true","")&amp;IF(AC33="○",", removable: true","")&amp;IF(AA33="○",", lie: true","")&amp;IF(AD33="○",", investable: true","")&amp;"},")</f>
        <v/>
      </c>
      <c r="AU33" s="11" t="str">
        <f aca="false">IF($A33&lt;&gt;"", "    /** 《"&amp;$E33&amp;"》 */ export const "&amp;SUBSTITUTE(UPPER(IF(MID($A33, 3, 1)="-", RIGHT($A33,LEN($A33)-3), $A33)), "-", "_")&amp;": TCardId = '"&amp;$A33&amp;"';", "")</f>
        <v/>
      </c>
      <c r="AV33" s="12" t="str">
        <f aca="false">IF($A34&lt;&gt;"", "    | '"&amp;$A34&amp;"'", "")</f>
        <v/>
      </c>
    </row>
    <row r="34" customFormat="false" ht="13.8" hidden="false" customHeight="false" outlineLevel="0" collapsed="false">
      <c r="A34" s="2"/>
      <c r="B34" s="2"/>
      <c r="C34" s="2"/>
      <c r="D34" s="2"/>
      <c r="E34" s="2"/>
      <c r="F34" s="2"/>
      <c r="G34" s="2"/>
      <c r="H34" s="2"/>
      <c r="I34" s="2"/>
      <c r="J34" s="2"/>
      <c r="K34" s="2"/>
      <c r="L34" s="2"/>
      <c r="M34" s="2"/>
      <c r="N34" s="2"/>
      <c r="O34" s="2"/>
      <c r="P34" s="2"/>
      <c r="Q34" s="2"/>
      <c r="R34" s="2"/>
      <c r="S34" s="2"/>
      <c r="T34" s="7"/>
      <c r="U34" s="15"/>
      <c r="V34" s="14"/>
      <c r="W34" s="15"/>
      <c r="X34" s="14"/>
      <c r="Y34" s="14"/>
      <c r="Z34" s="14"/>
      <c r="AA34" s="14"/>
      <c r="AB34" s="17"/>
      <c r="AC34" s="17"/>
      <c r="AD34" s="18"/>
      <c r="AE34" s="17"/>
      <c r="AF34" s="19"/>
      <c r="AG34" s="17"/>
      <c r="AH34" s="20"/>
      <c r="AI34" s="17"/>
      <c r="AJ34" s="17"/>
      <c r="AK34" s="17"/>
      <c r="AL34" s="17"/>
      <c r="AM34" s="17"/>
      <c r="AN34" s="17"/>
      <c r="AO34" s="15"/>
      <c r="AP34" s="15"/>
      <c r="AQ34" s="15"/>
      <c r="AR34" s="15"/>
      <c r="AS34" s="15"/>
      <c r="AT34" s="10" t="str">
        <f aca="false">IF(A34="", "","'"&amp;A34&amp;"':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growth: "&amp;Y34&amp;"","")&amp;IF(Z34&lt;&gt;"",", cost: '"&amp;Z34&amp;"'","")&amp;", text: '"&amp;SUBSTITUTE(SUBSTITUTE(AE34, CHAR(13), ""),CHAR(10),"\n")&amp;IF(AF34&lt;&gt;"", "', textAdditional: '"&amp;SUBSTITUTE(SUBSTITUTE(AF34, CHAR(13), ""),CHAR(10),"\n"), "")&amp;"', textZh: '"&amp;SUBSTITUTE(SUBSTITUTE(SUBSTITUTE(AG34, CHAR(13), ""),CHAR(10),"\n"),"'","\'")&amp;"', textZhG1: '"&amp;SUBSTITUTE(SUBSTITUTE(SUBSTITUTE(AI34, CHAR(13), ""),CHAR(10),"\n"),"'","\'")&amp;IF(AH34&lt;&gt;"", "', textZhAdditional: '"&amp;SUBSTITUTE(SUBSTITUTE(AH34, CHAR(13), ""),CHAR(10),"\n"), "")&amp;IF(AJ34&lt;&gt;"", "', textZhG1Additional: '"&amp;SUBSTITUTE(SUBSTITUTE(AJ34, CHAR(13), ""),CHAR(10),"\n"), "")&amp;"', textKo: '"&amp;SUBSTITUTE(SUBSTITUTE(SUBSTITUTE(AK34, CHAR(13), ""),CHAR(10),"\n"),"'","\'")&amp;IF(AL34&lt;&gt;"", "', textKoAdditional: '"&amp;SUBSTITUTE(SUBSTITUTE(AL34, CHAR(13), ""),CHAR(10),"\n"), "")&amp;"', textEn: '"&amp;SUBSTITUTE(SUBSTITUTE(SUBSTITUTE(AM34, CHAR(13), ""),CHAR(10),"\n"),"'","\'")&amp;IF(AN34&lt;&gt;"", "', textEnAdditional: '"&amp;SUBSTITUTE(SUBSTITUTE(AN34, CHAR(13), ""),CHAR(10),"\n"), "")&amp;"'"&amp;IF(AB34="○",", sealable: true","")&amp;IF(AC34="○",", removable: true","")&amp;IF(AA34="○",", lie: true","")&amp;IF(AD34="○",", investable: true","")&amp;"},")</f>
        <v/>
      </c>
      <c r="AU34" s="11" t="str">
        <f aca="false">IF($A34&lt;&gt;"", "    /** 《"&amp;$E34&amp;"》 */ export const "&amp;SUBSTITUTE(UPPER(IF(MID($A34, 3, 1)="-", RIGHT($A34,LEN($A34)-3), $A34)), "-", "_")&amp;": TCardId = '"&amp;$A34&amp;"';", "")</f>
        <v/>
      </c>
      <c r="AV34" s="12" t="str">
        <f aca="false">IF($A35&lt;&gt;"", "    | '"&amp;$A35&amp;"'", "")</f>
        <v/>
      </c>
    </row>
    <row r="35" customFormat="false" ht="13.8" hidden="false" customHeight="false" outlineLevel="0" collapsed="false">
      <c r="A35" s="2"/>
      <c r="B35" s="2"/>
      <c r="C35" s="2"/>
      <c r="D35" s="2"/>
      <c r="E35" s="2"/>
      <c r="F35" s="2"/>
      <c r="G35" s="2"/>
      <c r="H35" s="2"/>
      <c r="I35" s="2"/>
      <c r="J35" s="2"/>
      <c r="K35" s="2"/>
      <c r="L35" s="2"/>
      <c r="M35" s="14"/>
      <c r="N35" s="2"/>
      <c r="O35" s="2"/>
      <c r="P35" s="2"/>
      <c r="Q35" s="2"/>
      <c r="R35" s="2"/>
      <c r="S35" s="2"/>
      <c r="T35" s="7"/>
      <c r="U35" s="15"/>
      <c r="V35" s="14"/>
      <c r="W35" s="15"/>
      <c r="X35" s="14"/>
      <c r="Y35" s="14"/>
      <c r="Z35" s="14"/>
      <c r="AA35" s="14"/>
      <c r="AB35" s="17"/>
      <c r="AC35" s="17"/>
      <c r="AD35" s="18"/>
      <c r="AE35" s="17"/>
      <c r="AF35" s="19"/>
      <c r="AG35" s="17"/>
      <c r="AH35" s="20"/>
      <c r="AI35" s="17"/>
      <c r="AJ35" s="17"/>
      <c r="AK35" s="17"/>
      <c r="AL35" s="17"/>
      <c r="AM35" s="17"/>
      <c r="AN35" s="17"/>
      <c r="AO35" s="15"/>
      <c r="AP35" s="15"/>
      <c r="AQ35" s="15"/>
      <c r="AR35" s="15"/>
      <c r="AS35" s="15"/>
      <c r="AT35" s="10" t="str">
        <f aca="false">IF(A35="", "","'"&amp;A35&amp;"':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growth: "&amp;Y35&amp;"","")&amp;IF(Z35&lt;&gt;"",", cost: '"&amp;Z35&amp;"'","")&amp;", text: '"&amp;SUBSTITUTE(SUBSTITUTE(AE35, CHAR(13), ""),CHAR(10),"\n")&amp;IF(AF35&lt;&gt;"", "', textAdditional: '"&amp;SUBSTITUTE(SUBSTITUTE(AF35, CHAR(13), ""),CHAR(10),"\n"), "")&amp;"', textZh: '"&amp;SUBSTITUTE(SUBSTITUTE(SUBSTITUTE(AG35, CHAR(13), ""),CHAR(10),"\n"),"'","\'")&amp;"', textZhG1: '"&amp;SUBSTITUTE(SUBSTITUTE(SUBSTITUTE(AI35, CHAR(13), ""),CHAR(10),"\n"),"'","\'")&amp;IF(AH35&lt;&gt;"", "', textZhAdditional: '"&amp;SUBSTITUTE(SUBSTITUTE(AH35, CHAR(13), ""),CHAR(10),"\n"), "")&amp;IF(AJ35&lt;&gt;"", "', textZhG1Additional: '"&amp;SUBSTITUTE(SUBSTITUTE(AJ35, CHAR(13), ""),CHAR(10),"\n"), "")&amp;"', textKo: '"&amp;SUBSTITUTE(SUBSTITUTE(SUBSTITUTE(AK35, CHAR(13), ""),CHAR(10),"\n"),"'","\'")&amp;IF(AL35&lt;&gt;"", "', textKoAdditional: '"&amp;SUBSTITUTE(SUBSTITUTE(AL35, CHAR(13), ""),CHAR(10),"\n"), "")&amp;"', textEn: '"&amp;SUBSTITUTE(SUBSTITUTE(SUBSTITUTE(AM35, CHAR(13), ""),CHAR(10),"\n"),"'","\'")&amp;IF(AN35&lt;&gt;"", "', textEnAdditional: '"&amp;SUBSTITUTE(SUBSTITUTE(AN35, CHAR(13), ""),CHAR(10),"\n"), "")&amp;"'"&amp;IF(AB35="○",", sealable: true","")&amp;IF(AC35="○",", removable: true","")&amp;IF(AA35="○",", lie: true","")&amp;IF(AD35="○",", investable: true","")&amp;"},")</f>
        <v/>
      </c>
      <c r="AU35" s="11" t="str">
        <f aca="false">IF($A35&lt;&gt;"", "    /** 《"&amp;$E35&amp;"》 */ export const "&amp;SUBSTITUTE(UPPER(IF(MID($A35, 3, 1)="-", RIGHT($A35,LEN($A35)-3), $A35)), "-", "_")&amp;": TCardId = '"&amp;$A35&amp;"';", "")</f>
        <v/>
      </c>
      <c r="AV35" s="12" t="str">
        <f aca="false">IF($A36&lt;&gt;"", "    | '"&amp;$A36&amp;"'", "")</f>
        <v/>
      </c>
    </row>
    <row r="36" customFormat="false" ht="13.8" hidden="false" customHeight="false" outlineLevel="0" collapsed="false">
      <c r="A36" s="2"/>
      <c r="B36" s="2"/>
      <c r="C36" s="2"/>
      <c r="D36" s="2"/>
      <c r="E36" s="2"/>
      <c r="F36" s="2"/>
      <c r="G36" s="2"/>
      <c r="H36" s="2"/>
      <c r="I36" s="2"/>
      <c r="J36" s="2"/>
      <c r="K36" s="2"/>
      <c r="L36" s="2"/>
      <c r="M36" s="14"/>
      <c r="N36" s="2"/>
      <c r="O36" s="2"/>
      <c r="P36" s="2"/>
      <c r="Q36" s="2"/>
      <c r="R36" s="2"/>
      <c r="S36" s="2"/>
      <c r="T36" s="7"/>
      <c r="U36" s="15"/>
      <c r="V36" s="14"/>
      <c r="W36" s="15"/>
      <c r="X36" s="14"/>
      <c r="Y36" s="14"/>
      <c r="Z36" s="14"/>
      <c r="AA36" s="14"/>
      <c r="AB36" s="17"/>
      <c r="AC36" s="17"/>
      <c r="AD36" s="18"/>
      <c r="AE36" s="17"/>
      <c r="AF36" s="19"/>
      <c r="AG36" s="17"/>
      <c r="AH36" s="20"/>
      <c r="AI36" s="17"/>
      <c r="AJ36" s="17"/>
      <c r="AK36" s="17"/>
      <c r="AL36" s="17"/>
      <c r="AM36" s="17"/>
      <c r="AN36" s="17"/>
      <c r="AO36" s="15"/>
      <c r="AP36" s="15"/>
      <c r="AQ36" s="15"/>
      <c r="AR36" s="15"/>
      <c r="AS36" s="15"/>
      <c r="AT36" s="10" t="str">
        <f aca="false">IF(A36="", "","'"&amp;A36&amp;"':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growth: "&amp;Y36&amp;"","")&amp;IF(Z36&lt;&gt;"",", cost: '"&amp;Z36&amp;"'","")&amp;", text: '"&amp;SUBSTITUTE(SUBSTITUTE(AE36, CHAR(13), ""),CHAR(10),"\n")&amp;IF(AF36&lt;&gt;"", "', textAdditional: '"&amp;SUBSTITUTE(SUBSTITUTE(AF36, CHAR(13), ""),CHAR(10),"\n"), "")&amp;"', textZh: '"&amp;SUBSTITUTE(SUBSTITUTE(SUBSTITUTE(AG36, CHAR(13), ""),CHAR(10),"\n"),"'","\'")&amp;"', textZhG1: '"&amp;SUBSTITUTE(SUBSTITUTE(SUBSTITUTE(AI36, CHAR(13), ""),CHAR(10),"\n"),"'","\'")&amp;IF(AH36&lt;&gt;"", "', textZhAdditional: '"&amp;SUBSTITUTE(SUBSTITUTE(AH36, CHAR(13), ""),CHAR(10),"\n"), "")&amp;IF(AJ36&lt;&gt;"", "', textZhG1Additional: '"&amp;SUBSTITUTE(SUBSTITUTE(AJ36, CHAR(13), ""),CHAR(10),"\n"), "")&amp;"', textKo: '"&amp;SUBSTITUTE(SUBSTITUTE(SUBSTITUTE(AK36, CHAR(13), ""),CHAR(10),"\n"),"'","\'")&amp;IF(AL36&lt;&gt;"", "', textKoAdditional: '"&amp;SUBSTITUTE(SUBSTITUTE(AL36, CHAR(13), ""),CHAR(10),"\n"), "")&amp;"', textEn: '"&amp;SUBSTITUTE(SUBSTITUTE(SUBSTITUTE(AM36, CHAR(13), ""),CHAR(10),"\n"),"'","\'")&amp;IF(AN36&lt;&gt;"", "', textEnAdditional: '"&amp;SUBSTITUTE(SUBSTITUTE(AN36, CHAR(13), ""),CHAR(10),"\n"), "")&amp;"'"&amp;IF(AB36="○",", sealable: true","")&amp;IF(AC36="○",", removable: true","")&amp;IF(AA36="○",", lie: true","")&amp;IF(AD36="○",", investable: true","")&amp;"},")</f>
        <v/>
      </c>
      <c r="AU36" s="11" t="str">
        <f aca="false">IF($A36&lt;&gt;"", "    /** 《"&amp;$E36&amp;"》 */ export const "&amp;SUBSTITUTE(UPPER(IF(MID($A36, 3, 1)="-", RIGHT($A36,LEN($A36)-3), $A36)), "-", "_")&amp;": TCardId = '"&amp;$A36&amp;"';", "")</f>
        <v/>
      </c>
      <c r="AV36" s="12" t="str">
        <f aca="false">IF($A37&lt;&gt;"", "    | '"&amp;$A37&amp;"'", "")</f>
        <v/>
      </c>
    </row>
    <row r="37" customFormat="false" ht="13.8" hidden="false" customHeight="false" outlineLevel="0" collapsed="false">
      <c r="A37" s="2"/>
      <c r="B37" s="2"/>
      <c r="C37" s="2"/>
      <c r="D37" s="2"/>
      <c r="E37" s="2"/>
      <c r="F37" s="2"/>
      <c r="G37" s="2"/>
      <c r="H37" s="2"/>
      <c r="I37" s="2"/>
      <c r="J37" s="2"/>
      <c r="K37" s="2"/>
      <c r="L37" s="2"/>
      <c r="M37" s="14"/>
      <c r="N37" s="2"/>
      <c r="O37" s="2"/>
      <c r="P37" s="2"/>
      <c r="Q37" s="2"/>
      <c r="R37" s="2"/>
      <c r="S37" s="2"/>
      <c r="T37" s="7"/>
      <c r="U37" s="15"/>
      <c r="V37" s="14"/>
      <c r="W37" s="15"/>
      <c r="X37" s="14"/>
      <c r="Y37" s="14"/>
      <c r="Z37" s="14"/>
      <c r="AA37" s="14"/>
      <c r="AB37" s="17"/>
      <c r="AC37" s="17"/>
      <c r="AD37" s="18"/>
      <c r="AE37" s="17"/>
      <c r="AF37" s="19"/>
      <c r="AG37" s="17"/>
      <c r="AH37" s="20"/>
      <c r="AI37" s="17"/>
      <c r="AJ37" s="17"/>
      <c r="AK37" s="17"/>
      <c r="AL37" s="17"/>
      <c r="AM37" s="17"/>
      <c r="AN37" s="17"/>
      <c r="AO37" s="15"/>
      <c r="AP37" s="15"/>
      <c r="AQ37" s="15"/>
      <c r="AR37" s="15"/>
      <c r="AS37" s="15"/>
      <c r="AT37" s="10" t="str">
        <f aca="false">IF(A37="", "","'"&amp;A37&amp;"':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growth: "&amp;Y37&amp;"","")&amp;IF(Z37&lt;&gt;"",", cost: '"&amp;Z37&amp;"'","")&amp;", text: '"&amp;SUBSTITUTE(SUBSTITUTE(AE37, CHAR(13), ""),CHAR(10),"\n")&amp;IF(AF37&lt;&gt;"", "', textAdditional: '"&amp;SUBSTITUTE(SUBSTITUTE(AF37, CHAR(13), ""),CHAR(10),"\n"), "")&amp;"', textZh: '"&amp;SUBSTITUTE(SUBSTITUTE(SUBSTITUTE(AG37, CHAR(13), ""),CHAR(10),"\n"),"'","\'")&amp;"', textZhG1: '"&amp;SUBSTITUTE(SUBSTITUTE(SUBSTITUTE(AI37, CHAR(13), ""),CHAR(10),"\n"),"'","\'")&amp;IF(AH37&lt;&gt;"", "', textZhAdditional: '"&amp;SUBSTITUTE(SUBSTITUTE(AH37, CHAR(13), ""),CHAR(10),"\n"), "")&amp;IF(AJ37&lt;&gt;"", "', textZhG1Additional: '"&amp;SUBSTITUTE(SUBSTITUTE(AJ37, CHAR(13), ""),CHAR(10),"\n"), "")&amp;"', textKo: '"&amp;SUBSTITUTE(SUBSTITUTE(SUBSTITUTE(AK37, CHAR(13), ""),CHAR(10),"\n"),"'","\'")&amp;IF(AL37&lt;&gt;"", "', textKoAdditional: '"&amp;SUBSTITUTE(SUBSTITUTE(AL37, CHAR(13), ""),CHAR(10),"\n"), "")&amp;"', textEn: '"&amp;SUBSTITUTE(SUBSTITUTE(SUBSTITUTE(AM37, CHAR(13), ""),CHAR(10),"\n"),"'","\'")&amp;IF(AN37&lt;&gt;"", "', textEnAdditional: '"&amp;SUBSTITUTE(SUBSTITUTE(AN37, CHAR(13), ""),CHAR(10),"\n"), "")&amp;"'"&amp;IF(AB37="○",", sealable: true","")&amp;IF(AC37="○",", removable: true","")&amp;IF(AA37="○",", lie: true","")&amp;IF(AD37="○",", investable: true","")&amp;"},")</f>
        <v/>
      </c>
      <c r="AU37" s="11" t="str">
        <f aca="false">IF($A37&lt;&gt;"", "    /** 《"&amp;$E37&amp;"》 */ export const "&amp;SUBSTITUTE(UPPER(IF(MID($A37, 3, 1)="-", RIGHT($A37,LEN($A37)-3), $A37)), "-", "_")&amp;": TCardId = '"&amp;$A37&amp;"';", "")</f>
        <v/>
      </c>
      <c r="AV37" s="12" t="str">
        <f aca="false">IF($A38&lt;&gt;"", "    | '"&amp;$A38&amp;"'", "")</f>
        <v/>
      </c>
    </row>
    <row r="38" customFormat="false" ht="13.8" hidden="false" customHeight="false" outlineLevel="0" collapsed="false">
      <c r="A38" s="2"/>
      <c r="B38" s="2"/>
      <c r="C38" s="2"/>
      <c r="D38" s="2"/>
      <c r="E38" s="2"/>
      <c r="F38" s="2"/>
      <c r="G38" s="2"/>
      <c r="H38" s="2"/>
      <c r="I38" s="2"/>
      <c r="J38" s="2"/>
      <c r="K38" s="2"/>
      <c r="L38" s="2"/>
      <c r="M38" s="2"/>
      <c r="N38" s="2"/>
      <c r="O38" s="2"/>
      <c r="P38" s="2"/>
      <c r="Q38" s="2"/>
      <c r="R38" s="2"/>
      <c r="S38" s="2"/>
      <c r="T38" s="7"/>
      <c r="U38" s="15"/>
      <c r="V38" s="14"/>
      <c r="W38" s="15"/>
      <c r="X38" s="14"/>
      <c r="Y38" s="14"/>
      <c r="Z38" s="14"/>
      <c r="AA38" s="14"/>
      <c r="AB38" s="17"/>
      <c r="AC38" s="17"/>
      <c r="AD38" s="18"/>
      <c r="AE38" s="17"/>
      <c r="AF38" s="19"/>
      <c r="AG38" s="17"/>
      <c r="AH38" s="20"/>
      <c r="AI38" s="17"/>
      <c r="AJ38" s="17"/>
      <c r="AK38" s="17"/>
      <c r="AL38" s="17"/>
      <c r="AM38" s="17"/>
      <c r="AN38" s="17"/>
      <c r="AO38" s="15"/>
      <c r="AP38" s="15"/>
      <c r="AQ38" s="15"/>
      <c r="AR38" s="15"/>
      <c r="AS38" s="15"/>
      <c r="AT38" s="10" t="str">
        <f aca="false">IF(A38="", "","'"&amp;A38&amp;"':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growth: "&amp;Y38&amp;"","")&amp;IF(Z38&lt;&gt;"",", cost: '"&amp;Z38&amp;"'","")&amp;", text: '"&amp;SUBSTITUTE(SUBSTITUTE(AE38, CHAR(13), ""),CHAR(10),"\n")&amp;IF(AF38&lt;&gt;"", "', textAdditional: '"&amp;SUBSTITUTE(SUBSTITUTE(AF38, CHAR(13), ""),CHAR(10),"\n"), "")&amp;"', textZh: '"&amp;SUBSTITUTE(SUBSTITUTE(SUBSTITUTE(AG38, CHAR(13), ""),CHAR(10),"\n"),"'","\'")&amp;"', textZhG1: '"&amp;SUBSTITUTE(SUBSTITUTE(SUBSTITUTE(AI38, CHAR(13), ""),CHAR(10),"\n"),"'","\'")&amp;IF(AH38&lt;&gt;"", "', textZhAdditional: '"&amp;SUBSTITUTE(SUBSTITUTE(AH38, CHAR(13), ""),CHAR(10),"\n"), "")&amp;IF(AJ38&lt;&gt;"", "', textZhG1Additional: '"&amp;SUBSTITUTE(SUBSTITUTE(AJ38, CHAR(13), ""),CHAR(10),"\n"), "")&amp;"', textKo: '"&amp;SUBSTITUTE(SUBSTITUTE(SUBSTITUTE(AK38, CHAR(13), ""),CHAR(10),"\n"),"'","\'")&amp;IF(AL38&lt;&gt;"", "', textKoAdditional: '"&amp;SUBSTITUTE(SUBSTITUTE(AL38, CHAR(13), ""),CHAR(10),"\n"), "")&amp;"', textEn: '"&amp;SUBSTITUTE(SUBSTITUTE(SUBSTITUTE(AM38, CHAR(13), ""),CHAR(10),"\n"),"'","\'")&amp;IF(AN38&lt;&gt;"", "', textEnAdditional: '"&amp;SUBSTITUTE(SUBSTITUTE(AN38, CHAR(13), ""),CHAR(10),"\n"), "")&amp;"'"&amp;IF(AB38="○",", sealable: true","")&amp;IF(AC38="○",", removable: true","")&amp;IF(AA38="○",", lie: true","")&amp;IF(AD38="○",", investable: true","")&amp;"},")</f>
        <v/>
      </c>
      <c r="AU38" s="11" t="str">
        <f aca="false">IF($A38&lt;&gt;"", "    /** 《"&amp;$E38&amp;"》 */ export const "&amp;SUBSTITUTE(UPPER(IF(MID($A38, 3, 1)="-", RIGHT($A38,LEN($A38)-3), $A38)), "-", "_")&amp;": TCardId = '"&amp;$A38&amp;"';", "")</f>
        <v/>
      </c>
      <c r="AV38" s="12" t="str">
        <f aca="false">IF($A39&lt;&gt;"", "    | '"&amp;$A39&amp;"'", "")</f>
        <v/>
      </c>
    </row>
    <row r="39" customFormat="false" ht="13.8" hidden="false" customHeight="false" outlineLevel="0" collapsed="false">
      <c r="A39" s="2"/>
      <c r="B39" s="2"/>
      <c r="C39" s="2"/>
      <c r="D39" s="2"/>
      <c r="E39" s="2"/>
      <c r="F39" s="2"/>
      <c r="G39" s="2"/>
      <c r="H39" s="2"/>
      <c r="I39" s="2"/>
      <c r="J39" s="2"/>
      <c r="K39" s="2"/>
      <c r="L39" s="2"/>
      <c r="M39" s="2"/>
      <c r="N39" s="2"/>
      <c r="O39" s="2"/>
      <c r="P39" s="2"/>
      <c r="Q39" s="2"/>
      <c r="R39" s="2"/>
      <c r="S39" s="2"/>
      <c r="T39" s="7"/>
      <c r="U39" s="15"/>
      <c r="V39" s="14"/>
      <c r="W39" s="15"/>
      <c r="X39" s="14"/>
      <c r="Y39" s="14"/>
      <c r="Z39" s="14"/>
      <c r="AA39" s="14"/>
      <c r="AB39" s="17"/>
      <c r="AC39" s="17"/>
      <c r="AD39" s="18"/>
      <c r="AE39" s="17"/>
      <c r="AF39" s="19"/>
      <c r="AG39" s="17"/>
      <c r="AH39" s="20"/>
      <c r="AI39" s="17"/>
      <c r="AJ39" s="17"/>
      <c r="AK39" s="17"/>
      <c r="AL39" s="17"/>
      <c r="AM39" s="17"/>
      <c r="AN39" s="17"/>
      <c r="AO39" s="15"/>
      <c r="AP39" s="15"/>
      <c r="AQ39" s="15"/>
      <c r="AR39" s="15"/>
      <c r="AS39" s="15"/>
      <c r="AT39" s="10" t="str">
        <f aca="false">IF(A39="", "","'"&amp;A39&amp;"':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growth: "&amp;Y39&amp;"","")&amp;IF(Z39&lt;&gt;"",", cost: '"&amp;Z39&amp;"'","")&amp;", text: '"&amp;SUBSTITUTE(SUBSTITUTE(AE39, CHAR(13), ""),CHAR(10),"\n")&amp;IF(AF39&lt;&gt;"", "', textAdditional: '"&amp;SUBSTITUTE(SUBSTITUTE(AF39, CHAR(13), ""),CHAR(10),"\n"), "")&amp;"', textZh: '"&amp;SUBSTITUTE(SUBSTITUTE(SUBSTITUTE(AG39, CHAR(13), ""),CHAR(10),"\n"),"'","\'")&amp;"', textZhG1: '"&amp;SUBSTITUTE(SUBSTITUTE(SUBSTITUTE(AI39, CHAR(13), ""),CHAR(10),"\n"),"'","\'")&amp;IF(AH39&lt;&gt;"", "', textZhAdditional: '"&amp;SUBSTITUTE(SUBSTITUTE(AH39, CHAR(13), ""),CHAR(10),"\n"), "")&amp;IF(AJ39&lt;&gt;"", "', textZhG1Additional: '"&amp;SUBSTITUTE(SUBSTITUTE(AJ39, CHAR(13), ""),CHAR(10),"\n"), "")&amp;"', textKo: '"&amp;SUBSTITUTE(SUBSTITUTE(SUBSTITUTE(AK39, CHAR(13), ""),CHAR(10),"\n"),"'","\'")&amp;IF(AL39&lt;&gt;"", "', textKoAdditional: '"&amp;SUBSTITUTE(SUBSTITUTE(AL39, CHAR(13), ""),CHAR(10),"\n"), "")&amp;"', textEn: '"&amp;SUBSTITUTE(SUBSTITUTE(SUBSTITUTE(AM39, CHAR(13), ""),CHAR(10),"\n"),"'","\'")&amp;IF(AN39&lt;&gt;"", "', textEnAdditional: '"&amp;SUBSTITUTE(SUBSTITUTE(AN39, CHAR(13), ""),CHAR(10),"\n"), "")&amp;"'"&amp;IF(AB39="○",", sealable: true","")&amp;IF(AC39="○",", removable: true","")&amp;IF(AA39="○",", lie: true","")&amp;IF(AD39="○",", investable: true","")&amp;"},")</f>
        <v/>
      </c>
      <c r="AU39" s="11" t="str">
        <f aca="false">IF($A39&lt;&gt;"", "    /** 《"&amp;$E39&amp;"》 */ export const "&amp;SUBSTITUTE(UPPER(IF(MID($A39, 3, 1)="-", RIGHT($A39,LEN($A39)-3), $A39)), "-", "_")&amp;": TCardId = '"&amp;$A39&amp;"';", "")</f>
        <v/>
      </c>
      <c r="AV39" s="12" t="str">
        <f aca="false">IF($A40&lt;&gt;"", "    | '"&amp;$A40&amp;"'", "")</f>
        <v/>
      </c>
    </row>
    <row r="40" customFormat="false" ht="13.8" hidden="false" customHeight="false" outlineLevel="0" collapsed="false">
      <c r="A40" s="2"/>
      <c r="B40" s="2"/>
      <c r="C40" s="2"/>
      <c r="D40" s="2"/>
      <c r="E40" s="2"/>
      <c r="F40" s="2"/>
      <c r="G40" s="2"/>
      <c r="H40" s="2"/>
      <c r="I40" s="2"/>
      <c r="J40" s="2"/>
      <c r="K40" s="2"/>
      <c r="L40" s="2"/>
      <c r="M40" s="2"/>
      <c r="N40" s="2"/>
      <c r="O40" s="2"/>
      <c r="P40" s="2"/>
      <c r="Q40" s="2"/>
      <c r="R40" s="2"/>
      <c r="S40" s="2"/>
      <c r="T40" s="7"/>
      <c r="U40" s="15"/>
      <c r="V40" s="14"/>
      <c r="W40" s="15"/>
      <c r="X40" s="14"/>
      <c r="Y40" s="14"/>
      <c r="Z40" s="14"/>
      <c r="AA40" s="14"/>
      <c r="AB40" s="17"/>
      <c r="AC40" s="17"/>
      <c r="AD40" s="18"/>
      <c r="AE40" s="19"/>
      <c r="AF40" s="19"/>
      <c r="AG40" s="17"/>
      <c r="AH40" s="20"/>
      <c r="AI40" s="17"/>
      <c r="AJ40" s="17"/>
      <c r="AK40" s="17"/>
      <c r="AL40" s="17"/>
      <c r="AM40" s="17"/>
      <c r="AN40" s="17"/>
      <c r="AO40" s="15"/>
      <c r="AP40" s="15"/>
      <c r="AQ40" s="15"/>
      <c r="AR40" s="15"/>
      <c r="AS40" s="15"/>
      <c r="AT40" s="10" t="str">
        <f aca="false">IF(A40="", "","'"&amp;A40&amp;"':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growth: "&amp;Y40&amp;"","")&amp;IF(Z40&lt;&gt;"",", cost: '"&amp;Z40&amp;"'","")&amp;", text: '"&amp;SUBSTITUTE(SUBSTITUTE(AE40, CHAR(13), ""),CHAR(10),"\n")&amp;IF(AF40&lt;&gt;"", "', textAdditional: '"&amp;SUBSTITUTE(SUBSTITUTE(AF40, CHAR(13), ""),CHAR(10),"\n"), "")&amp;"', textZh: '"&amp;SUBSTITUTE(SUBSTITUTE(SUBSTITUTE(AG40, CHAR(13), ""),CHAR(10),"\n"),"'","\'")&amp;"', textZhG1: '"&amp;SUBSTITUTE(SUBSTITUTE(SUBSTITUTE(AI40, CHAR(13), ""),CHAR(10),"\n"),"'","\'")&amp;IF(AH40&lt;&gt;"", "', textZhAdditional: '"&amp;SUBSTITUTE(SUBSTITUTE(AH40, CHAR(13), ""),CHAR(10),"\n"), "")&amp;IF(AJ40&lt;&gt;"", "', textZhG1Additional: '"&amp;SUBSTITUTE(SUBSTITUTE(AJ40, CHAR(13), ""),CHAR(10),"\n"), "")&amp;"', textKo: '"&amp;SUBSTITUTE(SUBSTITUTE(SUBSTITUTE(AK40, CHAR(13), ""),CHAR(10),"\n"),"'","\'")&amp;IF(AL40&lt;&gt;"", "', textKoAdditional: '"&amp;SUBSTITUTE(SUBSTITUTE(AL40, CHAR(13), ""),CHAR(10),"\n"), "")&amp;"', textEn: '"&amp;SUBSTITUTE(SUBSTITUTE(SUBSTITUTE(AM40, CHAR(13), ""),CHAR(10),"\n"),"'","\'")&amp;IF(AN40&lt;&gt;"", "', textEnAdditional: '"&amp;SUBSTITUTE(SUBSTITUTE(AN40, CHAR(13), ""),CHAR(10),"\n"), "")&amp;"'"&amp;IF(AB40="○",", sealable: true","")&amp;IF(AC40="○",", removable: true","")&amp;IF(AA40="○",", lie: true","")&amp;IF(AD40="○",", investable: true","")&amp;"},")</f>
        <v/>
      </c>
      <c r="AU40" s="11" t="str">
        <f aca="false">IF($A40&lt;&gt;"", "    /** 《"&amp;$E40&amp;"》 */ export const "&amp;SUBSTITUTE(UPPER(IF(MID($A40, 3, 1)="-", RIGHT($A40,LEN($A40)-3), $A40)), "-", "_")&amp;": TCardId = '"&amp;$A40&amp;"';", "")</f>
        <v/>
      </c>
      <c r="AV40" s="12" t="str">
        <f aca="false">IF($A41&lt;&gt;"", "    | '"&amp;$A41&amp;"'", "")</f>
        <v/>
      </c>
    </row>
    <row r="41" customFormat="false" ht="13.8" hidden="false" customHeight="false" outlineLevel="0" collapsed="false">
      <c r="A41" s="2"/>
      <c r="B41" s="2"/>
      <c r="C41" s="2"/>
      <c r="D41" s="2"/>
      <c r="E41" s="2"/>
      <c r="F41" s="2"/>
      <c r="G41" s="2"/>
      <c r="H41" s="2"/>
      <c r="I41" s="2"/>
      <c r="J41" s="2"/>
      <c r="K41" s="2"/>
      <c r="L41" s="2"/>
      <c r="M41" s="2"/>
      <c r="N41" s="2"/>
      <c r="O41" s="2"/>
      <c r="P41" s="2"/>
      <c r="Q41" s="2"/>
      <c r="R41" s="2"/>
      <c r="S41" s="2"/>
      <c r="T41" s="7"/>
      <c r="U41" s="15"/>
      <c r="V41" s="14"/>
      <c r="W41" s="15"/>
      <c r="X41" s="14"/>
      <c r="Y41" s="14"/>
      <c r="Z41" s="14"/>
      <c r="AA41" s="14"/>
      <c r="AB41" s="17"/>
      <c r="AC41" s="17"/>
      <c r="AD41" s="18"/>
      <c r="AE41" s="17"/>
      <c r="AF41" s="19"/>
      <c r="AG41" s="17"/>
      <c r="AH41" s="20"/>
      <c r="AI41" s="17"/>
      <c r="AJ41" s="17"/>
      <c r="AK41" s="17"/>
      <c r="AL41" s="17"/>
      <c r="AM41" s="17"/>
      <c r="AN41" s="17"/>
      <c r="AO41" s="15"/>
      <c r="AP41" s="15"/>
      <c r="AQ41" s="15"/>
      <c r="AR41" s="15"/>
      <c r="AS41" s="15"/>
      <c r="AT41" s="10" t="str">
        <f aca="false">IF(A41="", "","'"&amp;A41&amp;"':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growth: "&amp;Y41&amp;"","")&amp;IF(Z41&lt;&gt;"",", cost: '"&amp;Z41&amp;"'","")&amp;", text: '"&amp;SUBSTITUTE(SUBSTITUTE(AE41, CHAR(13), ""),CHAR(10),"\n")&amp;IF(AF41&lt;&gt;"", "', textAdditional: '"&amp;SUBSTITUTE(SUBSTITUTE(AF41, CHAR(13), ""),CHAR(10),"\n"), "")&amp;"', textZh: '"&amp;SUBSTITUTE(SUBSTITUTE(SUBSTITUTE(AG41, CHAR(13), ""),CHAR(10),"\n"),"'","\'")&amp;"', textZhG1: '"&amp;SUBSTITUTE(SUBSTITUTE(SUBSTITUTE(AI41, CHAR(13), ""),CHAR(10),"\n"),"'","\'")&amp;IF(AH41&lt;&gt;"", "', textZhAdditional: '"&amp;SUBSTITUTE(SUBSTITUTE(AH41, CHAR(13), ""),CHAR(10),"\n"), "")&amp;IF(AJ41&lt;&gt;"", "', textZhG1Additional: '"&amp;SUBSTITUTE(SUBSTITUTE(AJ41, CHAR(13), ""),CHAR(10),"\n"), "")&amp;"', textKo: '"&amp;SUBSTITUTE(SUBSTITUTE(SUBSTITUTE(AK41, CHAR(13), ""),CHAR(10),"\n"),"'","\'")&amp;IF(AL41&lt;&gt;"", "', textKoAdditional: '"&amp;SUBSTITUTE(SUBSTITUTE(AL41, CHAR(13), ""),CHAR(10),"\n"), "")&amp;"', textEn: '"&amp;SUBSTITUTE(SUBSTITUTE(SUBSTITUTE(AM41, CHAR(13), ""),CHAR(10),"\n"),"'","\'")&amp;IF(AN41&lt;&gt;"", "', textEnAdditional: '"&amp;SUBSTITUTE(SUBSTITUTE(AN41, CHAR(13), ""),CHAR(10),"\n"), "")&amp;"'"&amp;IF(AB41="○",", sealable: true","")&amp;IF(AC41="○",", removable: true","")&amp;IF(AA41="○",", lie: true","")&amp;IF(AD41="○",", investable: true","")&amp;"},")</f>
        <v/>
      </c>
      <c r="AU41" s="11" t="str">
        <f aca="false">IF($A41&lt;&gt;"", "    /** 《"&amp;$E41&amp;"》 */ export const "&amp;SUBSTITUTE(UPPER(IF(MID($A41, 3, 1)="-", RIGHT($A41,LEN($A41)-3), $A41)), "-", "_")&amp;": TCardId = '"&amp;$A41&amp;"';", "")</f>
        <v/>
      </c>
      <c r="AV41" s="12" t="str">
        <f aca="false">IF($A42&lt;&gt;"", "    | '"&amp;$A42&amp;"'", "")</f>
        <v/>
      </c>
    </row>
    <row r="42" customFormat="false" ht="13.8" hidden="false" customHeight="false" outlineLevel="0" collapsed="false">
      <c r="A42" s="2"/>
      <c r="B42" s="2"/>
      <c r="C42" s="2"/>
      <c r="D42" s="2"/>
      <c r="E42" s="2"/>
      <c r="F42" s="2"/>
      <c r="G42" s="2"/>
      <c r="H42" s="2"/>
      <c r="I42" s="2"/>
      <c r="J42" s="2"/>
      <c r="K42" s="2"/>
      <c r="L42" s="2"/>
      <c r="M42" s="14"/>
      <c r="N42" s="2"/>
      <c r="O42" s="2"/>
      <c r="P42" s="2"/>
      <c r="Q42" s="2"/>
      <c r="R42" s="2"/>
      <c r="S42" s="2"/>
      <c r="T42" s="7"/>
      <c r="U42" s="15"/>
      <c r="V42" s="14"/>
      <c r="W42" s="15"/>
      <c r="X42" s="14"/>
      <c r="Y42" s="14"/>
      <c r="Z42" s="14"/>
      <c r="AA42" s="14"/>
      <c r="AB42" s="17"/>
      <c r="AC42" s="17"/>
      <c r="AD42" s="18"/>
      <c r="AE42" s="17"/>
      <c r="AF42" s="19"/>
      <c r="AG42" s="17"/>
      <c r="AH42" s="20"/>
      <c r="AI42" s="17"/>
      <c r="AJ42" s="17"/>
      <c r="AK42" s="17"/>
      <c r="AL42" s="17"/>
      <c r="AM42" s="17"/>
      <c r="AN42" s="17"/>
      <c r="AO42" s="15"/>
      <c r="AP42" s="15"/>
      <c r="AQ42" s="15"/>
      <c r="AR42" s="15"/>
      <c r="AS42" s="15"/>
      <c r="AT42" s="10" t="str">
        <f aca="false">IF(A42="", "","'"&amp;A42&amp;"':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growth: "&amp;Y42&amp;"","")&amp;IF(Z42&lt;&gt;"",", cost: '"&amp;Z42&amp;"'","")&amp;", text: '"&amp;SUBSTITUTE(SUBSTITUTE(AE42, CHAR(13), ""),CHAR(10),"\n")&amp;IF(AF42&lt;&gt;"", "', textAdditional: '"&amp;SUBSTITUTE(SUBSTITUTE(AF42, CHAR(13), ""),CHAR(10),"\n"), "")&amp;"', textZh: '"&amp;SUBSTITUTE(SUBSTITUTE(SUBSTITUTE(AG42, CHAR(13), ""),CHAR(10),"\n"),"'","\'")&amp;"', textZhG1: '"&amp;SUBSTITUTE(SUBSTITUTE(SUBSTITUTE(AI42, CHAR(13), ""),CHAR(10),"\n"),"'","\'")&amp;IF(AH42&lt;&gt;"", "', textZhAdditional: '"&amp;SUBSTITUTE(SUBSTITUTE(AH42, CHAR(13), ""),CHAR(10),"\n"), "")&amp;IF(AJ42&lt;&gt;"", "', textZhG1Additional: '"&amp;SUBSTITUTE(SUBSTITUTE(AJ42, CHAR(13), ""),CHAR(10),"\n"), "")&amp;"', textKo: '"&amp;SUBSTITUTE(SUBSTITUTE(SUBSTITUTE(AK42, CHAR(13), ""),CHAR(10),"\n"),"'","\'")&amp;IF(AL42&lt;&gt;"", "', textKoAdditional: '"&amp;SUBSTITUTE(SUBSTITUTE(AL42, CHAR(13), ""),CHAR(10),"\n"), "")&amp;"', textEn: '"&amp;SUBSTITUTE(SUBSTITUTE(SUBSTITUTE(AM42, CHAR(13), ""),CHAR(10),"\n"),"'","\'")&amp;IF(AN42&lt;&gt;"", "', textEnAdditional: '"&amp;SUBSTITUTE(SUBSTITUTE(AN42, CHAR(13), ""),CHAR(10),"\n"), "")&amp;"'"&amp;IF(AB42="○",", sealable: true","")&amp;IF(AC42="○",", removable: true","")&amp;IF(AA42="○",", lie: true","")&amp;IF(AD42="○",", investable: true","")&amp;"},")</f>
        <v/>
      </c>
      <c r="AU42" s="11" t="str">
        <f aca="false">IF($A42&lt;&gt;"", "    /** 《"&amp;$E42&amp;"》 */ export const "&amp;SUBSTITUTE(UPPER(IF(MID($A42, 3, 1)="-", RIGHT($A42,LEN($A42)-3), $A42)), "-", "_")&amp;": TCardId = '"&amp;$A42&amp;"';", "")</f>
        <v/>
      </c>
      <c r="AV42" s="12" t="str">
        <f aca="false">IF($A43&lt;&gt;"", "    | '"&amp;$A43&amp;"'", "")</f>
        <v/>
      </c>
    </row>
    <row r="43" customFormat="false" ht="13.8" hidden="false" customHeight="false" outlineLevel="0" collapsed="false">
      <c r="A43" s="2"/>
      <c r="B43" s="2"/>
      <c r="C43" s="2"/>
      <c r="D43" s="2"/>
      <c r="E43" s="2"/>
      <c r="F43" s="2"/>
      <c r="G43" s="2"/>
      <c r="H43" s="2"/>
      <c r="I43" s="2"/>
      <c r="J43" s="2"/>
      <c r="K43" s="2"/>
      <c r="L43" s="2"/>
      <c r="M43" s="14"/>
      <c r="N43" s="2"/>
      <c r="O43" s="2"/>
      <c r="P43" s="2"/>
      <c r="Q43" s="2"/>
      <c r="R43" s="2"/>
      <c r="S43" s="2"/>
      <c r="T43" s="7"/>
      <c r="U43" s="15"/>
      <c r="V43" s="14"/>
      <c r="W43" s="15"/>
      <c r="X43" s="14"/>
      <c r="Y43" s="14"/>
      <c r="Z43" s="14"/>
      <c r="AA43" s="14"/>
      <c r="AB43" s="17"/>
      <c r="AC43" s="17"/>
      <c r="AD43" s="18"/>
      <c r="AE43" s="17"/>
      <c r="AF43" s="19"/>
      <c r="AG43" s="17"/>
      <c r="AH43" s="20"/>
      <c r="AI43" s="17"/>
      <c r="AJ43" s="17"/>
      <c r="AK43" s="17"/>
      <c r="AL43" s="17"/>
      <c r="AM43" s="17"/>
      <c r="AN43" s="17"/>
      <c r="AO43" s="15"/>
      <c r="AP43" s="15"/>
      <c r="AQ43" s="15"/>
      <c r="AR43" s="15"/>
      <c r="AS43" s="15"/>
      <c r="AT43" s="10" t="str">
        <f aca="false">IF(A43="", "","'"&amp;A43&amp;"':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growth: "&amp;Y43&amp;"","")&amp;IF(Z43&lt;&gt;"",", cost: '"&amp;Z43&amp;"'","")&amp;", text: '"&amp;SUBSTITUTE(SUBSTITUTE(AE43, CHAR(13), ""),CHAR(10),"\n")&amp;IF(AF43&lt;&gt;"", "', textAdditional: '"&amp;SUBSTITUTE(SUBSTITUTE(AF43, CHAR(13), ""),CHAR(10),"\n"), "")&amp;"', textZh: '"&amp;SUBSTITUTE(SUBSTITUTE(SUBSTITUTE(AG43, CHAR(13), ""),CHAR(10),"\n"),"'","\'")&amp;"', textZhG1: '"&amp;SUBSTITUTE(SUBSTITUTE(SUBSTITUTE(AI43, CHAR(13), ""),CHAR(10),"\n"),"'","\'")&amp;IF(AH43&lt;&gt;"", "', textZhAdditional: '"&amp;SUBSTITUTE(SUBSTITUTE(AH43, CHAR(13), ""),CHAR(10),"\n"), "")&amp;IF(AJ43&lt;&gt;"", "', textZhG1Additional: '"&amp;SUBSTITUTE(SUBSTITUTE(AJ43, CHAR(13), ""),CHAR(10),"\n"), "")&amp;"', textKo: '"&amp;SUBSTITUTE(SUBSTITUTE(SUBSTITUTE(AK43, CHAR(13), ""),CHAR(10),"\n"),"'","\'")&amp;IF(AL43&lt;&gt;"", "', textKoAdditional: '"&amp;SUBSTITUTE(SUBSTITUTE(AL43, CHAR(13), ""),CHAR(10),"\n"), "")&amp;"', textEn: '"&amp;SUBSTITUTE(SUBSTITUTE(SUBSTITUTE(AM43, CHAR(13), ""),CHAR(10),"\n"),"'","\'")&amp;IF(AN43&lt;&gt;"", "', textEnAdditional: '"&amp;SUBSTITUTE(SUBSTITUTE(AN43, CHAR(13), ""),CHAR(10),"\n"), "")&amp;"'"&amp;IF(AB43="○",", sealable: true","")&amp;IF(AC43="○",", removable: true","")&amp;IF(AA43="○",", lie: true","")&amp;IF(AD43="○",", investable: true","")&amp;"},")</f>
        <v/>
      </c>
      <c r="AU43" s="11" t="str">
        <f aca="false">IF($A43&lt;&gt;"", "    /** 《"&amp;$E43&amp;"》 */ export const "&amp;SUBSTITUTE(UPPER(IF(MID($A43, 3, 1)="-", RIGHT($A43,LEN($A43)-3), $A43)), "-", "_")&amp;": TCardId = '"&amp;$A43&amp;"';", "")</f>
        <v/>
      </c>
      <c r="AV43" s="12" t="str">
        <f aca="false">IF($A44&lt;&gt;"", "    | '"&amp;$A44&amp;"'", "")</f>
        <v/>
      </c>
    </row>
    <row r="44" customFormat="false" ht="13.8" hidden="false" customHeight="false" outlineLevel="0" collapsed="false">
      <c r="A44" s="2"/>
      <c r="B44" s="2"/>
      <c r="C44" s="2"/>
      <c r="D44" s="2"/>
      <c r="E44" s="2"/>
      <c r="F44" s="2"/>
      <c r="G44" s="2"/>
      <c r="H44" s="2"/>
      <c r="I44" s="2"/>
      <c r="J44" s="2"/>
      <c r="K44" s="2"/>
      <c r="L44" s="2"/>
      <c r="M44" s="14"/>
      <c r="N44" s="2"/>
      <c r="O44" s="2"/>
      <c r="P44" s="2"/>
      <c r="Q44" s="2"/>
      <c r="R44" s="2"/>
      <c r="S44" s="2"/>
      <c r="T44" s="7"/>
      <c r="U44" s="15"/>
      <c r="V44" s="14"/>
      <c r="W44" s="15"/>
      <c r="X44" s="14"/>
      <c r="Y44" s="14"/>
      <c r="Z44" s="14"/>
      <c r="AA44" s="14"/>
      <c r="AB44" s="17"/>
      <c r="AC44" s="17"/>
      <c r="AD44" s="18"/>
      <c r="AE44" s="17"/>
      <c r="AF44" s="19"/>
      <c r="AG44" s="17"/>
      <c r="AH44" s="20"/>
      <c r="AI44" s="17"/>
      <c r="AJ44" s="17"/>
      <c r="AK44" s="17"/>
      <c r="AL44" s="17"/>
      <c r="AM44" s="17"/>
      <c r="AN44" s="17"/>
      <c r="AO44" s="15"/>
      <c r="AP44" s="15"/>
      <c r="AQ44" s="15"/>
      <c r="AR44" s="15"/>
      <c r="AS44" s="15"/>
      <c r="AT44" s="10" t="str">
        <f aca="false">IF(A44="", "","'"&amp;A44&amp;"':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growth: "&amp;Y44&amp;"","")&amp;IF(Z44&lt;&gt;"",", cost: '"&amp;Z44&amp;"'","")&amp;", text: '"&amp;SUBSTITUTE(SUBSTITUTE(AE44, CHAR(13), ""),CHAR(10),"\n")&amp;IF(AF44&lt;&gt;"", "', textAdditional: '"&amp;SUBSTITUTE(SUBSTITUTE(AF44, CHAR(13), ""),CHAR(10),"\n"), "")&amp;"', textZh: '"&amp;SUBSTITUTE(SUBSTITUTE(SUBSTITUTE(AG44, CHAR(13), ""),CHAR(10),"\n"),"'","\'")&amp;"', textZhG1: '"&amp;SUBSTITUTE(SUBSTITUTE(SUBSTITUTE(AI44, CHAR(13), ""),CHAR(10),"\n"),"'","\'")&amp;IF(AH44&lt;&gt;"", "', textZhAdditional: '"&amp;SUBSTITUTE(SUBSTITUTE(AH44, CHAR(13), ""),CHAR(10),"\n"), "")&amp;IF(AJ44&lt;&gt;"", "', textZhG1Additional: '"&amp;SUBSTITUTE(SUBSTITUTE(AJ44, CHAR(13), ""),CHAR(10),"\n"), "")&amp;"', textKo: '"&amp;SUBSTITUTE(SUBSTITUTE(SUBSTITUTE(AK44, CHAR(13), ""),CHAR(10),"\n"),"'","\'")&amp;IF(AL44&lt;&gt;"", "', textKoAdditional: '"&amp;SUBSTITUTE(SUBSTITUTE(AL44, CHAR(13), ""),CHAR(10),"\n"), "")&amp;"', textEn: '"&amp;SUBSTITUTE(SUBSTITUTE(SUBSTITUTE(AM44, CHAR(13), ""),CHAR(10),"\n"),"'","\'")&amp;IF(AN44&lt;&gt;"", "', textEnAdditional: '"&amp;SUBSTITUTE(SUBSTITUTE(AN44, CHAR(13), ""),CHAR(10),"\n"), "")&amp;"'"&amp;IF(AB44="○",", sealable: true","")&amp;IF(AC44="○",", removable: true","")&amp;IF(AA44="○",", lie: true","")&amp;IF(AD44="○",", investable: true","")&amp;"},")</f>
        <v/>
      </c>
      <c r="AU44" s="11" t="str">
        <f aca="false">IF($A44&lt;&gt;"", "    /** 《"&amp;$E44&amp;"》 */ export const "&amp;SUBSTITUTE(UPPER(IF(MID($A44, 3, 1)="-", RIGHT($A44,LEN($A44)-3), $A44)), "-", "_")&amp;": TCardId = '"&amp;$A44&amp;"';", "")</f>
        <v/>
      </c>
      <c r="AV44" s="12" t="str">
        <f aca="false">IF($A45&lt;&gt;"", "    | '"&amp;$A45&amp;"'", "")</f>
        <v/>
      </c>
    </row>
    <row r="45" customFormat="false" ht="13.8" hidden="false" customHeight="false" outlineLevel="0" collapsed="false">
      <c r="A45" s="2"/>
      <c r="B45" s="2"/>
      <c r="C45" s="2"/>
      <c r="D45" s="2"/>
      <c r="E45" s="2"/>
      <c r="F45" s="2"/>
      <c r="G45" s="2"/>
      <c r="H45" s="2"/>
      <c r="I45" s="2"/>
      <c r="J45" s="2"/>
      <c r="K45" s="2"/>
      <c r="L45" s="2"/>
      <c r="M45" s="2"/>
      <c r="N45" s="2"/>
      <c r="O45" s="2"/>
      <c r="P45" s="2"/>
      <c r="Q45" s="2"/>
      <c r="R45" s="2"/>
      <c r="S45" s="2"/>
      <c r="T45" s="2"/>
      <c r="U45" s="2"/>
      <c r="V45" s="7"/>
      <c r="W45" s="2"/>
      <c r="X45" s="2"/>
      <c r="Y45" s="14"/>
      <c r="Z45" s="14"/>
      <c r="AA45" s="14"/>
      <c r="AB45" s="17"/>
      <c r="AC45" s="17"/>
      <c r="AD45" s="18"/>
      <c r="AE45" s="17"/>
      <c r="AF45" s="19"/>
      <c r="AG45" s="17"/>
      <c r="AH45" s="20"/>
      <c r="AI45" s="17"/>
      <c r="AJ45" s="17"/>
      <c r="AK45" s="17"/>
      <c r="AL45" s="17"/>
      <c r="AM45" s="17"/>
      <c r="AN45" s="17"/>
      <c r="AO45" s="15"/>
      <c r="AP45" s="15"/>
      <c r="AQ45" s="15"/>
      <c r="AR45" s="15"/>
      <c r="AS45" s="15"/>
      <c r="AT45" s="10" t="str">
        <f aca="false">IF(A45="", "","'"&amp;A45&amp;"':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growth: "&amp;Y45&amp;"","")&amp;IF(Z45&lt;&gt;"",", cost: '"&amp;Z45&amp;"'","")&amp;", text: '"&amp;SUBSTITUTE(SUBSTITUTE(AE45, CHAR(13), ""),CHAR(10),"\n")&amp;IF(AF45&lt;&gt;"", "', textAdditional: '"&amp;SUBSTITUTE(SUBSTITUTE(AF45, CHAR(13), ""),CHAR(10),"\n"), "")&amp;"', textZh: '"&amp;SUBSTITUTE(SUBSTITUTE(SUBSTITUTE(AG45, CHAR(13), ""),CHAR(10),"\n"),"'","\'")&amp;"', textZhG1: '"&amp;SUBSTITUTE(SUBSTITUTE(SUBSTITUTE(AI45, CHAR(13), ""),CHAR(10),"\n"),"'","\'")&amp;IF(AH45&lt;&gt;"", "', textZhAdditional: '"&amp;SUBSTITUTE(SUBSTITUTE(AH45, CHAR(13), ""),CHAR(10),"\n"), "")&amp;IF(AJ45&lt;&gt;"", "', textZhG1Additional: '"&amp;SUBSTITUTE(SUBSTITUTE(AJ45, CHAR(13), ""),CHAR(10),"\n"), "")&amp;"', textKo: '"&amp;SUBSTITUTE(SUBSTITUTE(SUBSTITUTE(AK45, CHAR(13), ""),CHAR(10),"\n"),"'","\'")&amp;IF(AL45&lt;&gt;"", "', textKoAdditional: '"&amp;SUBSTITUTE(SUBSTITUTE(AL45, CHAR(13), ""),CHAR(10),"\n"), "")&amp;"', textEn: '"&amp;SUBSTITUTE(SUBSTITUTE(SUBSTITUTE(AM45, CHAR(13), ""),CHAR(10),"\n"),"'","\'")&amp;IF(AN45&lt;&gt;"", "', textEnAdditional: '"&amp;SUBSTITUTE(SUBSTITUTE(AN45, CHAR(13), ""),CHAR(10),"\n"), "")&amp;"'"&amp;IF(AB45="○",", sealable: true","")&amp;IF(AC45="○",", removable: true","")&amp;IF(AA45="○",", lie: true","")&amp;IF(AD45="○",", investable: true","")&amp;"},")</f>
        <v/>
      </c>
      <c r="AU45" s="11" t="str">
        <f aca="false">IF($A45&lt;&gt;"", "    /** 《"&amp;$E45&amp;"》 */ export const "&amp;SUBSTITUTE(UPPER(IF(MID($A45, 3, 1)="-", RIGHT($A45,LEN($A45)-3), $A45)), "-", "_")&amp;": TCardId = '"&amp;$A45&amp;"';", "")</f>
        <v/>
      </c>
      <c r="AV45" s="12" t="str">
        <f aca="false">IF($A46&lt;&gt;"", "    | '"&amp;$A46&amp;"'", "")</f>
        <v/>
      </c>
    </row>
    <row r="46" customFormat="false" ht="13.8" hidden="false" customHeight="false" outlineLevel="0" collapsed="false">
      <c r="A46" s="2"/>
      <c r="B46" s="2"/>
      <c r="C46" s="2"/>
      <c r="D46" s="2"/>
      <c r="E46" s="2"/>
      <c r="F46" s="2"/>
      <c r="G46" s="2"/>
      <c r="H46" s="2"/>
      <c r="I46" s="2"/>
      <c r="J46" s="2"/>
      <c r="K46" s="2"/>
      <c r="L46" s="2"/>
      <c r="M46" s="2"/>
      <c r="N46" s="2"/>
      <c r="O46" s="2"/>
      <c r="P46" s="2"/>
      <c r="Q46" s="2"/>
      <c r="R46" s="2"/>
      <c r="S46" s="2"/>
      <c r="T46" s="2"/>
      <c r="U46" s="2"/>
      <c r="V46" s="7"/>
      <c r="W46" s="2"/>
      <c r="X46" s="2"/>
      <c r="Y46" s="14"/>
      <c r="Z46" s="14"/>
      <c r="AA46" s="14"/>
      <c r="AB46" s="17"/>
      <c r="AC46" s="17"/>
      <c r="AD46" s="18"/>
      <c r="AE46" s="17"/>
      <c r="AF46" s="19"/>
      <c r="AG46" s="17"/>
      <c r="AH46" s="20"/>
      <c r="AI46" s="17"/>
      <c r="AJ46" s="17"/>
      <c r="AK46" s="17"/>
      <c r="AL46" s="17"/>
      <c r="AM46" s="17"/>
      <c r="AN46" s="17"/>
      <c r="AO46" s="15"/>
      <c r="AP46" s="15"/>
      <c r="AQ46" s="15"/>
      <c r="AR46" s="15"/>
      <c r="AS46" s="15"/>
      <c r="AT46" s="10" t="str">
        <f aca="false">IF(A46="", "","'"&amp;A46&amp;"':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growth: "&amp;Y46&amp;"","")&amp;IF(Z46&lt;&gt;"",", cost: '"&amp;Z46&amp;"'","")&amp;", text: '"&amp;SUBSTITUTE(SUBSTITUTE(AE46, CHAR(13), ""),CHAR(10),"\n")&amp;IF(AF46&lt;&gt;"", "', textAdditional: '"&amp;SUBSTITUTE(SUBSTITUTE(AF46, CHAR(13), ""),CHAR(10),"\n"), "")&amp;"', textZh: '"&amp;SUBSTITUTE(SUBSTITUTE(SUBSTITUTE(AG46, CHAR(13), ""),CHAR(10),"\n"),"'","\'")&amp;"', textZhG1: '"&amp;SUBSTITUTE(SUBSTITUTE(SUBSTITUTE(AI46, CHAR(13), ""),CHAR(10),"\n"),"'","\'")&amp;IF(AH46&lt;&gt;"", "', textZhAdditional: '"&amp;SUBSTITUTE(SUBSTITUTE(AH46, CHAR(13), ""),CHAR(10),"\n"), "")&amp;IF(AJ46&lt;&gt;"", "', textZhG1Additional: '"&amp;SUBSTITUTE(SUBSTITUTE(AJ46, CHAR(13), ""),CHAR(10),"\n"), "")&amp;"', textKo: '"&amp;SUBSTITUTE(SUBSTITUTE(SUBSTITUTE(AK46, CHAR(13), ""),CHAR(10),"\n"),"'","\'")&amp;IF(AL46&lt;&gt;"", "', textKoAdditional: '"&amp;SUBSTITUTE(SUBSTITUTE(AL46, CHAR(13), ""),CHAR(10),"\n"), "")&amp;"', textEn: '"&amp;SUBSTITUTE(SUBSTITUTE(SUBSTITUTE(AM46, CHAR(13), ""),CHAR(10),"\n"),"'","\'")&amp;IF(AN46&lt;&gt;"", "', textEnAdditional: '"&amp;SUBSTITUTE(SUBSTITUTE(AN46, CHAR(13), ""),CHAR(10),"\n"), "")&amp;"'"&amp;IF(AB46="○",", sealable: true","")&amp;IF(AC46="○",", removable: true","")&amp;IF(AA46="○",", lie: true","")&amp;IF(AD46="○",", investable: true","")&amp;"},")</f>
        <v/>
      </c>
      <c r="AU46" s="11" t="str">
        <f aca="false">IF($A46&lt;&gt;"", "    /** 《"&amp;$E46&amp;"》 */ export const "&amp;SUBSTITUTE(UPPER(IF(MID($A46, 3, 1)="-", RIGHT($A46,LEN($A46)-3), $A46)), "-", "_")&amp;": TCardId = '"&amp;$A46&amp;"';", "")</f>
        <v/>
      </c>
      <c r="AV46" s="12" t="str">
        <f aca="false">IF($A47&lt;&gt;"", "    | '"&amp;$A47&amp;"'", "")</f>
        <v/>
      </c>
    </row>
    <row r="47" customFormat="false" ht="13.8" hidden="false" customHeight="false" outlineLevel="0" collapsed="false">
      <c r="A47" s="2"/>
      <c r="B47" s="2"/>
      <c r="C47" s="2"/>
      <c r="D47" s="2"/>
      <c r="E47" s="2"/>
      <c r="F47" s="2"/>
      <c r="G47" s="2"/>
      <c r="H47" s="2"/>
      <c r="I47" s="2"/>
      <c r="J47" s="2"/>
      <c r="K47" s="2"/>
      <c r="L47" s="2"/>
      <c r="M47" s="2"/>
      <c r="N47" s="2"/>
      <c r="O47" s="2"/>
      <c r="P47" s="2"/>
      <c r="Q47" s="2"/>
      <c r="R47" s="2"/>
      <c r="S47" s="2"/>
      <c r="T47" s="2"/>
      <c r="U47" s="2"/>
      <c r="V47" s="7"/>
      <c r="W47" s="2"/>
      <c r="X47" s="2"/>
      <c r="Y47" s="14"/>
      <c r="Z47" s="14"/>
      <c r="AA47" s="14"/>
      <c r="AB47" s="17"/>
      <c r="AC47" s="17"/>
      <c r="AD47" s="18"/>
      <c r="AE47" s="19"/>
      <c r="AF47" s="19"/>
      <c r="AG47" s="17"/>
      <c r="AH47" s="20"/>
      <c r="AI47" s="17"/>
      <c r="AJ47" s="17"/>
      <c r="AK47" s="17"/>
      <c r="AL47" s="17"/>
      <c r="AM47" s="17"/>
      <c r="AN47" s="17"/>
      <c r="AO47" s="15"/>
      <c r="AP47" s="15"/>
      <c r="AQ47" s="15"/>
      <c r="AR47" s="15"/>
      <c r="AS47" s="15"/>
      <c r="AT47" s="10" t="str">
        <f aca="false">IF(A47="", "","'"&amp;A47&amp;"':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growth: "&amp;Y47&amp;"","")&amp;IF(Z47&lt;&gt;"",", cost: '"&amp;Z47&amp;"'","")&amp;", text: '"&amp;SUBSTITUTE(SUBSTITUTE(AE47, CHAR(13), ""),CHAR(10),"\n")&amp;IF(AF47&lt;&gt;"", "', textAdditional: '"&amp;SUBSTITUTE(SUBSTITUTE(AF47, CHAR(13), ""),CHAR(10),"\n"), "")&amp;"', textZh: '"&amp;SUBSTITUTE(SUBSTITUTE(SUBSTITUTE(AG47, CHAR(13), ""),CHAR(10),"\n"),"'","\'")&amp;"', textZhG1: '"&amp;SUBSTITUTE(SUBSTITUTE(SUBSTITUTE(AI47, CHAR(13), ""),CHAR(10),"\n"),"'","\'")&amp;IF(AH47&lt;&gt;"", "', textZhAdditional: '"&amp;SUBSTITUTE(SUBSTITUTE(AH47, CHAR(13), ""),CHAR(10),"\n"), "")&amp;IF(AJ47&lt;&gt;"", "', textZhG1Additional: '"&amp;SUBSTITUTE(SUBSTITUTE(AJ47, CHAR(13), ""),CHAR(10),"\n"), "")&amp;"', textKo: '"&amp;SUBSTITUTE(SUBSTITUTE(SUBSTITUTE(AK47, CHAR(13), ""),CHAR(10),"\n"),"'","\'")&amp;IF(AL47&lt;&gt;"", "', textKoAdditional: '"&amp;SUBSTITUTE(SUBSTITUTE(AL47, CHAR(13), ""),CHAR(10),"\n"), "")&amp;"', textEn: '"&amp;SUBSTITUTE(SUBSTITUTE(SUBSTITUTE(AM47, CHAR(13), ""),CHAR(10),"\n"),"'","\'")&amp;IF(AN47&lt;&gt;"", "', textEnAdditional: '"&amp;SUBSTITUTE(SUBSTITUTE(AN47, CHAR(13), ""),CHAR(10),"\n"), "")&amp;"'"&amp;IF(AB47="○",", sealable: true","")&amp;IF(AC47="○",", removable: true","")&amp;IF(AA47="○",", lie: true","")&amp;IF(AD47="○",", investable: true","")&amp;"},")</f>
        <v/>
      </c>
      <c r="AU47" s="11" t="str">
        <f aca="false">IF($A47&lt;&gt;"", "    /** 《"&amp;$E47&amp;"》 */ export const "&amp;SUBSTITUTE(UPPER(IF(MID($A47, 3, 1)="-", RIGHT($A47,LEN($A47)-3), $A47)), "-", "_")&amp;": TCardId = '"&amp;$A47&amp;"';", "")</f>
        <v/>
      </c>
      <c r="AV47" s="12" t="str">
        <f aca="false">IF($A48&lt;&gt;"", "    | '"&amp;$A48&amp;"'", "")</f>
        <v/>
      </c>
    </row>
    <row r="48" customFormat="false" ht="13.8" hidden="false" customHeight="false" outlineLevel="0" collapsed="false">
      <c r="A48" s="2"/>
      <c r="B48" s="2"/>
      <c r="C48" s="2"/>
      <c r="D48" s="2"/>
      <c r="E48" s="2"/>
      <c r="F48" s="2"/>
      <c r="G48" s="2"/>
      <c r="H48" s="2"/>
      <c r="I48" s="2"/>
      <c r="J48" s="2"/>
      <c r="K48" s="2"/>
      <c r="L48" s="2"/>
      <c r="M48" s="2"/>
      <c r="N48" s="2"/>
      <c r="O48" s="2"/>
      <c r="P48" s="2"/>
      <c r="Q48" s="2"/>
      <c r="R48" s="2"/>
      <c r="S48" s="2"/>
      <c r="T48" s="2"/>
      <c r="U48" s="2"/>
      <c r="V48" s="7"/>
      <c r="W48" s="2"/>
      <c r="X48" s="2"/>
      <c r="Y48" s="14"/>
      <c r="Z48" s="14"/>
      <c r="AA48" s="14"/>
      <c r="AB48" s="17"/>
      <c r="AC48" s="17"/>
      <c r="AD48" s="18"/>
      <c r="AE48" s="17"/>
      <c r="AF48" s="19"/>
      <c r="AG48" s="17"/>
      <c r="AH48" s="20"/>
      <c r="AI48" s="17"/>
      <c r="AJ48" s="17"/>
      <c r="AK48" s="17"/>
      <c r="AL48" s="17"/>
      <c r="AM48" s="17"/>
      <c r="AN48" s="17"/>
      <c r="AO48" s="15"/>
      <c r="AP48" s="15"/>
      <c r="AQ48" s="15"/>
      <c r="AR48" s="15"/>
      <c r="AS48" s="15"/>
      <c r="AT48" s="10" t="str">
        <f aca="false">IF(A48="", "","'"&amp;A48&amp;"':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growth: "&amp;Y48&amp;"","")&amp;IF(Z48&lt;&gt;"",", cost: '"&amp;Z48&amp;"'","")&amp;", text: '"&amp;SUBSTITUTE(SUBSTITUTE(AE48, CHAR(13), ""),CHAR(10),"\n")&amp;IF(AF48&lt;&gt;"", "', textAdditional: '"&amp;SUBSTITUTE(SUBSTITUTE(AF48, CHAR(13), ""),CHAR(10),"\n"), "")&amp;"', textZh: '"&amp;SUBSTITUTE(SUBSTITUTE(SUBSTITUTE(AG48, CHAR(13), ""),CHAR(10),"\n"),"'","\'")&amp;"', textZhG1: '"&amp;SUBSTITUTE(SUBSTITUTE(SUBSTITUTE(AI48, CHAR(13), ""),CHAR(10),"\n"),"'","\'")&amp;IF(AH48&lt;&gt;"", "', textZhAdditional: '"&amp;SUBSTITUTE(SUBSTITUTE(AH48, CHAR(13), ""),CHAR(10),"\n"), "")&amp;IF(AJ48&lt;&gt;"", "', textZhG1Additional: '"&amp;SUBSTITUTE(SUBSTITUTE(AJ48, CHAR(13), ""),CHAR(10),"\n"), "")&amp;"', textKo: '"&amp;SUBSTITUTE(SUBSTITUTE(SUBSTITUTE(AK48, CHAR(13), ""),CHAR(10),"\n"),"'","\'")&amp;IF(AL48&lt;&gt;"", "', textKoAdditional: '"&amp;SUBSTITUTE(SUBSTITUTE(AL48, CHAR(13), ""),CHAR(10),"\n"), "")&amp;"', textEn: '"&amp;SUBSTITUTE(SUBSTITUTE(SUBSTITUTE(AM48, CHAR(13), ""),CHAR(10),"\n"),"'","\'")&amp;IF(AN48&lt;&gt;"", "', textEnAdditional: '"&amp;SUBSTITUTE(SUBSTITUTE(AN48, CHAR(13), ""),CHAR(10),"\n"), "")&amp;"'"&amp;IF(AB48="○",", sealable: true","")&amp;IF(AC48="○",", removable: true","")&amp;IF(AA48="○",", lie: true","")&amp;IF(AD48="○",", investable: true","")&amp;"},")</f>
        <v/>
      </c>
      <c r="AU48" s="11" t="str">
        <f aca="false">IF($A48&lt;&gt;"", "    /** 《"&amp;$E48&amp;"》 */ export const "&amp;SUBSTITUTE(UPPER(IF(MID($A48, 3, 1)="-", RIGHT($A48,LEN($A48)-3), $A48)), "-", "_")&amp;": TCardId = '"&amp;$A48&amp;"';", "")</f>
        <v/>
      </c>
      <c r="AV48" s="12" t="str">
        <f aca="false">IF($A49&lt;&gt;"", "    | '"&amp;$A49&amp;"'", "")</f>
        <v/>
      </c>
    </row>
    <row r="49" customFormat="false" ht="13.8" hidden="false" customHeight="false" outlineLevel="0" collapsed="false">
      <c r="A49" s="2"/>
      <c r="B49" s="2"/>
      <c r="C49" s="2"/>
      <c r="D49" s="2"/>
      <c r="E49" s="2"/>
      <c r="F49" s="2"/>
      <c r="G49" s="2"/>
      <c r="H49" s="2"/>
      <c r="I49" s="2"/>
      <c r="J49" s="2"/>
      <c r="K49" s="2"/>
      <c r="L49" s="2"/>
      <c r="M49" s="14"/>
      <c r="N49" s="2"/>
      <c r="O49" s="2"/>
      <c r="P49" s="2"/>
      <c r="Q49" s="2"/>
      <c r="R49" s="2"/>
      <c r="S49" s="2"/>
      <c r="T49" s="2"/>
      <c r="U49" s="2"/>
      <c r="V49" s="7"/>
      <c r="W49" s="2"/>
      <c r="X49" s="2"/>
      <c r="Y49" s="14"/>
      <c r="Z49" s="14"/>
      <c r="AA49" s="14"/>
      <c r="AB49" s="17"/>
      <c r="AC49" s="17"/>
      <c r="AD49" s="18"/>
      <c r="AE49" s="19"/>
      <c r="AF49" s="19"/>
      <c r="AG49" s="17"/>
      <c r="AH49" s="20"/>
      <c r="AI49" s="17"/>
      <c r="AJ49" s="17"/>
      <c r="AK49" s="17"/>
      <c r="AL49" s="17"/>
      <c r="AM49" s="17"/>
      <c r="AN49" s="17"/>
      <c r="AO49" s="15"/>
      <c r="AP49" s="15"/>
      <c r="AQ49" s="15"/>
      <c r="AR49" s="15"/>
      <c r="AS49" s="15"/>
      <c r="AT49" s="10" t="str">
        <f aca="false">IF(A49="", "","'"&amp;A49&amp;"':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growth: "&amp;Y49&amp;"","")&amp;IF(Z49&lt;&gt;"",", cost: '"&amp;Z49&amp;"'","")&amp;", text: '"&amp;SUBSTITUTE(SUBSTITUTE(AE49, CHAR(13), ""),CHAR(10),"\n")&amp;IF(AF49&lt;&gt;"", "', textAdditional: '"&amp;SUBSTITUTE(SUBSTITUTE(AF49, CHAR(13), ""),CHAR(10),"\n"), "")&amp;"', textZh: '"&amp;SUBSTITUTE(SUBSTITUTE(SUBSTITUTE(AG49, CHAR(13), ""),CHAR(10),"\n"),"'","\'")&amp;"', textZhG1: '"&amp;SUBSTITUTE(SUBSTITUTE(SUBSTITUTE(AI49, CHAR(13), ""),CHAR(10),"\n"),"'","\'")&amp;IF(AH49&lt;&gt;"", "', textZhAdditional: '"&amp;SUBSTITUTE(SUBSTITUTE(AH49, CHAR(13), ""),CHAR(10),"\n"), "")&amp;IF(AJ49&lt;&gt;"", "', textZhG1Additional: '"&amp;SUBSTITUTE(SUBSTITUTE(AJ49, CHAR(13), ""),CHAR(10),"\n"), "")&amp;"', textKo: '"&amp;SUBSTITUTE(SUBSTITUTE(SUBSTITUTE(AK49, CHAR(13), ""),CHAR(10),"\n"),"'","\'")&amp;IF(AL49&lt;&gt;"", "', textKoAdditional: '"&amp;SUBSTITUTE(SUBSTITUTE(AL49, CHAR(13), ""),CHAR(10),"\n"), "")&amp;"', textEn: '"&amp;SUBSTITUTE(SUBSTITUTE(SUBSTITUTE(AM49, CHAR(13), ""),CHAR(10),"\n"),"'","\'")&amp;IF(AN49&lt;&gt;"", "', textEnAdditional: '"&amp;SUBSTITUTE(SUBSTITUTE(AN49, CHAR(13), ""),CHAR(10),"\n"), "")&amp;"'"&amp;IF(AB49="○",", sealable: true","")&amp;IF(AC49="○",", removable: true","")&amp;IF(AA49="○",", lie: true","")&amp;IF(AD49="○",", investable: true","")&amp;"},")</f>
        <v/>
      </c>
      <c r="AU49" s="11" t="str">
        <f aca="false">IF($A49&lt;&gt;"", "    /** 《"&amp;$E49&amp;"》 */ export const "&amp;SUBSTITUTE(UPPER(IF(MID($A49, 3, 1)="-", RIGHT($A49,LEN($A49)-3), $A49)), "-", "_")&amp;": TCardId = '"&amp;$A49&amp;"';", "")</f>
        <v/>
      </c>
      <c r="AV49" s="12" t="str">
        <f aca="false">IF($A50&lt;&gt;"", "    | '"&amp;$A50&amp;"'", "")</f>
        <v/>
      </c>
    </row>
    <row r="50" customFormat="false" ht="13.8" hidden="false" customHeight="false" outlineLevel="0" collapsed="false">
      <c r="A50" s="2"/>
      <c r="B50" s="2"/>
      <c r="C50" s="2"/>
      <c r="D50" s="2"/>
      <c r="E50" s="2"/>
      <c r="F50" s="2"/>
      <c r="G50" s="2"/>
      <c r="H50" s="2"/>
      <c r="I50" s="2"/>
      <c r="J50" s="2"/>
      <c r="K50" s="2"/>
      <c r="L50" s="2"/>
      <c r="M50" s="14"/>
      <c r="N50" s="2"/>
      <c r="O50" s="2"/>
      <c r="P50" s="2"/>
      <c r="Q50" s="2"/>
      <c r="R50" s="2"/>
      <c r="S50" s="2"/>
      <c r="T50" s="2"/>
      <c r="U50" s="2"/>
      <c r="V50" s="7"/>
      <c r="W50" s="2"/>
      <c r="X50" s="2"/>
      <c r="Y50" s="14"/>
      <c r="Z50" s="14"/>
      <c r="AA50" s="14"/>
      <c r="AB50" s="17"/>
      <c r="AC50" s="17"/>
      <c r="AD50" s="18"/>
      <c r="AE50" s="17"/>
      <c r="AF50" s="19"/>
      <c r="AG50" s="17"/>
      <c r="AH50" s="20"/>
      <c r="AI50" s="17"/>
      <c r="AJ50" s="17"/>
      <c r="AK50" s="17"/>
      <c r="AL50" s="17"/>
      <c r="AM50" s="17"/>
      <c r="AN50" s="17"/>
      <c r="AO50" s="15"/>
      <c r="AP50" s="15"/>
      <c r="AQ50" s="15"/>
      <c r="AR50" s="15"/>
      <c r="AS50" s="15"/>
      <c r="AT50" s="10" t="str">
        <f aca="false">IF(A50="", "","'"&amp;A50&amp;"':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growth: "&amp;Y50&amp;"","")&amp;IF(Z50&lt;&gt;"",", cost: '"&amp;Z50&amp;"'","")&amp;", text: '"&amp;SUBSTITUTE(SUBSTITUTE(AE50, CHAR(13), ""),CHAR(10),"\n")&amp;IF(AF50&lt;&gt;"", "', textAdditional: '"&amp;SUBSTITUTE(SUBSTITUTE(AF50, CHAR(13), ""),CHAR(10),"\n"), "")&amp;"', textZh: '"&amp;SUBSTITUTE(SUBSTITUTE(SUBSTITUTE(AG50, CHAR(13), ""),CHAR(10),"\n"),"'","\'")&amp;"', textZhG1: '"&amp;SUBSTITUTE(SUBSTITUTE(SUBSTITUTE(AI50, CHAR(13), ""),CHAR(10),"\n"),"'","\'")&amp;IF(AH50&lt;&gt;"", "', textZhAdditional: '"&amp;SUBSTITUTE(SUBSTITUTE(AH50, CHAR(13), ""),CHAR(10),"\n"), "")&amp;IF(AJ50&lt;&gt;"", "', textZhG1Additional: '"&amp;SUBSTITUTE(SUBSTITUTE(AJ50, CHAR(13), ""),CHAR(10),"\n"), "")&amp;"', textKo: '"&amp;SUBSTITUTE(SUBSTITUTE(SUBSTITUTE(AK50, CHAR(13), ""),CHAR(10),"\n"),"'","\'")&amp;IF(AL50&lt;&gt;"", "', textKoAdditional: '"&amp;SUBSTITUTE(SUBSTITUTE(AL50, CHAR(13), ""),CHAR(10),"\n"), "")&amp;"', textEn: '"&amp;SUBSTITUTE(SUBSTITUTE(SUBSTITUTE(AM50, CHAR(13), ""),CHAR(10),"\n"),"'","\'")&amp;IF(AN50&lt;&gt;"", "', textEnAdditional: '"&amp;SUBSTITUTE(SUBSTITUTE(AN50, CHAR(13), ""),CHAR(10),"\n"), "")&amp;"'"&amp;IF(AB50="○",", sealable: true","")&amp;IF(AC50="○",", removable: true","")&amp;IF(AA50="○",", lie: true","")&amp;IF(AD50="○",", investable: true","")&amp;"},")</f>
        <v/>
      </c>
      <c r="AU50" s="11" t="str">
        <f aca="false">IF($A50&lt;&gt;"", "    /** 《"&amp;$E50&amp;"》 */ export const "&amp;SUBSTITUTE(UPPER(IF(MID($A50, 3, 1)="-", RIGHT($A50,LEN($A50)-3), $A50)), "-", "_")&amp;": TCardId = '"&amp;$A50&amp;"';", "")</f>
        <v/>
      </c>
      <c r="AV50" s="12" t="str">
        <f aca="false">IF($A51&lt;&gt;"", "    | '"&amp;$A51&amp;"'", "")</f>
        <v/>
      </c>
    </row>
    <row r="51" customFormat="false" ht="13.8" hidden="false" customHeight="false" outlineLevel="0" collapsed="false">
      <c r="A51" s="2"/>
      <c r="B51" s="2"/>
      <c r="C51" s="2"/>
      <c r="D51" s="2"/>
      <c r="E51" s="2"/>
      <c r="F51" s="2"/>
      <c r="G51" s="2"/>
      <c r="H51" s="2"/>
      <c r="I51" s="2"/>
      <c r="J51" s="2"/>
      <c r="K51" s="2"/>
      <c r="L51" s="2"/>
      <c r="M51" s="14"/>
      <c r="N51" s="2"/>
      <c r="O51" s="2"/>
      <c r="P51" s="2"/>
      <c r="Q51" s="2"/>
      <c r="R51" s="2"/>
      <c r="S51" s="2"/>
      <c r="T51" s="2"/>
      <c r="U51" s="2"/>
      <c r="V51" s="7"/>
      <c r="W51" s="2"/>
      <c r="X51" s="2"/>
      <c r="Y51" s="14"/>
      <c r="Z51" s="14"/>
      <c r="AA51" s="14"/>
      <c r="AB51" s="17"/>
      <c r="AC51" s="17"/>
      <c r="AD51" s="18"/>
      <c r="AE51" s="17"/>
      <c r="AF51" s="19"/>
      <c r="AG51" s="17"/>
      <c r="AH51" s="20"/>
      <c r="AI51" s="17"/>
      <c r="AJ51" s="17"/>
      <c r="AK51" s="17"/>
      <c r="AL51" s="17"/>
      <c r="AM51" s="17"/>
      <c r="AN51" s="17"/>
      <c r="AO51" s="15"/>
      <c r="AP51" s="15"/>
      <c r="AQ51" s="15"/>
      <c r="AR51" s="15"/>
      <c r="AS51" s="15"/>
      <c r="AT51" s="10" t="str">
        <f aca="false">IF(A51="", "","'"&amp;A51&amp;"':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growth: "&amp;Y51&amp;"","")&amp;IF(Z51&lt;&gt;"",", cost: '"&amp;Z51&amp;"'","")&amp;", text: '"&amp;SUBSTITUTE(SUBSTITUTE(AE51, CHAR(13), ""),CHAR(10),"\n")&amp;IF(AF51&lt;&gt;"", "', textAdditional: '"&amp;SUBSTITUTE(SUBSTITUTE(AF51, CHAR(13), ""),CHAR(10),"\n"), "")&amp;"', textZh: '"&amp;SUBSTITUTE(SUBSTITUTE(SUBSTITUTE(AG51, CHAR(13), ""),CHAR(10),"\n"),"'","\'")&amp;"', textZhG1: '"&amp;SUBSTITUTE(SUBSTITUTE(SUBSTITUTE(AI51, CHAR(13), ""),CHAR(10),"\n"),"'","\'")&amp;IF(AH51&lt;&gt;"", "', textZhAdditional: '"&amp;SUBSTITUTE(SUBSTITUTE(AH51, CHAR(13), ""),CHAR(10),"\n"), "")&amp;IF(AJ51&lt;&gt;"", "', textZhG1Additional: '"&amp;SUBSTITUTE(SUBSTITUTE(AJ51, CHAR(13), ""),CHAR(10),"\n"), "")&amp;"', textKo: '"&amp;SUBSTITUTE(SUBSTITUTE(SUBSTITUTE(AK51, CHAR(13), ""),CHAR(10),"\n"),"'","\'")&amp;IF(AL51&lt;&gt;"", "', textKoAdditional: '"&amp;SUBSTITUTE(SUBSTITUTE(AL51, CHAR(13), ""),CHAR(10),"\n"), "")&amp;"', textEn: '"&amp;SUBSTITUTE(SUBSTITUTE(SUBSTITUTE(AM51, CHAR(13), ""),CHAR(10),"\n"),"'","\'")&amp;IF(AN51&lt;&gt;"", "', textEnAdditional: '"&amp;SUBSTITUTE(SUBSTITUTE(AN51, CHAR(13), ""),CHAR(10),"\n"), "")&amp;"'"&amp;IF(AB51="○",", sealable: true","")&amp;IF(AC51="○",", removable: true","")&amp;IF(AA51="○",", lie: true","")&amp;IF(AD51="○",", investable: true","")&amp;"},")</f>
        <v/>
      </c>
      <c r="AU51" s="11" t="str">
        <f aca="false">IF($A51&lt;&gt;"", "    /** 《"&amp;$E51&amp;"》 */ export const "&amp;SUBSTITUTE(UPPER(IF(MID($A51, 3, 1)="-", RIGHT($A51,LEN($A51)-3), $A51)), "-", "_")&amp;": TCardId = '"&amp;$A51&amp;"';", "")</f>
        <v/>
      </c>
      <c r="AV51" s="12" t="str">
        <f aca="false">IF($A52&lt;&gt;"", "    | '"&amp;$A52&amp;"'", "")</f>
        <v/>
      </c>
    </row>
    <row r="52" customFormat="false" ht="13.8" hidden="false" customHeight="false" outlineLevel="0" collapsed="false">
      <c r="A52" s="2"/>
      <c r="B52" s="2"/>
      <c r="C52" s="2"/>
      <c r="D52" s="2"/>
      <c r="E52" s="2"/>
      <c r="F52" s="2"/>
      <c r="G52" s="2"/>
      <c r="H52" s="2"/>
      <c r="I52" s="2"/>
      <c r="J52" s="2"/>
      <c r="K52" s="2"/>
      <c r="L52" s="2"/>
      <c r="M52" s="2"/>
      <c r="N52" s="2"/>
      <c r="O52" s="2"/>
      <c r="P52" s="2"/>
      <c r="Q52" s="2"/>
      <c r="R52" s="2"/>
      <c r="S52" s="2"/>
      <c r="T52" s="2"/>
      <c r="U52" s="15"/>
      <c r="V52" s="14"/>
      <c r="W52" s="15"/>
      <c r="X52" s="14"/>
      <c r="Y52" s="14"/>
      <c r="Z52" s="14"/>
      <c r="AA52" s="14"/>
      <c r="AB52" s="17"/>
      <c r="AC52" s="17"/>
      <c r="AD52" s="18"/>
      <c r="AE52" s="17"/>
      <c r="AF52" s="19"/>
      <c r="AG52" s="17"/>
      <c r="AH52" s="20"/>
      <c r="AI52" s="17"/>
      <c r="AJ52" s="17"/>
      <c r="AK52" s="17"/>
      <c r="AL52" s="17"/>
      <c r="AM52" s="17"/>
      <c r="AN52" s="17"/>
      <c r="AO52" s="15"/>
      <c r="AP52" s="15"/>
      <c r="AQ52" s="15"/>
      <c r="AR52" s="15"/>
      <c r="AS52" s="15"/>
      <c r="AT52" s="10" t="str">
        <f aca="false">IF(A52="", "","'"&amp;A52&amp;"':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growth: "&amp;Y52&amp;"","")&amp;IF(Z52&lt;&gt;"",", cost: '"&amp;Z52&amp;"'","")&amp;", text: '"&amp;SUBSTITUTE(SUBSTITUTE(AE52, CHAR(13), ""),CHAR(10),"\n")&amp;IF(AF52&lt;&gt;"", "', textAdditional: '"&amp;SUBSTITUTE(SUBSTITUTE(AF52, CHAR(13), ""),CHAR(10),"\n"), "")&amp;"', textZh: '"&amp;SUBSTITUTE(SUBSTITUTE(SUBSTITUTE(AG52, CHAR(13), ""),CHAR(10),"\n"),"'","\'")&amp;"', textZhG1: '"&amp;SUBSTITUTE(SUBSTITUTE(SUBSTITUTE(AI52, CHAR(13), ""),CHAR(10),"\n"),"'","\'")&amp;IF(AH52&lt;&gt;"", "', textZhAdditional: '"&amp;SUBSTITUTE(SUBSTITUTE(AH52, CHAR(13), ""),CHAR(10),"\n"), "")&amp;IF(AJ52&lt;&gt;"", "', textZhG1Additional: '"&amp;SUBSTITUTE(SUBSTITUTE(AJ52, CHAR(13), ""),CHAR(10),"\n"), "")&amp;"', textKo: '"&amp;SUBSTITUTE(SUBSTITUTE(SUBSTITUTE(AK52, CHAR(13), ""),CHAR(10),"\n"),"'","\'")&amp;IF(AL52&lt;&gt;"", "', textKoAdditional: '"&amp;SUBSTITUTE(SUBSTITUTE(AL52, CHAR(13), ""),CHAR(10),"\n"), "")&amp;"', textEn: '"&amp;SUBSTITUTE(SUBSTITUTE(SUBSTITUTE(AM52, CHAR(13), ""),CHAR(10),"\n"),"'","\'")&amp;IF(AN52&lt;&gt;"", "', textEnAdditional: '"&amp;SUBSTITUTE(SUBSTITUTE(AN52, CHAR(13), ""),CHAR(10),"\n"), "")&amp;"'"&amp;IF(AB52="○",", sealable: true","")&amp;IF(AC52="○",", removable: true","")&amp;IF(AA52="○",", lie: true","")&amp;IF(AD52="○",", investable: true","")&amp;"},")</f>
        <v/>
      </c>
      <c r="AU52" s="11" t="str">
        <f aca="false">IF($A52&lt;&gt;"", "    /** 《"&amp;$E52&amp;"》 */ export const "&amp;SUBSTITUTE(UPPER(IF(MID($A52, 3, 1)="-", RIGHT($A52,LEN($A52)-3), $A52)), "-", "_")&amp;": TCardId = '"&amp;$A52&amp;"';", "")</f>
        <v/>
      </c>
      <c r="AV52" s="12" t="str">
        <f aca="false">IF($A53&lt;&gt;"", "    | '"&amp;$A53&amp;"'", "")</f>
        <v/>
      </c>
    </row>
    <row r="53" customFormat="false" ht="13.8" hidden="false" customHeight="false" outlineLevel="0" collapsed="false">
      <c r="A53" s="2"/>
      <c r="B53" s="2"/>
      <c r="C53" s="2"/>
      <c r="D53" s="2"/>
      <c r="E53" s="2"/>
      <c r="F53" s="2"/>
      <c r="G53" s="2"/>
      <c r="H53" s="2"/>
      <c r="I53" s="2"/>
      <c r="J53" s="2"/>
      <c r="K53" s="2"/>
      <c r="L53" s="2"/>
      <c r="M53" s="2"/>
      <c r="N53" s="2"/>
      <c r="O53" s="2"/>
      <c r="P53" s="2"/>
      <c r="Q53" s="2"/>
      <c r="R53" s="2"/>
      <c r="S53" s="2"/>
      <c r="T53" s="2"/>
      <c r="U53" s="15"/>
      <c r="V53" s="14"/>
      <c r="W53" s="15"/>
      <c r="X53" s="14"/>
      <c r="Y53" s="14"/>
      <c r="Z53" s="14"/>
      <c r="AA53" s="14"/>
      <c r="AB53" s="17"/>
      <c r="AC53" s="17"/>
      <c r="AD53" s="18"/>
      <c r="AE53" s="17"/>
      <c r="AF53" s="19"/>
      <c r="AG53" s="17"/>
      <c r="AH53" s="20"/>
      <c r="AI53" s="17"/>
      <c r="AJ53" s="17"/>
      <c r="AK53" s="17"/>
      <c r="AL53" s="17"/>
      <c r="AM53" s="17"/>
      <c r="AN53" s="17"/>
      <c r="AO53" s="15"/>
      <c r="AP53" s="15"/>
      <c r="AQ53" s="15"/>
      <c r="AR53" s="15"/>
      <c r="AS53" s="15"/>
      <c r="AT53" s="10" t="str">
        <f aca="false">IF(A53="", "","'"&amp;A53&amp;"':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growth: "&amp;Y53&amp;"","")&amp;IF(Z53&lt;&gt;"",", cost: '"&amp;Z53&amp;"'","")&amp;", text: '"&amp;SUBSTITUTE(SUBSTITUTE(AE53, CHAR(13), ""),CHAR(10),"\n")&amp;IF(AF53&lt;&gt;"", "', textAdditional: '"&amp;SUBSTITUTE(SUBSTITUTE(AF53, CHAR(13), ""),CHAR(10),"\n"), "")&amp;"', textZh: '"&amp;SUBSTITUTE(SUBSTITUTE(SUBSTITUTE(AG53, CHAR(13), ""),CHAR(10),"\n"),"'","\'")&amp;"', textZhG1: '"&amp;SUBSTITUTE(SUBSTITUTE(SUBSTITUTE(AI53, CHAR(13), ""),CHAR(10),"\n"),"'","\'")&amp;IF(AH53&lt;&gt;"", "', textZhAdditional: '"&amp;SUBSTITUTE(SUBSTITUTE(AH53, CHAR(13), ""),CHAR(10),"\n"), "")&amp;IF(AJ53&lt;&gt;"", "', textZhG1Additional: '"&amp;SUBSTITUTE(SUBSTITUTE(AJ53, CHAR(13), ""),CHAR(10),"\n"), "")&amp;"', textKo: '"&amp;SUBSTITUTE(SUBSTITUTE(SUBSTITUTE(AK53, CHAR(13), ""),CHAR(10),"\n"),"'","\'")&amp;IF(AL53&lt;&gt;"", "', textKoAdditional: '"&amp;SUBSTITUTE(SUBSTITUTE(AL53, CHAR(13), ""),CHAR(10),"\n"), "")&amp;"', textEn: '"&amp;SUBSTITUTE(SUBSTITUTE(SUBSTITUTE(AM53, CHAR(13), ""),CHAR(10),"\n"),"'","\'")&amp;IF(AN53&lt;&gt;"", "', textEnAdditional: '"&amp;SUBSTITUTE(SUBSTITUTE(AN53, CHAR(13), ""),CHAR(10),"\n"), "")&amp;"'"&amp;IF(AB53="○",", sealable: true","")&amp;IF(AC53="○",", removable: true","")&amp;IF(AA53="○",", lie: true","")&amp;IF(AD53="○",", investable: true","")&amp;"},")</f>
        <v/>
      </c>
      <c r="AU53" s="11" t="str">
        <f aca="false">IF($A53&lt;&gt;"", "    /** 《"&amp;$E53&amp;"》 */ export const "&amp;SUBSTITUTE(UPPER(IF(MID($A53, 3, 1)="-", RIGHT($A53,LEN($A53)-3), $A53)), "-", "_")&amp;": TCardId = '"&amp;$A53&amp;"';", "")</f>
        <v/>
      </c>
      <c r="AV53" s="12" t="str">
        <f aca="false">IF($A54&lt;&gt;"", "    | '"&amp;$A54&amp;"'", "")</f>
        <v/>
      </c>
    </row>
    <row r="54" customFormat="false" ht="13.8" hidden="false" customHeight="false" outlineLevel="0" collapsed="false">
      <c r="A54" s="2"/>
      <c r="B54" s="2"/>
      <c r="C54" s="2"/>
      <c r="D54" s="2"/>
      <c r="E54" s="2"/>
      <c r="F54" s="2"/>
      <c r="G54" s="2"/>
      <c r="H54" s="2"/>
      <c r="I54" s="2"/>
      <c r="J54" s="2"/>
      <c r="K54" s="2"/>
      <c r="L54" s="2"/>
      <c r="M54" s="2"/>
      <c r="N54" s="2"/>
      <c r="O54" s="2"/>
      <c r="P54" s="2"/>
      <c r="Q54" s="2"/>
      <c r="R54" s="2"/>
      <c r="S54" s="2"/>
      <c r="T54" s="2"/>
      <c r="U54" s="15"/>
      <c r="V54" s="14"/>
      <c r="W54" s="15"/>
      <c r="X54" s="14"/>
      <c r="Y54" s="14"/>
      <c r="Z54" s="14"/>
      <c r="AA54" s="14"/>
      <c r="AB54" s="17"/>
      <c r="AC54" s="17"/>
      <c r="AD54" s="18"/>
      <c r="AE54" s="17"/>
      <c r="AF54" s="19"/>
      <c r="AG54" s="17"/>
      <c r="AH54" s="20"/>
      <c r="AI54" s="17"/>
      <c r="AJ54" s="17"/>
      <c r="AK54" s="17"/>
      <c r="AL54" s="17"/>
      <c r="AM54" s="17"/>
      <c r="AN54" s="17"/>
      <c r="AO54" s="15"/>
      <c r="AP54" s="15"/>
      <c r="AQ54" s="15"/>
      <c r="AR54" s="15"/>
      <c r="AS54" s="15"/>
      <c r="AT54" s="10" t="str">
        <f aca="false">IF(A54="", "","'"&amp;A54&amp;"':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growth: "&amp;Y54&amp;"","")&amp;IF(Z54&lt;&gt;"",", cost: '"&amp;Z54&amp;"'","")&amp;", text: '"&amp;SUBSTITUTE(SUBSTITUTE(AE54, CHAR(13), ""),CHAR(10),"\n")&amp;IF(AF54&lt;&gt;"", "', textAdditional: '"&amp;SUBSTITUTE(SUBSTITUTE(AF54, CHAR(13), ""),CHAR(10),"\n"), "")&amp;"', textZh: '"&amp;SUBSTITUTE(SUBSTITUTE(SUBSTITUTE(AG54, CHAR(13), ""),CHAR(10),"\n"),"'","\'")&amp;"', textZhG1: '"&amp;SUBSTITUTE(SUBSTITUTE(SUBSTITUTE(AI54, CHAR(13), ""),CHAR(10),"\n"),"'","\'")&amp;IF(AH54&lt;&gt;"", "', textZhAdditional: '"&amp;SUBSTITUTE(SUBSTITUTE(AH54, CHAR(13), ""),CHAR(10),"\n"), "")&amp;IF(AJ54&lt;&gt;"", "', textZhG1Additional: '"&amp;SUBSTITUTE(SUBSTITUTE(AJ54, CHAR(13), ""),CHAR(10),"\n"), "")&amp;"', textKo: '"&amp;SUBSTITUTE(SUBSTITUTE(SUBSTITUTE(AK54, CHAR(13), ""),CHAR(10),"\n"),"'","\'")&amp;IF(AL54&lt;&gt;"", "', textKoAdditional: '"&amp;SUBSTITUTE(SUBSTITUTE(AL54, CHAR(13), ""),CHAR(10),"\n"), "")&amp;"', textEn: '"&amp;SUBSTITUTE(SUBSTITUTE(SUBSTITUTE(AM54, CHAR(13), ""),CHAR(10),"\n"),"'","\'")&amp;IF(AN54&lt;&gt;"", "', textEnAdditional: '"&amp;SUBSTITUTE(SUBSTITUTE(AN54, CHAR(13), ""),CHAR(10),"\n"), "")&amp;"'"&amp;IF(AB54="○",", sealable: true","")&amp;IF(AC54="○",", removable: true","")&amp;IF(AA54="○",", lie: true","")&amp;IF(AD54="○",", investable: true","")&amp;"},")</f>
        <v/>
      </c>
      <c r="AU54" s="11" t="str">
        <f aca="false">IF($A54&lt;&gt;"", "    /** 《"&amp;$E54&amp;"》 */ export const "&amp;SUBSTITUTE(UPPER(IF(MID($A54, 3, 1)="-", RIGHT($A54,LEN($A54)-3), $A54)), "-", "_")&amp;": TCardId = '"&amp;$A54&amp;"';", "")</f>
        <v/>
      </c>
      <c r="AV54" s="12" t="str">
        <f aca="false">IF($A55&lt;&gt;"", "    | '"&amp;$A55&amp;"'", "")</f>
        <v/>
      </c>
    </row>
    <row r="55" customFormat="false" ht="13.8" hidden="false" customHeight="false" outlineLevel="0" collapsed="false">
      <c r="A55" s="2"/>
      <c r="B55" s="2"/>
      <c r="C55" s="2"/>
      <c r="D55" s="2"/>
      <c r="E55" s="2"/>
      <c r="F55" s="2"/>
      <c r="G55" s="2"/>
      <c r="H55" s="2"/>
      <c r="I55" s="2"/>
      <c r="J55" s="2"/>
      <c r="K55" s="2"/>
      <c r="L55" s="2"/>
      <c r="M55" s="2"/>
      <c r="N55" s="2"/>
      <c r="O55" s="2"/>
      <c r="P55" s="2"/>
      <c r="Q55" s="2"/>
      <c r="R55" s="2"/>
      <c r="S55" s="2"/>
      <c r="T55" s="2"/>
      <c r="U55" s="15"/>
      <c r="V55" s="14"/>
      <c r="W55" s="15"/>
      <c r="X55" s="14"/>
      <c r="Y55" s="14"/>
      <c r="Z55" s="14"/>
      <c r="AA55" s="14"/>
      <c r="AB55" s="17"/>
      <c r="AC55" s="17"/>
      <c r="AD55" s="18"/>
      <c r="AE55" s="17"/>
      <c r="AF55" s="19"/>
      <c r="AG55" s="17"/>
      <c r="AH55" s="20"/>
      <c r="AI55" s="17"/>
      <c r="AJ55" s="17"/>
      <c r="AK55" s="17"/>
      <c r="AL55" s="17"/>
      <c r="AM55" s="17"/>
      <c r="AN55" s="17"/>
      <c r="AO55" s="15"/>
      <c r="AP55" s="15"/>
      <c r="AQ55" s="15"/>
      <c r="AR55" s="15"/>
      <c r="AS55" s="15"/>
      <c r="AT55" s="10" t="str">
        <f aca="false">IF(A55="", "","'"&amp;A55&amp;"':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'"&amp;VLOOKUP(S55,マスタ!$D$1:$E$99,2,0)&amp;"'","")&amp;""&amp;IF(T55&lt;&gt;"",", range: '"&amp;T55&amp;"'","")&amp;IF(V55&lt;&gt;"",", damage: '"&amp;V55&amp;"'","")&amp;IF(X55&lt;&gt;"",", capacity: '"&amp;X55&amp;"'","")&amp;IF(Y55&lt;&gt;"",", growth: "&amp;Y55&amp;"","")&amp;IF(Z55&lt;&gt;"",", cost: '"&amp;Z55&amp;"'","")&amp;", text: '"&amp;SUBSTITUTE(SUBSTITUTE(AE55, CHAR(13), ""),CHAR(10),"\n")&amp;IF(AF55&lt;&gt;"", "', textAdditional: '"&amp;SUBSTITUTE(SUBSTITUTE(AF55, CHAR(13), ""),CHAR(10),"\n"), "")&amp;"', textZh: '"&amp;SUBSTITUTE(SUBSTITUTE(SUBSTITUTE(AG55, CHAR(13), ""),CHAR(10),"\n"),"'","\'")&amp;"', textZhG1: '"&amp;SUBSTITUTE(SUBSTITUTE(SUBSTITUTE(AI55, CHAR(13), ""),CHAR(10),"\n"),"'","\'")&amp;IF(AH55&lt;&gt;"", "', textZhAdditional: '"&amp;SUBSTITUTE(SUBSTITUTE(AH55, CHAR(13), ""),CHAR(10),"\n"), "")&amp;IF(AJ55&lt;&gt;"", "', textZhG1Additional: '"&amp;SUBSTITUTE(SUBSTITUTE(AJ55, CHAR(13), ""),CHAR(10),"\n"), "")&amp;"', textKo: '"&amp;SUBSTITUTE(SUBSTITUTE(SUBSTITUTE(AK55, CHAR(13), ""),CHAR(10),"\n"),"'","\'")&amp;IF(AL55&lt;&gt;"", "', textKoAdditional: '"&amp;SUBSTITUTE(SUBSTITUTE(AL55, CHAR(13), ""),CHAR(10),"\n"), "")&amp;"', textEn: '"&amp;SUBSTITUTE(SUBSTITUTE(SUBSTITUTE(AM55, CHAR(13), ""),CHAR(10),"\n"),"'","\'")&amp;IF(AN55&lt;&gt;"", "', textEnAdditional: '"&amp;SUBSTITUTE(SUBSTITUTE(AN55, CHAR(13), ""),CHAR(10),"\n"), "")&amp;"'"&amp;IF(AB55="○",", sealable: true","")&amp;IF(AC55="○",", removable: true","")&amp;IF(AA55="○",", lie: true","")&amp;IF(AD55="○",", investable: true","")&amp;"},")</f>
        <v/>
      </c>
      <c r="AU55" s="11" t="str">
        <f aca="false">IF($A55&lt;&gt;"", "    /** 《"&amp;$E55&amp;"》 */ export const "&amp;SUBSTITUTE(UPPER(IF(MID($A55, 3, 1)="-", RIGHT($A55,LEN($A55)-3), $A55)), "-", "_")&amp;": TCardId = '"&amp;$A55&amp;"';", "")</f>
        <v/>
      </c>
      <c r="AV55" s="12" t="str">
        <f aca="false">IF($A56&lt;&gt;"", "    | '"&amp;$A56&amp;"'", "")</f>
        <v/>
      </c>
    </row>
    <row r="56" customFormat="false" ht="13.8" hidden="false" customHeight="false" outlineLevel="0" collapsed="false">
      <c r="A56" s="2"/>
      <c r="B56" s="2"/>
      <c r="C56" s="2"/>
      <c r="D56" s="2"/>
      <c r="E56" s="2"/>
      <c r="F56" s="2"/>
      <c r="G56" s="2"/>
      <c r="H56" s="2"/>
      <c r="I56" s="2"/>
      <c r="J56" s="2"/>
      <c r="K56" s="2"/>
      <c r="L56" s="2"/>
      <c r="M56" s="2"/>
      <c r="N56" s="2"/>
      <c r="O56" s="2"/>
      <c r="P56" s="2"/>
      <c r="Q56" s="2"/>
      <c r="R56" s="2"/>
      <c r="S56" s="2"/>
      <c r="T56" s="2"/>
      <c r="U56" s="15"/>
      <c r="V56" s="14"/>
      <c r="W56" s="15"/>
      <c r="X56" s="14"/>
      <c r="Y56" s="14"/>
      <c r="Z56" s="14"/>
      <c r="AA56" s="14"/>
      <c r="AB56" s="17"/>
      <c r="AC56" s="17"/>
      <c r="AD56" s="18"/>
      <c r="AE56" s="17"/>
      <c r="AF56" s="19"/>
      <c r="AG56" s="17"/>
      <c r="AH56" s="20"/>
      <c r="AI56" s="17"/>
      <c r="AJ56" s="17"/>
      <c r="AK56" s="17"/>
      <c r="AL56" s="17"/>
      <c r="AM56" s="17"/>
      <c r="AN56" s="17"/>
      <c r="AO56" s="15"/>
      <c r="AP56" s="15"/>
      <c r="AQ56" s="15"/>
      <c r="AR56" s="15"/>
      <c r="AS56" s="15"/>
      <c r="AT56" s="10" t="str">
        <f aca="false">IF(A56="", "","'"&amp;A56&amp;"':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'"&amp;VLOOKUP(S56,マスタ!$D$1:$E$99,2,0)&amp;"'","")&amp;""&amp;IF(T56&lt;&gt;"",", range: '"&amp;T56&amp;"'","")&amp;IF(V56&lt;&gt;"",", damage: '"&amp;V56&amp;"'","")&amp;IF(X56&lt;&gt;"",", capacity: '"&amp;X56&amp;"'","")&amp;IF(Y56&lt;&gt;"",", growth: "&amp;Y56&amp;"","")&amp;IF(Z56&lt;&gt;"",", cost: '"&amp;Z56&amp;"'","")&amp;", text: '"&amp;SUBSTITUTE(SUBSTITUTE(AE56, CHAR(13), ""),CHAR(10),"\n")&amp;IF(AF56&lt;&gt;"", "', textAdditional: '"&amp;SUBSTITUTE(SUBSTITUTE(AF56, CHAR(13), ""),CHAR(10),"\n"), "")&amp;"', textZh: '"&amp;SUBSTITUTE(SUBSTITUTE(SUBSTITUTE(AG56, CHAR(13), ""),CHAR(10),"\n"),"'","\'")&amp;"', textZhG1: '"&amp;SUBSTITUTE(SUBSTITUTE(SUBSTITUTE(AI56, CHAR(13), ""),CHAR(10),"\n"),"'","\'")&amp;IF(AH56&lt;&gt;"", "', textZhAdditional: '"&amp;SUBSTITUTE(SUBSTITUTE(AH56, CHAR(13), ""),CHAR(10),"\n"), "")&amp;IF(AJ56&lt;&gt;"", "', textZhG1Additional: '"&amp;SUBSTITUTE(SUBSTITUTE(AJ56, CHAR(13), ""),CHAR(10),"\n"), "")&amp;"', textKo: '"&amp;SUBSTITUTE(SUBSTITUTE(SUBSTITUTE(AK56, CHAR(13), ""),CHAR(10),"\n"),"'","\'")&amp;IF(AL56&lt;&gt;"", "', textKoAdditional: '"&amp;SUBSTITUTE(SUBSTITUTE(AL56, CHAR(13), ""),CHAR(10),"\n"), "")&amp;"', textEn: '"&amp;SUBSTITUTE(SUBSTITUTE(SUBSTITUTE(AM56, CHAR(13), ""),CHAR(10),"\n"),"'","\'")&amp;IF(AN56&lt;&gt;"", "', textEnAdditional: '"&amp;SUBSTITUTE(SUBSTITUTE(AN56, CHAR(13), ""),CHAR(10),"\n"), "")&amp;"'"&amp;IF(AB56="○",", sealable: true","")&amp;IF(AC56="○",", removable: true","")&amp;IF(AA56="○",", lie: true","")&amp;IF(AD56="○",", investable: true","")&amp;"},")</f>
        <v/>
      </c>
      <c r="AU56" s="11" t="str">
        <f aca="false">IF($A56&lt;&gt;"", "    /** 《"&amp;$E56&amp;"》 */ export const "&amp;SUBSTITUTE(UPPER(IF(MID($A56, 3, 1)="-", RIGHT($A56,LEN($A56)-3), $A56)), "-", "_")&amp;": TCardId = '"&amp;$A56&amp;"';", "")</f>
        <v/>
      </c>
      <c r="AV56" s="12" t="str">
        <f aca="false">IF($A57&lt;&gt;"", "    | '"&amp;$A57&amp;"'", "")</f>
        <v/>
      </c>
    </row>
    <row r="57" customFormat="false" ht="13.8" hidden="false" customHeight="false" outlineLevel="0" collapsed="false">
      <c r="A57" s="2"/>
      <c r="B57" s="2"/>
      <c r="C57" s="2"/>
      <c r="D57" s="2"/>
      <c r="E57" s="2"/>
      <c r="F57" s="2"/>
      <c r="G57" s="2"/>
      <c r="H57" s="2"/>
      <c r="I57" s="2"/>
      <c r="J57" s="2"/>
      <c r="K57" s="2"/>
      <c r="L57" s="2"/>
      <c r="M57" s="2"/>
      <c r="N57" s="2"/>
      <c r="O57" s="2"/>
      <c r="P57" s="2"/>
      <c r="Q57" s="2"/>
      <c r="R57" s="2"/>
      <c r="S57" s="2"/>
      <c r="T57" s="2"/>
      <c r="U57" s="15"/>
      <c r="V57" s="14"/>
      <c r="W57" s="15"/>
      <c r="X57" s="14"/>
      <c r="Y57" s="14"/>
      <c r="Z57" s="14"/>
      <c r="AA57" s="14"/>
      <c r="AB57" s="17"/>
      <c r="AC57" s="17"/>
      <c r="AD57" s="18"/>
      <c r="AE57" s="17"/>
      <c r="AF57" s="19"/>
      <c r="AG57" s="17"/>
      <c r="AH57" s="20"/>
      <c r="AI57" s="17"/>
      <c r="AJ57" s="17"/>
      <c r="AK57" s="17"/>
      <c r="AL57" s="17"/>
      <c r="AM57" s="17"/>
      <c r="AN57" s="17"/>
      <c r="AO57" s="15"/>
      <c r="AP57" s="15"/>
      <c r="AQ57" s="15"/>
      <c r="AR57" s="15"/>
      <c r="AS57" s="15"/>
      <c r="AT57" s="10" t="str">
        <f aca="false">IF(A57="", "","'"&amp;A57&amp;"': {megami: '"&amp;B57&amp;"'"&amp;IF(C57&lt;&gt;"",", anotherID: '"&amp;C57&amp;"', replace: '"&amp;D57&amp;"'","")&amp;", name: '"&amp;SUBSTITUTE(E57,"'","\'")&amp;"', nameEn: '"&amp;SUBSTITUTE(K57,"'","\'")&amp;"', nameZh: '"&amp;SUBSTITUTE(G57,"'","\'")&amp;"', nameZhG1: '"&amp;SUBSTITUTE(H57,"'","\'")&amp;"', nameKo: '"&amp;SUBSTITUTE(J57,"'","\'")&amp;"', ruby: '"&amp;F57&amp;"', rubyEn: '"&amp;L57&amp;IF(I57&lt;&gt;"", "', rubyZh: '"&amp;I57, "")&amp;"', baseType: '"&amp;VLOOKUP(M57,マスタ!$A$1:$B$99,2,0)&amp;"'"&amp;IF(N57="○",", extra: true","")&amp;IF(O57&lt;&gt;"",", extraFrom: '"&amp;O57&amp;"'","")&amp;IF(P57&lt;&gt;"",", exchangableTo: '"&amp;P57&amp;"'","")&amp;IF(Q57="○",", poison: true","")&amp;IF(R57&lt;&gt;"", ", type: '"&amp;VLOOKUP(R57,マスタ!$D$1:$E$99,2,0)&amp;"'", "")&amp;IF(S57&lt;&gt;"",", subType: '"&amp;VLOOKUP(S57,マスタ!$D$1:$E$99,2,0)&amp;"'","")&amp;""&amp;IF(T57&lt;&gt;"",", range: '"&amp;T57&amp;"'","")&amp;IF(V57&lt;&gt;"",", damage: '"&amp;V57&amp;"'","")&amp;IF(X57&lt;&gt;"",", capacity: '"&amp;X57&amp;"'","")&amp;IF(Y57&lt;&gt;"",", growth: "&amp;Y57&amp;"","")&amp;IF(Z57&lt;&gt;"",", cost: '"&amp;Z57&amp;"'","")&amp;", text: '"&amp;SUBSTITUTE(SUBSTITUTE(AE57, CHAR(13), ""),CHAR(10),"\n")&amp;IF(AF57&lt;&gt;"", "', textAdditional: '"&amp;SUBSTITUTE(SUBSTITUTE(AF57, CHAR(13), ""),CHAR(10),"\n"), "")&amp;"', textZh: '"&amp;SUBSTITUTE(SUBSTITUTE(SUBSTITUTE(AG57, CHAR(13), ""),CHAR(10),"\n"),"'","\'")&amp;"', textZhG1: '"&amp;SUBSTITUTE(SUBSTITUTE(SUBSTITUTE(AI57, CHAR(13), ""),CHAR(10),"\n"),"'","\'")&amp;IF(AH57&lt;&gt;"", "', textZhAdditional: '"&amp;SUBSTITUTE(SUBSTITUTE(AH57, CHAR(13), ""),CHAR(10),"\n"), "")&amp;IF(AJ57&lt;&gt;"", "', textZhG1Additional: '"&amp;SUBSTITUTE(SUBSTITUTE(AJ57, CHAR(13), ""),CHAR(10),"\n"), "")&amp;"', textKo: '"&amp;SUBSTITUTE(SUBSTITUTE(SUBSTITUTE(AK57, CHAR(13), ""),CHAR(10),"\n"),"'","\'")&amp;IF(AL57&lt;&gt;"", "', textKoAdditional: '"&amp;SUBSTITUTE(SUBSTITUTE(AL57, CHAR(13), ""),CHAR(10),"\n"), "")&amp;"', textEn: '"&amp;SUBSTITUTE(SUBSTITUTE(SUBSTITUTE(AM57, CHAR(13), ""),CHAR(10),"\n"),"'","\'")&amp;IF(AN57&lt;&gt;"", "', textEnAdditional: '"&amp;SUBSTITUTE(SUBSTITUTE(AN57, CHAR(13), ""),CHAR(10),"\n"), "")&amp;"'"&amp;IF(AB57="○",", sealable: true","")&amp;IF(AC57="○",", removable: true","")&amp;IF(AA57="○",", lie: true","")&amp;IF(AD57="○",", investable: true","")&amp;"},")</f>
        <v/>
      </c>
      <c r="AU57" s="11" t="str">
        <f aca="false">IF($A57&lt;&gt;"", "    /** 《"&amp;$E57&amp;"》 */ export const "&amp;SUBSTITUTE(UPPER(IF(MID($A57, 3, 1)="-", RIGHT($A57,LEN($A57)-3), $A57)), "-", "_")&amp;": TCardId = '"&amp;$A57&amp;"';", "")</f>
        <v/>
      </c>
      <c r="AV57" s="12" t="str">
        <f aca="false">IF($A58&lt;&gt;"", "    | '"&amp;$A58&amp;"'", "")</f>
        <v/>
      </c>
    </row>
    <row r="58" customFormat="false" ht="13.8" hidden="false" customHeight="false" outlineLevel="0" collapsed="false">
      <c r="A58" s="2"/>
      <c r="B58" s="2"/>
      <c r="C58" s="2"/>
      <c r="D58" s="2"/>
      <c r="E58" s="2"/>
      <c r="F58" s="2"/>
      <c r="G58" s="2"/>
      <c r="H58" s="2"/>
      <c r="I58" s="2"/>
      <c r="J58" s="2"/>
      <c r="K58" s="2"/>
      <c r="L58" s="2"/>
      <c r="M58" s="2"/>
      <c r="N58" s="2"/>
      <c r="O58" s="2"/>
      <c r="P58" s="2"/>
      <c r="Q58" s="2"/>
      <c r="R58" s="2"/>
      <c r="S58" s="2"/>
      <c r="T58" s="2"/>
      <c r="U58" s="15"/>
      <c r="V58" s="14"/>
      <c r="W58" s="15"/>
      <c r="X58" s="14"/>
      <c r="Y58" s="14"/>
      <c r="Z58" s="14"/>
      <c r="AA58" s="14"/>
      <c r="AB58" s="17"/>
      <c r="AC58" s="17"/>
      <c r="AD58" s="18"/>
      <c r="AE58" s="17"/>
      <c r="AF58" s="19"/>
      <c r="AG58" s="17"/>
      <c r="AH58" s="20"/>
      <c r="AI58" s="17"/>
      <c r="AJ58" s="17"/>
      <c r="AK58" s="17"/>
      <c r="AL58" s="17"/>
      <c r="AM58" s="17"/>
      <c r="AN58" s="17"/>
      <c r="AO58" s="15"/>
      <c r="AP58" s="15"/>
      <c r="AQ58" s="15"/>
      <c r="AR58" s="15"/>
      <c r="AS58" s="15"/>
      <c r="AT58" s="10" t="str">
        <f aca="false">IF(A58="", "","'"&amp;A58&amp;"': {megami: '"&amp;B58&amp;"'"&amp;IF(C58&lt;&gt;"",", anotherID: '"&amp;C58&amp;"', replace: '"&amp;D58&amp;"'","")&amp;", name: '"&amp;SUBSTITUTE(E58,"'","\'")&amp;"', nameEn: '"&amp;SUBSTITUTE(K58,"'","\'")&amp;"', nameZh: '"&amp;SUBSTITUTE(G58,"'","\'")&amp;"', nameZhG1: '"&amp;SUBSTITUTE(H58,"'","\'")&amp;"', nameKo: '"&amp;SUBSTITUTE(J58,"'","\'")&amp;"', ruby: '"&amp;F58&amp;"', rubyEn: '"&amp;L58&amp;IF(I58&lt;&gt;"", "', rubyZh: '"&amp;I58, "")&amp;"', baseType: '"&amp;VLOOKUP(M58,マスタ!$A$1:$B$99,2,0)&amp;"'"&amp;IF(N58="○",", extra: true","")&amp;IF(O58&lt;&gt;"",", extraFrom: '"&amp;O58&amp;"'","")&amp;IF(P58&lt;&gt;"",", exchangableTo: '"&amp;P58&amp;"'","")&amp;IF(Q58="○",", poison: true","")&amp;IF(R58&lt;&gt;"", ", type: '"&amp;VLOOKUP(R58,マスタ!$D$1:$E$99,2,0)&amp;"'", "")&amp;IF(S58&lt;&gt;"",", subType: '"&amp;VLOOKUP(S58,マスタ!$D$1:$E$99,2,0)&amp;"'","")&amp;""&amp;IF(T58&lt;&gt;"",", range: '"&amp;T58&amp;"'","")&amp;IF(V58&lt;&gt;"",", damage: '"&amp;V58&amp;"'","")&amp;IF(X58&lt;&gt;"",", capacity: '"&amp;X58&amp;"'","")&amp;IF(Y58&lt;&gt;"",", growth: "&amp;Y58&amp;"","")&amp;IF(Z58&lt;&gt;"",", cost: '"&amp;Z58&amp;"'","")&amp;", text: '"&amp;SUBSTITUTE(SUBSTITUTE(AE58, CHAR(13), ""),CHAR(10),"\n")&amp;IF(AF58&lt;&gt;"", "', textAdditional: '"&amp;SUBSTITUTE(SUBSTITUTE(AF58, CHAR(13), ""),CHAR(10),"\n"), "")&amp;"', textZh: '"&amp;SUBSTITUTE(SUBSTITUTE(SUBSTITUTE(AG58, CHAR(13), ""),CHAR(10),"\n"),"'","\'")&amp;"', textZhG1: '"&amp;SUBSTITUTE(SUBSTITUTE(SUBSTITUTE(AI58, CHAR(13), ""),CHAR(10),"\n"),"'","\'")&amp;IF(AH58&lt;&gt;"", "', textZhAdditional: '"&amp;SUBSTITUTE(SUBSTITUTE(AH58, CHAR(13), ""),CHAR(10),"\n"), "")&amp;IF(AJ58&lt;&gt;"", "', textZhG1Additional: '"&amp;SUBSTITUTE(SUBSTITUTE(AJ58, CHAR(13), ""),CHAR(10),"\n"), "")&amp;"', textKo: '"&amp;SUBSTITUTE(SUBSTITUTE(SUBSTITUTE(AK58, CHAR(13), ""),CHAR(10),"\n"),"'","\'")&amp;IF(AL58&lt;&gt;"", "', textKoAdditional: '"&amp;SUBSTITUTE(SUBSTITUTE(AL58, CHAR(13), ""),CHAR(10),"\n"), "")&amp;"', textEn: '"&amp;SUBSTITUTE(SUBSTITUTE(SUBSTITUTE(AM58, CHAR(13), ""),CHAR(10),"\n"),"'","\'")&amp;IF(AN58&lt;&gt;"", "', textEnAdditional: '"&amp;SUBSTITUTE(SUBSTITUTE(AN58, CHAR(13), ""),CHAR(10),"\n"), "")&amp;"'"&amp;IF(AB58="○",", sealable: true","")&amp;IF(AC58="○",", removable: true","")&amp;IF(AA58="○",", lie: true","")&amp;IF(AD58="○",", investable: true","")&amp;"},")</f>
        <v/>
      </c>
      <c r="AU58" s="11" t="str">
        <f aca="false">IF($A58&lt;&gt;"", "    /** 《"&amp;$E58&amp;"》 */ export const "&amp;SUBSTITUTE(UPPER(IF(MID($A58, 3, 1)="-", RIGHT($A58,LEN($A58)-3), $A58)), "-", "_")&amp;": TCardId = '"&amp;$A58&amp;"';", "")</f>
        <v/>
      </c>
      <c r="AV58" s="12" t="str">
        <f aca="false">IF($A59&lt;&gt;"", "    | '"&amp;$A59&amp;"'", "")</f>
        <v/>
      </c>
    </row>
    <row r="59" customFormat="false" ht="13.8" hidden="false" customHeight="false" outlineLevel="0" collapsed="false">
      <c r="A59" s="2"/>
      <c r="B59" s="2"/>
      <c r="C59" s="2"/>
      <c r="D59" s="2"/>
      <c r="E59" s="2"/>
      <c r="F59" s="2"/>
      <c r="G59" s="2"/>
      <c r="H59" s="2"/>
      <c r="I59" s="2"/>
      <c r="J59" s="2"/>
      <c r="K59" s="2"/>
      <c r="L59" s="2"/>
      <c r="M59" s="2"/>
      <c r="N59" s="2"/>
      <c r="O59" s="2"/>
      <c r="P59" s="2"/>
      <c r="Q59" s="2"/>
      <c r="R59" s="2"/>
      <c r="S59" s="2"/>
      <c r="T59" s="2"/>
      <c r="U59" s="15"/>
      <c r="V59" s="14"/>
      <c r="W59" s="15"/>
      <c r="X59" s="14"/>
      <c r="Y59" s="14"/>
      <c r="Z59" s="14"/>
      <c r="AA59" s="14"/>
      <c r="AB59" s="17"/>
      <c r="AC59" s="17"/>
      <c r="AD59" s="18"/>
      <c r="AE59" s="17"/>
      <c r="AF59" s="19"/>
      <c r="AG59" s="17"/>
      <c r="AH59" s="20"/>
      <c r="AI59" s="17"/>
      <c r="AJ59" s="17"/>
      <c r="AK59" s="17"/>
      <c r="AL59" s="17"/>
      <c r="AM59" s="17"/>
      <c r="AN59" s="17"/>
      <c r="AO59" s="15"/>
      <c r="AP59" s="15"/>
      <c r="AQ59" s="15"/>
      <c r="AR59" s="15"/>
      <c r="AS59" s="15"/>
      <c r="AT59" s="10" t="str">
        <f aca="false">IF(A59="", "","'"&amp;A59&amp;"': {megami: '"&amp;B59&amp;"'"&amp;IF(C59&lt;&gt;"",", anotherID: '"&amp;C59&amp;"', replace: '"&amp;D59&amp;"'","")&amp;", name: '"&amp;SUBSTITUTE(E59,"'","\'")&amp;"', nameEn: '"&amp;SUBSTITUTE(K59,"'","\'")&amp;"', nameZh: '"&amp;SUBSTITUTE(G59,"'","\'")&amp;"', nameZhG1: '"&amp;SUBSTITUTE(H59,"'","\'")&amp;"', nameKo: '"&amp;SUBSTITUTE(J59,"'","\'")&amp;"', ruby: '"&amp;F59&amp;"', rubyEn: '"&amp;L59&amp;IF(I59&lt;&gt;"", "', rubyZh: '"&amp;I59, "")&amp;"', baseType: '"&amp;VLOOKUP(M59,マスタ!$A$1:$B$99,2,0)&amp;"'"&amp;IF(N59="○",", extra: true","")&amp;IF(O59&lt;&gt;"",", extraFrom: '"&amp;O59&amp;"'","")&amp;IF(P59&lt;&gt;"",", exchangableTo: '"&amp;P59&amp;"'","")&amp;IF(Q59="○",", poison: true","")&amp;IF(R59&lt;&gt;"", ", type: '"&amp;VLOOKUP(R59,マスタ!$D$1:$E$99,2,0)&amp;"'", "")&amp;IF(S59&lt;&gt;"",", subType: '"&amp;VLOOKUP(S59,マスタ!$D$1:$E$99,2,0)&amp;"'","")&amp;""&amp;IF(T59&lt;&gt;"",", range: '"&amp;T59&amp;"'","")&amp;IF(V59&lt;&gt;"",", damage: '"&amp;V59&amp;"'","")&amp;IF(X59&lt;&gt;"",", capacity: '"&amp;X59&amp;"'","")&amp;IF(Y59&lt;&gt;"",", growth: "&amp;Y59&amp;"","")&amp;IF(Z59&lt;&gt;"",", cost: '"&amp;Z59&amp;"'","")&amp;", text: '"&amp;SUBSTITUTE(SUBSTITUTE(AE59, CHAR(13), ""),CHAR(10),"\n")&amp;IF(AF59&lt;&gt;"", "', textAdditional: '"&amp;SUBSTITUTE(SUBSTITUTE(AF59, CHAR(13), ""),CHAR(10),"\n"), "")&amp;"', textZh: '"&amp;SUBSTITUTE(SUBSTITUTE(SUBSTITUTE(AG59, CHAR(13), ""),CHAR(10),"\n"),"'","\'")&amp;"', textZhG1: '"&amp;SUBSTITUTE(SUBSTITUTE(SUBSTITUTE(AI59, CHAR(13), ""),CHAR(10),"\n"),"'","\'")&amp;IF(AH59&lt;&gt;"", "', textZhAdditional: '"&amp;SUBSTITUTE(SUBSTITUTE(AH59, CHAR(13), ""),CHAR(10),"\n"), "")&amp;IF(AJ59&lt;&gt;"", "', textZhG1Additional: '"&amp;SUBSTITUTE(SUBSTITUTE(AJ59, CHAR(13), ""),CHAR(10),"\n"), "")&amp;"', textKo: '"&amp;SUBSTITUTE(SUBSTITUTE(SUBSTITUTE(AK59, CHAR(13), ""),CHAR(10),"\n"),"'","\'")&amp;IF(AL59&lt;&gt;"", "', textKoAdditional: '"&amp;SUBSTITUTE(SUBSTITUTE(AL59, CHAR(13), ""),CHAR(10),"\n"), "")&amp;"', textEn: '"&amp;SUBSTITUTE(SUBSTITUTE(SUBSTITUTE(AM59, CHAR(13), ""),CHAR(10),"\n"),"'","\'")&amp;IF(AN59&lt;&gt;"", "', textEnAdditional: '"&amp;SUBSTITUTE(SUBSTITUTE(AN59, CHAR(13), ""),CHAR(10),"\n"), "")&amp;"'"&amp;IF(AB59="○",", sealable: true","")&amp;IF(AC59="○",", removable: true","")&amp;IF(AA59="○",", lie: true","")&amp;IF(AD59="○",", investable: true","")&amp;"},")</f>
        <v/>
      </c>
      <c r="AU59" s="11" t="str">
        <f aca="false">IF($A59&lt;&gt;"", "    /** 《"&amp;$E59&amp;"》 */ export const "&amp;SUBSTITUTE(UPPER(IF(MID($A59, 3, 1)="-", RIGHT($A59,LEN($A59)-3), $A59)), "-", "_")&amp;": TCardId = '"&amp;$A59&amp;"';", "")</f>
        <v/>
      </c>
      <c r="AV59" s="12" t="str">
        <f aca="false">IF($A60&lt;&gt;"", "    | '"&amp;$A60&amp;"'", "")</f>
        <v/>
      </c>
    </row>
    <row r="60" customFormat="false" ht="13.8" hidden="false" customHeight="false" outlineLevel="0" collapsed="false">
      <c r="A60" s="2"/>
      <c r="B60" s="2"/>
      <c r="C60" s="2"/>
      <c r="D60" s="2"/>
      <c r="E60" s="2"/>
      <c r="F60" s="2"/>
      <c r="G60" s="2"/>
      <c r="H60" s="2"/>
      <c r="I60" s="2"/>
      <c r="J60" s="2"/>
      <c r="K60" s="2"/>
      <c r="L60" s="2"/>
      <c r="M60" s="2"/>
      <c r="N60" s="2"/>
      <c r="O60" s="2"/>
      <c r="P60" s="2"/>
      <c r="Q60" s="2"/>
      <c r="R60" s="2"/>
      <c r="S60" s="2"/>
      <c r="T60" s="2"/>
      <c r="U60" s="15"/>
      <c r="V60" s="14"/>
      <c r="W60" s="15"/>
      <c r="X60" s="14"/>
      <c r="Y60" s="14"/>
      <c r="Z60" s="14"/>
      <c r="AA60" s="14"/>
      <c r="AB60" s="17"/>
      <c r="AC60" s="17"/>
      <c r="AD60" s="18"/>
      <c r="AE60" s="17"/>
      <c r="AF60" s="19"/>
      <c r="AG60" s="17"/>
      <c r="AH60" s="20"/>
      <c r="AI60" s="17"/>
      <c r="AJ60" s="17"/>
      <c r="AK60" s="17"/>
      <c r="AL60" s="17"/>
      <c r="AM60" s="17"/>
      <c r="AN60" s="17"/>
      <c r="AO60" s="15"/>
      <c r="AP60" s="15"/>
      <c r="AQ60" s="15"/>
      <c r="AR60" s="15"/>
      <c r="AS60" s="15"/>
      <c r="AT60" s="10" t="str">
        <f aca="false">IF(A60="", "","'"&amp;A60&amp;"': {megami: '"&amp;B60&amp;"'"&amp;IF(C60&lt;&gt;"",", anotherID: '"&amp;C60&amp;"', replace: '"&amp;D60&amp;"'","")&amp;", name: '"&amp;SUBSTITUTE(E60,"'","\'")&amp;"', nameEn: '"&amp;SUBSTITUTE(K60,"'","\'")&amp;"', nameZh: '"&amp;SUBSTITUTE(G60,"'","\'")&amp;"', nameZhG1: '"&amp;SUBSTITUTE(H60,"'","\'")&amp;"', nameKo: '"&amp;SUBSTITUTE(J60,"'","\'")&amp;"', ruby: '"&amp;F60&amp;"', rubyEn: '"&amp;L60&amp;IF(I60&lt;&gt;"", "', rubyZh: '"&amp;I60, "")&amp;"', baseType: '"&amp;VLOOKUP(M60,マスタ!$A$1:$B$99,2,0)&amp;"'"&amp;IF(N60="○",", extra: true","")&amp;IF(O60&lt;&gt;"",", extraFrom: '"&amp;O60&amp;"'","")&amp;IF(P60&lt;&gt;"",", exchangableTo: '"&amp;P60&amp;"'","")&amp;IF(Q60="○",", poison: true","")&amp;IF(R60&lt;&gt;"", ", type: '"&amp;VLOOKUP(R60,マスタ!$D$1:$E$99,2,0)&amp;"'", "")&amp;IF(S60&lt;&gt;"",", subType: '"&amp;VLOOKUP(S60,マスタ!$D$1:$E$99,2,0)&amp;"'","")&amp;""&amp;IF(T60&lt;&gt;"",", range: '"&amp;T60&amp;"'","")&amp;IF(V60&lt;&gt;"",", damage: '"&amp;V60&amp;"'","")&amp;IF(X60&lt;&gt;"",", capacity: '"&amp;X60&amp;"'","")&amp;IF(Y60&lt;&gt;"",", growth: "&amp;Y60&amp;"","")&amp;IF(Z60&lt;&gt;"",", cost: '"&amp;Z60&amp;"'","")&amp;", text: '"&amp;SUBSTITUTE(SUBSTITUTE(AE60, CHAR(13), ""),CHAR(10),"\n")&amp;IF(AF60&lt;&gt;"", "', textAdditional: '"&amp;SUBSTITUTE(SUBSTITUTE(AF60, CHAR(13), ""),CHAR(10),"\n"), "")&amp;"', textZh: '"&amp;SUBSTITUTE(SUBSTITUTE(SUBSTITUTE(AG60, CHAR(13), ""),CHAR(10),"\n"),"'","\'")&amp;"', textZhG1: '"&amp;SUBSTITUTE(SUBSTITUTE(SUBSTITUTE(AI60, CHAR(13), ""),CHAR(10),"\n"),"'","\'")&amp;IF(AH60&lt;&gt;"", "', textZhAdditional: '"&amp;SUBSTITUTE(SUBSTITUTE(AH60, CHAR(13), ""),CHAR(10),"\n"), "")&amp;IF(AJ60&lt;&gt;"", "', textZhG1Additional: '"&amp;SUBSTITUTE(SUBSTITUTE(AJ60, CHAR(13), ""),CHAR(10),"\n"), "")&amp;"', textKo: '"&amp;SUBSTITUTE(SUBSTITUTE(SUBSTITUTE(AK60, CHAR(13), ""),CHAR(10),"\n"),"'","\'")&amp;IF(AL60&lt;&gt;"", "', textKoAdditional: '"&amp;SUBSTITUTE(SUBSTITUTE(AL60, CHAR(13), ""),CHAR(10),"\n"), "")&amp;"', textEn: '"&amp;SUBSTITUTE(SUBSTITUTE(SUBSTITUTE(AM60, CHAR(13), ""),CHAR(10),"\n"),"'","\'")&amp;IF(AN60&lt;&gt;"", "', textEnAdditional: '"&amp;SUBSTITUTE(SUBSTITUTE(AN60, CHAR(13), ""),CHAR(10),"\n"), "")&amp;"'"&amp;IF(AB60="○",", sealable: true","")&amp;IF(AC60="○",", removable: true","")&amp;IF(AA60="○",", lie: true","")&amp;IF(AD60="○",", investable: true","")&amp;"},")</f>
        <v/>
      </c>
      <c r="AU60" s="11" t="str">
        <f aca="false">IF($A60&lt;&gt;"", "    /** 《"&amp;$E60&amp;"》 */ export const "&amp;SUBSTITUTE(UPPER(IF(MID($A60, 3, 1)="-", RIGHT($A60,LEN($A60)-3), $A60)), "-", "_")&amp;": TCardId = '"&amp;$A60&amp;"';", "")</f>
        <v/>
      </c>
      <c r="AV60" s="12" t="str">
        <f aca="false">IF($A61&lt;&gt;"", "    | '"&amp;$A61&amp;"'", "")</f>
        <v/>
      </c>
    </row>
    <row r="61" customFormat="false" ht="13.8" hidden="false" customHeight="false" outlineLevel="0" collapsed="false">
      <c r="A61" s="2"/>
      <c r="B61" s="2"/>
      <c r="C61" s="2"/>
      <c r="D61" s="2"/>
      <c r="E61" s="2"/>
      <c r="F61" s="2"/>
      <c r="G61" s="2"/>
      <c r="H61" s="2"/>
      <c r="I61" s="2"/>
      <c r="J61" s="2"/>
      <c r="K61" s="2"/>
      <c r="L61" s="2"/>
      <c r="M61" s="2"/>
      <c r="N61" s="2"/>
      <c r="O61" s="2"/>
      <c r="P61" s="2"/>
      <c r="Q61" s="2"/>
      <c r="R61" s="2"/>
      <c r="S61" s="2"/>
      <c r="T61" s="2"/>
      <c r="U61" s="15"/>
      <c r="V61" s="14"/>
      <c r="W61" s="15"/>
      <c r="X61" s="14"/>
      <c r="Y61" s="14"/>
      <c r="Z61" s="14"/>
      <c r="AA61" s="14"/>
      <c r="AB61" s="17"/>
      <c r="AC61" s="17"/>
      <c r="AD61" s="18"/>
      <c r="AE61" s="17"/>
      <c r="AF61" s="19"/>
      <c r="AG61" s="17"/>
      <c r="AH61" s="20"/>
      <c r="AI61" s="17"/>
      <c r="AJ61" s="17"/>
      <c r="AK61" s="17"/>
      <c r="AL61" s="17"/>
      <c r="AM61" s="17"/>
      <c r="AN61" s="17"/>
      <c r="AO61" s="15"/>
      <c r="AP61" s="15"/>
      <c r="AQ61" s="15"/>
      <c r="AR61" s="15"/>
      <c r="AS61" s="15"/>
      <c r="AT61" s="10" t="str">
        <f aca="false">IF(A61="", "","'"&amp;A61&amp;"': {megami: '"&amp;B61&amp;"'"&amp;IF(C61&lt;&gt;"",", anotherID: '"&amp;C61&amp;"', replace: '"&amp;D61&amp;"'","")&amp;", name: '"&amp;SUBSTITUTE(E61,"'","\'")&amp;"', nameEn: '"&amp;SUBSTITUTE(K61,"'","\'")&amp;"', nameZh: '"&amp;SUBSTITUTE(G61,"'","\'")&amp;"', nameZhG1: '"&amp;SUBSTITUTE(H61,"'","\'")&amp;"', nameKo: '"&amp;SUBSTITUTE(J61,"'","\'")&amp;"', ruby: '"&amp;F61&amp;"', rubyEn: '"&amp;L61&amp;IF(I61&lt;&gt;"", "', rubyZh: '"&amp;I61, "")&amp;"', baseType: '"&amp;VLOOKUP(M61,マスタ!$A$1:$B$99,2,0)&amp;"'"&amp;IF(N61="○",", extra: true","")&amp;IF(O61&lt;&gt;"",", extraFrom: '"&amp;O61&amp;"'","")&amp;IF(P61&lt;&gt;"",", exchangableTo: '"&amp;P61&amp;"'","")&amp;IF(Q61="○",", poison: true","")&amp;IF(R61&lt;&gt;"", ", type: '"&amp;VLOOKUP(R61,マスタ!$D$1:$E$99,2,0)&amp;"'", "")&amp;IF(S61&lt;&gt;"",", subType: '"&amp;VLOOKUP(S61,マスタ!$D$1:$E$99,2,0)&amp;"'","")&amp;""&amp;IF(T61&lt;&gt;"",", range: '"&amp;T61&amp;"'","")&amp;IF(V61&lt;&gt;"",", damage: '"&amp;V61&amp;"'","")&amp;IF(X61&lt;&gt;"",", capacity: '"&amp;X61&amp;"'","")&amp;IF(Y61&lt;&gt;"",", growth: "&amp;Y61&amp;"","")&amp;IF(Z61&lt;&gt;"",", cost: '"&amp;Z61&amp;"'","")&amp;", text: '"&amp;SUBSTITUTE(SUBSTITUTE(AE61, CHAR(13), ""),CHAR(10),"\n")&amp;IF(AF61&lt;&gt;"", "', textAdditional: '"&amp;SUBSTITUTE(SUBSTITUTE(AF61, CHAR(13), ""),CHAR(10),"\n"), "")&amp;"', textZh: '"&amp;SUBSTITUTE(SUBSTITUTE(SUBSTITUTE(AG61, CHAR(13), ""),CHAR(10),"\n"),"'","\'")&amp;"', textZhG1: '"&amp;SUBSTITUTE(SUBSTITUTE(SUBSTITUTE(AI61, CHAR(13), ""),CHAR(10),"\n"),"'","\'")&amp;IF(AH61&lt;&gt;"", "', textZhAdditional: '"&amp;SUBSTITUTE(SUBSTITUTE(AH61, CHAR(13), ""),CHAR(10),"\n"), "")&amp;IF(AJ61&lt;&gt;"", "', textZhG1Additional: '"&amp;SUBSTITUTE(SUBSTITUTE(AJ61, CHAR(13), ""),CHAR(10),"\n"), "")&amp;"', textKo: '"&amp;SUBSTITUTE(SUBSTITUTE(SUBSTITUTE(AK61, CHAR(13), ""),CHAR(10),"\n"),"'","\'")&amp;IF(AL61&lt;&gt;"", "', textKoAdditional: '"&amp;SUBSTITUTE(SUBSTITUTE(AL61, CHAR(13), ""),CHAR(10),"\n"), "")&amp;"', textEn: '"&amp;SUBSTITUTE(SUBSTITUTE(SUBSTITUTE(AM61, CHAR(13), ""),CHAR(10),"\n"),"'","\'")&amp;IF(AN61&lt;&gt;"", "', textEnAdditional: '"&amp;SUBSTITUTE(SUBSTITUTE(AN61, CHAR(13), ""),CHAR(10),"\n"), "")&amp;"'"&amp;IF(AB61="○",", sealable: true","")&amp;IF(AC61="○",", removable: true","")&amp;IF(AA61="○",", lie: true","")&amp;IF(AD61="○",", investable: true","")&amp;"},")</f>
        <v/>
      </c>
      <c r="AU61" s="11" t="str">
        <f aca="false">IF($A61&lt;&gt;"", "    /** 《"&amp;$E61&amp;"》 */ export const "&amp;SUBSTITUTE(UPPER(IF(MID($A61, 3, 1)="-", RIGHT($A61,LEN($A61)-3), $A61)), "-", "_")&amp;": TCardId = '"&amp;$A61&amp;"';", "")</f>
        <v/>
      </c>
      <c r="AV61" s="12" t="str">
        <f aca="false">IF($A62&lt;&gt;"", "    | '"&amp;$A62&amp;"'", "")</f>
        <v/>
      </c>
    </row>
    <row r="62" customFormat="false" ht="13.8" hidden="false" customHeight="false" outlineLevel="0" collapsed="false">
      <c r="A62" s="2"/>
      <c r="B62" s="2"/>
      <c r="C62" s="2"/>
      <c r="D62" s="2"/>
      <c r="E62" s="2"/>
      <c r="F62" s="2"/>
      <c r="G62" s="2"/>
      <c r="H62" s="2"/>
      <c r="I62" s="2"/>
      <c r="J62" s="2"/>
      <c r="K62" s="2"/>
      <c r="L62" s="2"/>
      <c r="M62" s="2"/>
      <c r="N62" s="2"/>
      <c r="O62" s="2"/>
      <c r="P62" s="2"/>
      <c r="Q62" s="2"/>
      <c r="R62" s="2"/>
      <c r="S62" s="2"/>
      <c r="T62" s="2"/>
      <c r="U62" s="15"/>
      <c r="V62" s="14"/>
      <c r="W62" s="15"/>
      <c r="X62" s="14"/>
      <c r="Y62" s="14"/>
      <c r="Z62" s="14"/>
      <c r="AA62" s="14"/>
      <c r="AB62" s="17"/>
      <c r="AC62" s="17"/>
      <c r="AD62" s="18"/>
      <c r="AE62" s="17"/>
      <c r="AF62" s="19"/>
      <c r="AG62" s="17"/>
      <c r="AH62" s="20"/>
      <c r="AI62" s="17"/>
      <c r="AJ62" s="17"/>
      <c r="AK62" s="17"/>
      <c r="AL62" s="17"/>
      <c r="AM62" s="17"/>
      <c r="AN62" s="17"/>
      <c r="AO62" s="15"/>
      <c r="AP62" s="15"/>
      <c r="AQ62" s="15"/>
      <c r="AR62" s="15"/>
      <c r="AS62" s="15"/>
      <c r="AT62" s="10" t="str">
        <f aca="false">IF(A62="", "","'"&amp;A62&amp;"': {megami: '"&amp;B62&amp;"'"&amp;IF(C62&lt;&gt;"",", anotherID: '"&amp;C62&amp;"', replace: '"&amp;D62&amp;"'","")&amp;", name: '"&amp;SUBSTITUTE(E62,"'","\'")&amp;"', nameEn: '"&amp;SUBSTITUTE(K62,"'","\'")&amp;"', nameZh: '"&amp;SUBSTITUTE(G62,"'","\'")&amp;"', nameZhG1: '"&amp;SUBSTITUTE(H62,"'","\'")&amp;"', nameKo: '"&amp;SUBSTITUTE(J62,"'","\'")&amp;"', ruby: '"&amp;F62&amp;"', rubyEn: '"&amp;L62&amp;IF(I62&lt;&gt;"", "', rubyZh: '"&amp;I62, "")&amp;"', baseType: '"&amp;VLOOKUP(M62,マスタ!$A$1:$B$99,2,0)&amp;"'"&amp;IF(N62="○",", extra: true","")&amp;IF(O62&lt;&gt;"",", extraFrom: '"&amp;O62&amp;"'","")&amp;IF(P62&lt;&gt;"",", exchangableTo: '"&amp;P62&amp;"'","")&amp;IF(Q62="○",", poison: true","")&amp;IF(R62&lt;&gt;"", ", type: '"&amp;VLOOKUP(R62,マスタ!$D$1:$E$99,2,0)&amp;"'", "")&amp;IF(S62&lt;&gt;"",", subType: '"&amp;VLOOKUP(S62,マスタ!$D$1:$E$99,2,0)&amp;"'","")&amp;""&amp;IF(T62&lt;&gt;"",", range: '"&amp;T62&amp;"'","")&amp;IF(V62&lt;&gt;"",", damage: '"&amp;V62&amp;"'","")&amp;IF(X62&lt;&gt;"",", capacity: '"&amp;X62&amp;"'","")&amp;IF(Y62&lt;&gt;"",", growth: "&amp;Y62&amp;"","")&amp;IF(Z62&lt;&gt;"",", cost: '"&amp;Z62&amp;"'","")&amp;", text: '"&amp;SUBSTITUTE(SUBSTITUTE(AE62, CHAR(13), ""),CHAR(10),"\n")&amp;IF(AF62&lt;&gt;"", "', textAdditional: '"&amp;SUBSTITUTE(SUBSTITUTE(AF62, CHAR(13), ""),CHAR(10),"\n"), "")&amp;"', textZh: '"&amp;SUBSTITUTE(SUBSTITUTE(SUBSTITUTE(AG62, CHAR(13), ""),CHAR(10),"\n"),"'","\'")&amp;"', textZhG1: '"&amp;SUBSTITUTE(SUBSTITUTE(SUBSTITUTE(AI62, CHAR(13), ""),CHAR(10),"\n"),"'","\'")&amp;IF(AH62&lt;&gt;"", "', textZhAdditional: '"&amp;SUBSTITUTE(SUBSTITUTE(AH62, CHAR(13), ""),CHAR(10),"\n"), "")&amp;IF(AJ62&lt;&gt;"", "', textZhG1Additional: '"&amp;SUBSTITUTE(SUBSTITUTE(AJ62, CHAR(13), ""),CHAR(10),"\n"), "")&amp;"', textKo: '"&amp;SUBSTITUTE(SUBSTITUTE(SUBSTITUTE(AK62, CHAR(13), ""),CHAR(10),"\n"),"'","\'")&amp;IF(AL62&lt;&gt;"", "', textKoAdditional: '"&amp;SUBSTITUTE(SUBSTITUTE(AL62, CHAR(13), ""),CHAR(10),"\n"), "")&amp;"', textEn: '"&amp;SUBSTITUTE(SUBSTITUTE(SUBSTITUTE(AM62, CHAR(13), ""),CHAR(10),"\n"),"'","\'")&amp;IF(AN62&lt;&gt;"", "', textEnAdditional: '"&amp;SUBSTITUTE(SUBSTITUTE(AN62, CHAR(13), ""),CHAR(10),"\n"), "")&amp;"'"&amp;IF(AB62="○",", sealable: true","")&amp;IF(AC62="○",", removable: true","")&amp;IF(AA62="○",", lie: true","")&amp;IF(AD62="○",", investable: true","")&amp;"},")</f>
        <v/>
      </c>
      <c r="AU62" s="11" t="str">
        <f aca="false">IF($A62&lt;&gt;"", "    /** 《"&amp;$E62&amp;"》 */ export const "&amp;SUBSTITUTE(UPPER(IF(MID($A62, 3, 1)="-", RIGHT($A62,LEN($A62)-3), $A62)), "-", "_")&amp;": TCardId = '"&amp;$A62&amp;"';", "")</f>
        <v/>
      </c>
      <c r="AV62" s="12" t="str">
        <f aca="false">IF($A63&lt;&gt;"", "    | '"&amp;$A63&amp;"'", "")</f>
        <v/>
      </c>
    </row>
    <row r="63" customFormat="false" ht="13.8" hidden="false" customHeight="false" outlineLevel="0" collapsed="false">
      <c r="A63" s="2"/>
      <c r="B63" s="2"/>
      <c r="C63" s="2"/>
      <c r="D63" s="2"/>
      <c r="E63" s="2"/>
      <c r="F63" s="2"/>
      <c r="G63" s="2"/>
      <c r="H63" s="2"/>
      <c r="I63" s="2"/>
      <c r="J63" s="2"/>
      <c r="K63" s="2"/>
      <c r="L63" s="2"/>
      <c r="M63" s="2"/>
      <c r="N63" s="2"/>
      <c r="O63" s="2"/>
      <c r="P63" s="2"/>
      <c r="Q63" s="2"/>
      <c r="R63" s="2"/>
      <c r="S63" s="2"/>
      <c r="T63" s="2"/>
      <c r="U63" s="15"/>
      <c r="V63" s="14"/>
      <c r="W63" s="15"/>
      <c r="X63" s="14"/>
      <c r="Y63" s="14"/>
      <c r="Z63" s="14"/>
      <c r="AA63" s="14"/>
      <c r="AB63" s="17"/>
      <c r="AC63" s="17"/>
      <c r="AD63" s="18"/>
      <c r="AE63" s="17"/>
      <c r="AF63" s="19"/>
      <c r="AG63" s="17"/>
      <c r="AH63" s="20"/>
      <c r="AI63" s="17"/>
      <c r="AJ63" s="17"/>
      <c r="AK63" s="17"/>
      <c r="AL63" s="17"/>
      <c r="AM63" s="17"/>
      <c r="AN63" s="17"/>
      <c r="AO63" s="15"/>
      <c r="AP63" s="15"/>
      <c r="AQ63" s="15"/>
      <c r="AR63" s="15"/>
      <c r="AS63" s="15"/>
      <c r="AT63" s="10" t="str">
        <f aca="false">IF(A63="", "","'"&amp;A63&amp;"': {megami: '"&amp;B63&amp;"'"&amp;IF(C63&lt;&gt;"",", anotherID: '"&amp;C63&amp;"', replace: '"&amp;D63&amp;"'","")&amp;", name: '"&amp;SUBSTITUTE(E63,"'","\'")&amp;"', nameEn: '"&amp;SUBSTITUTE(K63,"'","\'")&amp;"', nameZh: '"&amp;SUBSTITUTE(G63,"'","\'")&amp;"', nameZhG1: '"&amp;SUBSTITUTE(H63,"'","\'")&amp;"', nameKo: '"&amp;SUBSTITUTE(J63,"'","\'")&amp;"', ruby: '"&amp;F63&amp;"', rubyEn: '"&amp;L63&amp;IF(I63&lt;&gt;"", "', rubyZh: '"&amp;I63, "")&amp;"', baseType: '"&amp;VLOOKUP(M63,マスタ!$A$1:$B$99,2,0)&amp;"'"&amp;IF(N63="○",", extra: true","")&amp;IF(O63&lt;&gt;"",", extraFrom: '"&amp;O63&amp;"'","")&amp;IF(P63&lt;&gt;"",", exchangableTo: '"&amp;P63&amp;"'","")&amp;IF(Q63="○",", poison: true","")&amp;IF(R63&lt;&gt;"", ", type: '"&amp;VLOOKUP(R63,マスタ!$D$1:$E$99,2,0)&amp;"'", "")&amp;IF(S63&lt;&gt;"",", subType: '"&amp;VLOOKUP(S63,マスタ!$D$1:$E$99,2,0)&amp;"'","")&amp;""&amp;IF(T63&lt;&gt;"",", range: '"&amp;T63&amp;"'","")&amp;IF(V63&lt;&gt;"",", damage: '"&amp;V63&amp;"'","")&amp;IF(X63&lt;&gt;"",", capacity: '"&amp;X63&amp;"'","")&amp;IF(Y63&lt;&gt;"",", growth: "&amp;Y63&amp;"","")&amp;IF(Z63&lt;&gt;"",", cost: '"&amp;Z63&amp;"'","")&amp;", text: '"&amp;SUBSTITUTE(SUBSTITUTE(AE63, CHAR(13), ""),CHAR(10),"\n")&amp;IF(AF63&lt;&gt;"", "', textAdditional: '"&amp;SUBSTITUTE(SUBSTITUTE(AF63, CHAR(13), ""),CHAR(10),"\n"), "")&amp;"', textZh: '"&amp;SUBSTITUTE(SUBSTITUTE(SUBSTITUTE(AG63, CHAR(13), ""),CHAR(10),"\n"),"'","\'")&amp;"', textZhG1: '"&amp;SUBSTITUTE(SUBSTITUTE(SUBSTITUTE(AI63, CHAR(13), ""),CHAR(10),"\n"),"'","\'")&amp;IF(AH63&lt;&gt;"", "', textZhAdditional: '"&amp;SUBSTITUTE(SUBSTITUTE(AH63, CHAR(13), ""),CHAR(10),"\n"), "")&amp;IF(AJ63&lt;&gt;"", "', textZhG1Additional: '"&amp;SUBSTITUTE(SUBSTITUTE(AJ63, CHAR(13), ""),CHAR(10),"\n"), "")&amp;"', textKo: '"&amp;SUBSTITUTE(SUBSTITUTE(SUBSTITUTE(AK63, CHAR(13), ""),CHAR(10),"\n"),"'","\'")&amp;IF(AL63&lt;&gt;"", "', textKoAdditional: '"&amp;SUBSTITUTE(SUBSTITUTE(AL63, CHAR(13), ""),CHAR(10),"\n"), "")&amp;"', textEn: '"&amp;SUBSTITUTE(SUBSTITUTE(SUBSTITUTE(AM63, CHAR(13), ""),CHAR(10),"\n"),"'","\'")&amp;IF(AN63&lt;&gt;"", "', textEnAdditional: '"&amp;SUBSTITUTE(SUBSTITUTE(AN63, CHAR(13), ""),CHAR(10),"\n"), "")&amp;"'"&amp;IF(AB63="○",", sealable: true","")&amp;IF(AC63="○",", removable: true","")&amp;IF(AA63="○",", lie: true","")&amp;IF(AD63="○",", investable: true","")&amp;"},")</f>
        <v/>
      </c>
      <c r="AU63" s="11" t="str">
        <f aca="false">IF($A63&lt;&gt;"", "    /** 《"&amp;$E63&amp;"》 */ export const "&amp;SUBSTITUTE(UPPER(IF(MID($A63, 3, 1)="-", RIGHT($A63,LEN($A63)-3), $A63)), "-", "_")&amp;": TCardId = '"&amp;$A63&amp;"';", "")</f>
        <v/>
      </c>
      <c r="AV63" s="12" t="str">
        <f aca="false">IF($A64&lt;&gt;"", "    | '"&amp;$A64&amp;"'", "")</f>
        <v/>
      </c>
    </row>
    <row r="64" customFormat="false" ht="13.8" hidden="false" customHeight="false" outlineLevel="0" collapsed="false">
      <c r="A64" s="2"/>
      <c r="B64" s="2"/>
      <c r="C64" s="2"/>
      <c r="D64" s="2"/>
      <c r="E64" s="2"/>
      <c r="F64" s="2"/>
      <c r="G64" s="2"/>
      <c r="H64" s="2"/>
      <c r="I64" s="2"/>
      <c r="J64" s="2"/>
      <c r="K64" s="2"/>
      <c r="L64" s="2"/>
      <c r="M64" s="2"/>
      <c r="N64" s="2"/>
      <c r="O64" s="2"/>
      <c r="P64" s="2"/>
      <c r="Q64" s="2"/>
      <c r="R64" s="2"/>
      <c r="S64" s="2"/>
      <c r="T64" s="2"/>
      <c r="U64" s="15"/>
      <c r="V64" s="14"/>
      <c r="W64" s="15"/>
      <c r="X64" s="14"/>
      <c r="Y64" s="14"/>
      <c r="Z64" s="14"/>
      <c r="AA64" s="14"/>
      <c r="AB64" s="17"/>
      <c r="AC64" s="17"/>
      <c r="AD64" s="18"/>
      <c r="AE64" s="17"/>
      <c r="AF64" s="19"/>
      <c r="AG64" s="17"/>
      <c r="AH64" s="20"/>
      <c r="AI64" s="17"/>
      <c r="AJ64" s="17"/>
      <c r="AK64" s="17"/>
      <c r="AL64" s="17"/>
      <c r="AM64" s="17"/>
      <c r="AN64" s="17"/>
      <c r="AO64" s="15"/>
      <c r="AP64" s="15"/>
      <c r="AQ64" s="15"/>
      <c r="AR64" s="15"/>
      <c r="AS64" s="15"/>
      <c r="AT64" s="10" t="str">
        <f aca="false">IF(A64="", "","'"&amp;A64&amp;"': {megami: '"&amp;B64&amp;"'"&amp;IF(C64&lt;&gt;"",", anotherID: '"&amp;C64&amp;"', replace: '"&amp;D64&amp;"'","")&amp;", name: '"&amp;SUBSTITUTE(E64,"'","\'")&amp;"', nameEn: '"&amp;SUBSTITUTE(K64,"'","\'")&amp;"', nameZh: '"&amp;SUBSTITUTE(G64,"'","\'")&amp;"', nameZhG1: '"&amp;SUBSTITUTE(H64,"'","\'")&amp;"', nameKo: '"&amp;SUBSTITUTE(J64,"'","\'")&amp;"', ruby: '"&amp;F64&amp;"', rubyEn: '"&amp;L64&amp;IF(I64&lt;&gt;"", "', rubyZh: '"&amp;I64, "")&amp;"', baseType: '"&amp;VLOOKUP(M64,マスタ!$A$1:$B$99,2,0)&amp;"'"&amp;IF(N64="○",", extra: true","")&amp;IF(O64&lt;&gt;"",", extraFrom: '"&amp;O64&amp;"'","")&amp;IF(P64&lt;&gt;"",", exchangableTo: '"&amp;P64&amp;"'","")&amp;IF(Q64="○",", poison: true","")&amp;IF(R64&lt;&gt;"", ", type: '"&amp;VLOOKUP(R64,マスタ!$D$1:$E$99,2,0)&amp;"'", "")&amp;IF(S64&lt;&gt;"",", subType: '"&amp;VLOOKUP(S64,マスタ!$D$1:$E$99,2,0)&amp;"'","")&amp;""&amp;IF(T64&lt;&gt;"",", range: '"&amp;T64&amp;"'","")&amp;IF(V64&lt;&gt;"",", damage: '"&amp;V64&amp;"'","")&amp;IF(X64&lt;&gt;"",", capacity: '"&amp;X64&amp;"'","")&amp;IF(Y64&lt;&gt;"",", growth: "&amp;Y64&amp;"","")&amp;IF(Z64&lt;&gt;"",", cost: '"&amp;Z64&amp;"'","")&amp;", text: '"&amp;SUBSTITUTE(SUBSTITUTE(AE64, CHAR(13), ""),CHAR(10),"\n")&amp;IF(AF64&lt;&gt;"", "', textAdditional: '"&amp;SUBSTITUTE(SUBSTITUTE(AF64, CHAR(13), ""),CHAR(10),"\n"), "")&amp;"', textZh: '"&amp;SUBSTITUTE(SUBSTITUTE(SUBSTITUTE(AG64, CHAR(13), ""),CHAR(10),"\n"),"'","\'")&amp;"', textZhG1: '"&amp;SUBSTITUTE(SUBSTITUTE(SUBSTITUTE(AI64, CHAR(13), ""),CHAR(10),"\n"),"'","\'")&amp;IF(AH64&lt;&gt;"", "', textZhAdditional: '"&amp;SUBSTITUTE(SUBSTITUTE(AH64, CHAR(13), ""),CHAR(10),"\n"), "")&amp;IF(AJ64&lt;&gt;"", "', textZhG1Additional: '"&amp;SUBSTITUTE(SUBSTITUTE(AJ64, CHAR(13), ""),CHAR(10),"\n"), "")&amp;"', textKo: '"&amp;SUBSTITUTE(SUBSTITUTE(SUBSTITUTE(AK64, CHAR(13), ""),CHAR(10),"\n"),"'","\'")&amp;IF(AL64&lt;&gt;"", "', textKoAdditional: '"&amp;SUBSTITUTE(SUBSTITUTE(AL64, CHAR(13), ""),CHAR(10),"\n"), "")&amp;"', textEn: '"&amp;SUBSTITUTE(SUBSTITUTE(SUBSTITUTE(AM64, CHAR(13), ""),CHAR(10),"\n"),"'","\'")&amp;IF(AN64&lt;&gt;"", "', textEnAdditional: '"&amp;SUBSTITUTE(SUBSTITUTE(AN64, CHAR(13), ""),CHAR(10),"\n"), "")&amp;"'"&amp;IF(AB64="○",", sealable: true","")&amp;IF(AC64="○",", removable: true","")&amp;IF(AA64="○",", lie: true","")&amp;IF(AD64="○",", investable: true","")&amp;"},")</f>
        <v/>
      </c>
      <c r="AU64" s="11" t="str">
        <f aca="false">IF($A64&lt;&gt;"", "    /** 《"&amp;$E64&amp;"》 */ export const "&amp;SUBSTITUTE(UPPER(IF(MID($A64, 3, 1)="-", RIGHT($A64,LEN($A64)-3), $A64)), "-", "_")&amp;": TCardId = '"&amp;$A64&amp;"';", "")</f>
        <v/>
      </c>
      <c r="AV64" s="12" t="str">
        <f aca="false">IF($A65&lt;&gt;"", "    | '"&amp;$A65&amp;"'", "")</f>
        <v/>
      </c>
    </row>
    <row r="65" customFormat="false" ht="13.8" hidden="false" customHeight="false" outlineLevel="0" collapsed="false">
      <c r="A65" s="2"/>
      <c r="B65" s="2"/>
      <c r="C65" s="2"/>
      <c r="D65" s="2"/>
      <c r="E65" s="2"/>
      <c r="F65" s="2"/>
      <c r="G65" s="2"/>
      <c r="H65" s="2"/>
      <c r="I65" s="2"/>
      <c r="J65" s="2"/>
      <c r="K65" s="2"/>
      <c r="L65" s="2"/>
      <c r="M65" s="2"/>
      <c r="N65" s="2"/>
      <c r="O65" s="2"/>
      <c r="P65" s="2"/>
      <c r="Q65" s="2"/>
      <c r="R65" s="2"/>
      <c r="S65" s="2"/>
      <c r="T65" s="2"/>
      <c r="U65" s="15"/>
      <c r="V65" s="14"/>
      <c r="W65" s="15"/>
      <c r="X65" s="14"/>
      <c r="Y65" s="14"/>
      <c r="Z65" s="14"/>
      <c r="AA65" s="14"/>
      <c r="AB65" s="17"/>
      <c r="AC65" s="17"/>
      <c r="AD65" s="18"/>
      <c r="AE65" s="17"/>
      <c r="AF65" s="19"/>
      <c r="AG65" s="17"/>
      <c r="AH65" s="20"/>
      <c r="AI65" s="17"/>
      <c r="AJ65" s="17"/>
      <c r="AK65" s="17"/>
      <c r="AL65" s="17"/>
      <c r="AM65" s="17"/>
      <c r="AN65" s="17"/>
      <c r="AO65" s="15"/>
      <c r="AP65" s="15"/>
      <c r="AQ65" s="15"/>
      <c r="AR65" s="15"/>
      <c r="AS65" s="15"/>
      <c r="AT65" s="10" t="str">
        <f aca="false">IF(A65="", "","'"&amp;A65&amp;"': {megami: '"&amp;B65&amp;"'"&amp;IF(C65&lt;&gt;"",", anotherID: '"&amp;C65&amp;"', replace: '"&amp;D65&amp;"'","")&amp;", name: '"&amp;SUBSTITUTE(E65,"'","\'")&amp;"', nameEn: '"&amp;SUBSTITUTE(K65,"'","\'")&amp;"', nameZh: '"&amp;SUBSTITUTE(G65,"'","\'")&amp;"', nameZhG1: '"&amp;SUBSTITUTE(H65,"'","\'")&amp;"', nameKo: '"&amp;SUBSTITUTE(J65,"'","\'")&amp;"', ruby: '"&amp;F65&amp;"', rubyEn: '"&amp;L65&amp;IF(I65&lt;&gt;"", "', rubyZh: '"&amp;I65, "")&amp;"', baseType: '"&amp;VLOOKUP(M65,マスタ!$A$1:$B$99,2,0)&amp;"'"&amp;IF(N65="○",", extra: true","")&amp;IF(O65&lt;&gt;"",", extraFrom: '"&amp;O65&amp;"'","")&amp;IF(P65&lt;&gt;"",", exchangableTo: '"&amp;P65&amp;"'","")&amp;IF(Q65="○",", poison: true","")&amp;IF(R65&lt;&gt;"", ", type: '"&amp;VLOOKUP(R65,マスタ!$D$1:$E$99,2,0)&amp;"'", "")&amp;IF(S65&lt;&gt;"",", subType: '"&amp;VLOOKUP(S65,マスタ!$D$1:$E$99,2,0)&amp;"'","")&amp;""&amp;IF(T65&lt;&gt;"",", range: '"&amp;T65&amp;"'","")&amp;IF(V65&lt;&gt;"",", damage: '"&amp;V65&amp;"'","")&amp;IF(X65&lt;&gt;"",", capacity: '"&amp;X65&amp;"'","")&amp;IF(Y65&lt;&gt;"",", growth: "&amp;Y65&amp;"","")&amp;IF(Z65&lt;&gt;"",", cost: '"&amp;Z65&amp;"'","")&amp;", text: '"&amp;SUBSTITUTE(SUBSTITUTE(AE65, CHAR(13), ""),CHAR(10),"\n")&amp;IF(AF65&lt;&gt;"", "', textAdditional: '"&amp;SUBSTITUTE(SUBSTITUTE(AF65, CHAR(13), ""),CHAR(10),"\n"), "")&amp;"', textZh: '"&amp;SUBSTITUTE(SUBSTITUTE(SUBSTITUTE(AG65, CHAR(13), ""),CHAR(10),"\n"),"'","\'")&amp;"', textZhG1: '"&amp;SUBSTITUTE(SUBSTITUTE(SUBSTITUTE(AI65, CHAR(13), ""),CHAR(10),"\n"),"'","\'")&amp;IF(AH65&lt;&gt;"", "', textZhAdditional: '"&amp;SUBSTITUTE(SUBSTITUTE(AH65, CHAR(13), ""),CHAR(10),"\n"), "")&amp;IF(AJ65&lt;&gt;"", "', textZhG1Additional: '"&amp;SUBSTITUTE(SUBSTITUTE(AJ65, CHAR(13), ""),CHAR(10),"\n"), "")&amp;"', textKo: '"&amp;SUBSTITUTE(SUBSTITUTE(SUBSTITUTE(AK65, CHAR(13), ""),CHAR(10),"\n"),"'","\'")&amp;IF(AL65&lt;&gt;"", "', textKoAdditional: '"&amp;SUBSTITUTE(SUBSTITUTE(AL65, CHAR(13), ""),CHAR(10),"\n"), "")&amp;"', textEn: '"&amp;SUBSTITUTE(SUBSTITUTE(SUBSTITUTE(AM65, CHAR(13), ""),CHAR(10),"\n"),"'","\'")&amp;IF(AN65&lt;&gt;"", "', textEnAdditional: '"&amp;SUBSTITUTE(SUBSTITUTE(AN65, CHAR(13), ""),CHAR(10),"\n"), "")&amp;"'"&amp;IF(AB65="○",", sealable: true","")&amp;IF(AC65="○",", removable: true","")&amp;IF(AA65="○",", lie: true","")&amp;IF(AD65="○",", investable: true","")&amp;"},")</f>
        <v/>
      </c>
      <c r="AU65" s="11" t="str">
        <f aca="false">IF($A65&lt;&gt;"", "    /** 《"&amp;$E65&amp;"》 */ export const "&amp;SUBSTITUTE(UPPER(IF(MID($A65, 3, 1)="-", RIGHT($A65,LEN($A65)-3), $A65)), "-", "_")&amp;": TCardId = '"&amp;$A65&amp;"';", "")</f>
        <v/>
      </c>
      <c r="AV65" s="12" t="str">
        <f aca="false">IF($A66&lt;&gt;"", "    | '"&amp;$A66&amp;"'", "")</f>
        <v/>
      </c>
    </row>
    <row r="66" customFormat="false" ht="13.8" hidden="false" customHeight="false" outlineLevel="0" collapsed="false">
      <c r="A66" s="2"/>
      <c r="B66" s="2"/>
      <c r="C66" s="2"/>
      <c r="D66" s="2"/>
      <c r="E66" s="2"/>
      <c r="F66" s="2"/>
      <c r="G66" s="2"/>
      <c r="H66" s="2"/>
      <c r="I66" s="2"/>
      <c r="J66" s="2"/>
      <c r="K66" s="2"/>
      <c r="L66" s="2"/>
      <c r="M66" s="2"/>
      <c r="N66" s="2"/>
      <c r="O66" s="2"/>
      <c r="P66" s="2"/>
      <c r="Q66" s="2"/>
      <c r="R66" s="2"/>
      <c r="S66" s="2"/>
      <c r="T66" s="2"/>
      <c r="U66" s="15"/>
      <c r="V66" s="14"/>
      <c r="W66" s="15"/>
      <c r="X66" s="14"/>
      <c r="Y66" s="14"/>
      <c r="Z66" s="14"/>
      <c r="AA66" s="14"/>
      <c r="AB66" s="17"/>
      <c r="AC66" s="17"/>
      <c r="AD66" s="18"/>
      <c r="AE66" s="17"/>
      <c r="AF66" s="19"/>
      <c r="AG66" s="17"/>
      <c r="AH66" s="20"/>
      <c r="AI66" s="17"/>
      <c r="AJ66" s="17"/>
      <c r="AK66" s="17"/>
      <c r="AL66" s="17"/>
      <c r="AM66" s="17"/>
      <c r="AN66" s="17"/>
      <c r="AO66" s="15"/>
      <c r="AP66" s="15"/>
      <c r="AQ66" s="15"/>
      <c r="AR66" s="15"/>
      <c r="AS66" s="15"/>
      <c r="AT66" s="10" t="str">
        <f aca="false">IF(A66="", "","'"&amp;A66&amp;"': {megami: '"&amp;B66&amp;"'"&amp;IF(C66&lt;&gt;"",", anotherID: '"&amp;C66&amp;"', replace: '"&amp;D66&amp;"'","")&amp;", name: '"&amp;SUBSTITUTE(E66,"'","\'")&amp;"', nameEn: '"&amp;SUBSTITUTE(K66,"'","\'")&amp;"', nameZh: '"&amp;SUBSTITUTE(G66,"'","\'")&amp;"', nameZhG1: '"&amp;SUBSTITUTE(H66,"'","\'")&amp;"', nameKo: '"&amp;SUBSTITUTE(J66,"'","\'")&amp;"', ruby: '"&amp;F66&amp;"', rubyEn: '"&amp;L66&amp;IF(I66&lt;&gt;"", "', rubyZh: '"&amp;I66, "")&amp;"', baseType: '"&amp;VLOOKUP(M66,マスタ!$A$1:$B$99,2,0)&amp;"'"&amp;IF(N66="○",", extra: true","")&amp;IF(O66&lt;&gt;"",", extraFrom: '"&amp;O66&amp;"'","")&amp;IF(P66&lt;&gt;"",", exchangableTo: '"&amp;P66&amp;"'","")&amp;IF(Q66="○",", poison: true","")&amp;IF(R66&lt;&gt;"", ", type: '"&amp;VLOOKUP(R66,マスタ!$D$1:$E$99,2,0)&amp;"'", "")&amp;IF(S66&lt;&gt;"",", subType: '"&amp;VLOOKUP(S66,マスタ!$D$1:$E$99,2,0)&amp;"'","")&amp;""&amp;IF(T66&lt;&gt;"",", range: '"&amp;T66&amp;"'","")&amp;IF(V66&lt;&gt;"",", damage: '"&amp;V66&amp;"'","")&amp;IF(X66&lt;&gt;"",", capacity: '"&amp;X66&amp;"'","")&amp;IF(Y66&lt;&gt;"",", growth: "&amp;Y66&amp;"","")&amp;IF(Z66&lt;&gt;"",", cost: '"&amp;Z66&amp;"'","")&amp;", text: '"&amp;SUBSTITUTE(SUBSTITUTE(AE66, CHAR(13), ""),CHAR(10),"\n")&amp;IF(AF66&lt;&gt;"", "', textAdditional: '"&amp;SUBSTITUTE(SUBSTITUTE(AF66, CHAR(13), ""),CHAR(10),"\n"), "")&amp;"', textZh: '"&amp;SUBSTITUTE(SUBSTITUTE(SUBSTITUTE(AG66, CHAR(13), ""),CHAR(10),"\n"),"'","\'")&amp;"', textZhG1: '"&amp;SUBSTITUTE(SUBSTITUTE(SUBSTITUTE(AI66, CHAR(13), ""),CHAR(10),"\n"),"'","\'")&amp;IF(AH66&lt;&gt;"", "', textZhAdditional: '"&amp;SUBSTITUTE(SUBSTITUTE(AH66, CHAR(13), ""),CHAR(10),"\n"), "")&amp;IF(AJ66&lt;&gt;"", "', textZhG1Additional: '"&amp;SUBSTITUTE(SUBSTITUTE(AJ66, CHAR(13), ""),CHAR(10),"\n"), "")&amp;"', textKo: '"&amp;SUBSTITUTE(SUBSTITUTE(SUBSTITUTE(AK66, CHAR(13), ""),CHAR(10),"\n"),"'","\'")&amp;IF(AL66&lt;&gt;"", "', textKoAdditional: '"&amp;SUBSTITUTE(SUBSTITUTE(AL66, CHAR(13), ""),CHAR(10),"\n"), "")&amp;"', textEn: '"&amp;SUBSTITUTE(SUBSTITUTE(SUBSTITUTE(AM66, CHAR(13), ""),CHAR(10),"\n"),"'","\'")&amp;IF(AN66&lt;&gt;"", "', textEnAdditional: '"&amp;SUBSTITUTE(SUBSTITUTE(AN66, CHAR(13), ""),CHAR(10),"\n"), "")&amp;"'"&amp;IF(AB66="○",", sealable: true","")&amp;IF(AC66="○",", removable: true","")&amp;IF(AA66="○",", lie: true","")&amp;IF(AD66="○",", investable: true","")&amp;"},")</f>
        <v/>
      </c>
      <c r="AU66" s="11" t="str">
        <f aca="false">IF($A66&lt;&gt;"", "    /** 《"&amp;$E66&amp;"》 */ export const "&amp;SUBSTITUTE(UPPER(IF(MID($A66, 3, 1)="-", RIGHT($A66,LEN($A66)-3), $A66)), "-", "_")&amp;": TCardId = '"&amp;$A66&amp;"';", "")</f>
        <v/>
      </c>
      <c r="AV66" s="12" t="str">
        <f aca="false">IF($A67&lt;&gt;"", "    | '"&amp;$A67&amp;"'", "")</f>
        <v/>
      </c>
    </row>
    <row r="67" customFormat="false" ht="13.8" hidden="false" customHeight="false" outlineLevel="0" collapsed="false">
      <c r="A67" s="2"/>
      <c r="B67" s="2"/>
      <c r="C67" s="2"/>
      <c r="D67" s="2"/>
      <c r="E67" s="2"/>
      <c r="F67" s="2"/>
      <c r="G67" s="2"/>
      <c r="H67" s="2"/>
      <c r="I67" s="2"/>
      <c r="J67" s="2"/>
      <c r="K67" s="2"/>
      <c r="L67" s="2"/>
      <c r="M67" s="2"/>
      <c r="N67" s="2"/>
      <c r="O67" s="2"/>
      <c r="P67" s="2"/>
      <c r="Q67" s="2"/>
      <c r="R67" s="2"/>
      <c r="S67" s="2"/>
      <c r="T67" s="2"/>
      <c r="U67" s="15"/>
      <c r="V67" s="14"/>
      <c r="W67" s="15"/>
      <c r="X67" s="14"/>
      <c r="Y67" s="14"/>
      <c r="Z67" s="14"/>
      <c r="AA67" s="14"/>
      <c r="AB67" s="17"/>
      <c r="AC67" s="17"/>
      <c r="AD67" s="18"/>
      <c r="AE67" s="17"/>
      <c r="AF67" s="19"/>
      <c r="AG67" s="17"/>
      <c r="AH67" s="20"/>
      <c r="AI67" s="17"/>
      <c r="AJ67" s="17"/>
      <c r="AK67" s="17"/>
      <c r="AL67" s="17"/>
      <c r="AM67" s="17"/>
      <c r="AN67" s="17"/>
      <c r="AO67" s="15"/>
      <c r="AP67" s="15"/>
      <c r="AQ67" s="15"/>
      <c r="AR67" s="15"/>
      <c r="AS67" s="15"/>
      <c r="AT67" s="10" t="str">
        <f aca="false">IF(A67="", "","'"&amp;A67&amp;"': {megami: '"&amp;B67&amp;"'"&amp;IF(C67&lt;&gt;"",", anotherID: '"&amp;C67&amp;"', replace: '"&amp;D67&amp;"'","")&amp;", name: '"&amp;SUBSTITUTE(E67,"'","\'")&amp;"', nameEn: '"&amp;SUBSTITUTE(K67,"'","\'")&amp;"', nameZh: '"&amp;SUBSTITUTE(G67,"'","\'")&amp;"', nameZhG1: '"&amp;SUBSTITUTE(H67,"'","\'")&amp;"', nameKo: '"&amp;SUBSTITUTE(J67,"'","\'")&amp;"', ruby: '"&amp;F67&amp;"', rubyEn: '"&amp;L67&amp;IF(I67&lt;&gt;"", "', rubyZh: '"&amp;I67, "")&amp;"', baseType: '"&amp;VLOOKUP(M67,マスタ!$A$1:$B$99,2,0)&amp;"'"&amp;IF(N67="○",", extra: true","")&amp;IF(O67&lt;&gt;"",", extraFrom: '"&amp;O67&amp;"'","")&amp;IF(P67&lt;&gt;"",", exchangableTo: '"&amp;P67&amp;"'","")&amp;IF(Q67="○",", poison: true","")&amp;IF(R67&lt;&gt;"", ", type: '"&amp;VLOOKUP(R67,マスタ!$D$1:$E$99,2,0)&amp;"'", "")&amp;IF(S67&lt;&gt;"",", subType: '"&amp;VLOOKUP(S67,マスタ!$D$1:$E$99,2,0)&amp;"'","")&amp;""&amp;IF(T67&lt;&gt;"",", range: '"&amp;T67&amp;"'","")&amp;IF(V67&lt;&gt;"",", damage: '"&amp;V67&amp;"'","")&amp;IF(X67&lt;&gt;"",", capacity: '"&amp;X67&amp;"'","")&amp;IF(Y67&lt;&gt;"",", growth: "&amp;Y67&amp;"","")&amp;IF(Z67&lt;&gt;"",", cost: '"&amp;Z67&amp;"'","")&amp;", text: '"&amp;SUBSTITUTE(SUBSTITUTE(AE67, CHAR(13), ""),CHAR(10),"\n")&amp;IF(AF67&lt;&gt;"", "', textAdditional: '"&amp;SUBSTITUTE(SUBSTITUTE(AF67, CHAR(13), ""),CHAR(10),"\n"), "")&amp;"', textZh: '"&amp;SUBSTITUTE(SUBSTITUTE(SUBSTITUTE(AG67, CHAR(13), ""),CHAR(10),"\n"),"'","\'")&amp;"', textZhG1: '"&amp;SUBSTITUTE(SUBSTITUTE(SUBSTITUTE(AI67, CHAR(13), ""),CHAR(10),"\n"),"'","\'")&amp;IF(AH67&lt;&gt;"", "', textZhAdditional: '"&amp;SUBSTITUTE(SUBSTITUTE(AH67, CHAR(13), ""),CHAR(10),"\n"), "")&amp;IF(AJ67&lt;&gt;"", "', textZhG1Additional: '"&amp;SUBSTITUTE(SUBSTITUTE(AJ67, CHAR(13), ""),CHAR(10),"\n"), "")&amp;"', textKo: '"&amp;SUBSTITUTE(SUBSTITUTE(SUBSTITUTE(AK67, CHAR(13), ""),CHAR(10),"\n"),"'","\'")&amp;IF(AL67&lt;&gt;"", "', textKoAdditional: '"&amp;SUBSTITUTE(SUBSTITUTE(AL67, CHAR(13), ""),CHAR(10),"\n"), "")&amp;"', textEn: '"&amp;SUBSTITUTE(SUBSTITUTE(SUBSTITUTE(AM67, CHAR(13), ""),CHAR(10),"\n"),"'","\'")&amp;IF(AN67&lt;&gt;"", "', textEnAdditional: '"&amp;SUBSTITUTE(SUBSTITUTE(AN67, CHAR(13), ""),CHAR(10),"\n"), "")&amp;"'"&amp;IF(AB67="○",", sealable: true","")&amp;IF(AC67="○",", removable: true","")&amp;IF(AA67="○",", lie: true","")&amp;IF(AD67="○",", investable: true","")&amp;"},")</f>
        <v/>
      </c>
      <c r="AU67" s="11" t="str">
        <f aca="false">IF($A67&lt;&gt;"", "    /** 《"&amp;$E67&amp;"》 */ export const "&amp;SUBSTITUTE(UPPER(IF(MID($A67, 3, 1)="-", RIGHT($A67,LEN($A67)-3), $A67)), "-", "_")&amp;": TCardId = '"&amp;$A67&amp;"';", "")</f>
        <v/>
      </c>
      <c r="AV67" s="12" t="str">
        <f aca="false">IF($A68&lt;&gt;"", "    | '"&amp;$A68&amp;"'", "")</f>
        <v/>
      </c>
    </row>
    <row r="68" customFormat="false" ht="13.8" hidden="false" customHeight="false" outlineLevel="0" collapsed="false">
      <c r="A68" s="2"/>
      <c r="B68" s="2"/>
      <c r="C68" s="2"/>
      <c r="D68" s="2"/>
      <c r="E68" s="2"/>
      <c r="F68" s="2"/>
      <c r="G68" s="2"/>
      <c r="H68" s="2"/>
      <c r="I68" s="2"/>
      <c r="J68" s="2"/>
      <c r="K68" s="2"/>
      <c r="L68" s="2"/>
      <c r="M68" s="2"/>
      <c r="N68" s="2"/>
      <c r="O68" s="2"/>
      <c r="P68" s="2"/>
      <c r="Q68" s="2"/>
      <c r="R68" s="2"/>
      <c r="S68" s="2"/>
      <c r="T68" s="2"/>
      <c r="U68" s="15"/>
      <c r="V68" s="14"/>
      <c r="W68" s="15"/>
      <c r="X68" s="14"/>
      <c r="Y68" s="14"/>
      <c r="Z68" s="14"/>
      <c r="AA68" s="14"/>
      <c r="AB68" s="17"/>
      <c r="AC68" s="17"/>
      <c r="AD68" s="18"/>
      <c r="AE68" s="17"/>
      <c r="AF68" s="19"/>
      <c r="AG68" s="17"/>
      <c r="AH68" s="20"/>
      <c r="AI68" s="17"/>
      <c r="AJ68" s="17"/>
      <c r="AK68" s="17"/>
      <c r="AL68" s="17"/>
      <c r="AM68" s="17"/>
      <c r="AN68" s="17"/>
      <c r="AO68" s="15"/>
      <c r="AP68" s="15"/>
      <c r="AQ68" s="15"/>
      <c r="AR68" s="15"/>
      <c r="AS68" s="15"/>
      <c r="AT68" s="10" t="str">
        <f aca="false">IF(A68="", "","'"&amp;A68&amp;"': {megami: '"&amp;B68&amp;"'"&amp;IF(C68&lt;&gt;"",", anotherID: '"&amp;C68&amp;"', replace: '"&amp;D68&amp;"'","")&amp;", name: '"&amp;SUBSTITUTE(E68,"'","\'")&amp;"', nameEn: '"&amp;SUBSTITUTE(K68,"'","\'")&amp;"', nameZh: '"&amp;SUBSTITUTE(G68,"'","\'")&amp;"', nameZhG1: '"&amp;SUBSTITUTE(H68,"'","\'")&amp;"', nameKo: '"&amp;SUBSTITUTE(J68,"'","\'")&amp;"', ruby: '"&amp;F68&amp;"', rubyEn: '"&amp;L68&amp;IF(I68&lt;&gt;"", "', rubyZh: '"&amp;I68, "")&amp;"', baseType: '"&amp;VLOOKUP(M68,マスタ!$A$1:$B$99,2,0)&amp;"'"&amp;IF(N68="○",", extra: true","")&amp;IF(O68&lt;&gt;"",", extraFrom: '"&amp;O68&amp;"'","")&amp;IF(P68&lt;&gt;"",", exchangableTo: '"&amp;P68&amp;"'","")&amp;IF(Q68="○",", poison: true","")&amp;IF(R68&lt;&gt;"", ", type: '"&amp;VLOOKUP(R68,マスタ!$D$1:$E$99,2,0)&amp;"'", "")&amp;IF(S68&lt;&gt;"",", subType: '"&amp;VLOOKUP(S68,マスタ!$D$1:$E$99,2,0)&amp;"'","")&amp;""&amp;IF(T68&lt;&gt;"",", range: '"&amp;T68&amp;"'","")&amp;IF(V68&lt;&gt;"",", damage: '"&amp;V68&amp;"'","")&amp;IF(X68&lt;&gt;"",", capacity: '"&amp;X68&amp;"'","")&amp;IF(Y68&lt;&gt;"",", growth: "&amp;Y68&amp;"","")&amp;IF(Z68&lt;&gt;"",", cost: '"&amp;Z68&amp;"'","")&amp;", text: '"&amp;SUBSTITUTE(SUBSTITUTE(AE68, CHAR(13), ""),CHAR(10),"\n")&amp;IF(AF68&lt;&gt;"", "', textAdditional: '"&amp;SUBSTITUTE(SUBSTITUTE(AF68, CHAR(13), ""),CHAR(10),"\n"), "")&amp;"', textZh: '"&amp;SUBSTITUTE(SUBSTITUTE(SUBSTITUTE(AG68, CHAR(13), ""),CHAR(10),"\n"),"'","\'")&amp;"', textZhG1: '"&amp;SUBSTITUTE(SUBSTITUTE(SUBSTITUTE(AI68, CHAR(13), ""),CHAR(10),"\n"),"'","\'")&amp;IF(AH68&lt;&gt;"", "', textZhAdditional: '"&amp;SUBSTITUTE(SUBSTITUTE(AH68, CHAR(13), ""),CHAR(10),"\n"), "")&amp;IF(AJ68&lt;&gt;"", "', textZhG1Additional: '"&amp;SUBSTITUTE(SUBSTITUTE(AJ68, CHAR(13), ""),CHAR(10),"\n"), "")&amp;"', textKo: '"&amp;SUBSTITUTE(SUBSTITUTE(SUBSTITUTE(AK68, CHAR(13), ""),CHAR(10),"\n"),"'","\'")&amp;IF(AL68&lt;&gt;"", "', textKoAdditional: '"&amp;SUBSTITUTE(SUBSTITUTE(AL68, CHAR(13), ""),CHAR(10),"\n"), "")&amp;"', textEn: '"&amp;SUBSTITUTE(SUBSTITUTE(SUBSTITUTE(AM68, CHAR(13), ""),CHAR(10),"\n"),"'","\'")&amp;IF(AN68&lt;&gt;"", "', textEnAdditional: '"&amp;SUBSTITUTE(SUBSTITUTE(AN68, CHAR(13), ""),CHAR(10),"\n"), "")&amp;"'"&amp;IF(AB68="○",", sealable: true","")&amp;IF(AC68="○",", removable: true","")&amp;IF(AA68="○",", lie: true","")&amp;IF(AD68="○",", investable: true","")&amp;"},")</f>
        <v/>
      </c>
      <c r="AU68" s="11" t="str">
        <f aca="false">IF($A68&lt;&gt;"", "    /** 《"&amp;$E68&amp;"》 */ export const "&amp;SUBSTITUTE(UPPER(IF(MID($A68, 3, 1)="-", RIGHT($A68,LEN($A68)-3), $A68)), "-", "_")&amp;": TCardId = '"&amp;$A68&amp;"';", "")</f>
        <v/>
      </c>
      <c r="AV68" s="12" t="str">
        <f aca="false">IF($A69&lt;&gt;"", "    | '"&amp;$A69&amp;"'", "")</f>
        <v/>
      </c>
    </row>
    <row r="69" customFormat="false" ht="13.8" hidden="false" customHeight="false" outlineLevel="0" collapsed="false">
      <c r="A69" s="2"/>
      <c r="B69" s="2"/>
      <c r="C69" s="2"/>
      <c r="D69" s="2"/>
      <c r="E69" s="2"/>
      <c r="F69" s="2"/>
      <c r="G69" s="2"/>
      <c r="H69" s="2"/>
      <c r="I69" s="2"/>
      <c r="J69" s="2"/>
      <c r="K69" s="2"/>
      <c r="L69" s="2"/>
      <c r="M69" s="2"/>
      <c r="N69" s="2"/>
      <c r="O69" s="2"/>
      <c r="P69" s="2"/>
      <c r="Q69" s="2"/>
      <c r="R69" s="2"/>
      <c r="S69" s="2"/>
      <c r="T69" s="2"/>
      <c r="U69" s="15"/>
      <c r="V69" s="14"/>
      <c r="W69" s="15"/>
      <c r="X69" s="14"/>
      <c r="Y69" s="14"/>
      <c r="Z69" s="14"/>
      <c r="AA69" s="14"/>
      <c r="AB69" s="17"/>
      <c r="AC69" s="17"/>
      <c r="AD69" s="18"/>
      <c r="AE69" s="17"/>
      <c r="AF69" s="19"/>
      <c r="AG69" s="17"/>
      <c r="AH69" s="20"/>
      <c r="AI69" s="17"/>
      <c r="AJ69" s="17"/>
      <c r="AK69" s="17"/>
      <c r="AL69" s="17"/>
      <c r="AM69" s="17"/>
      <c r="AN69" s="17"/>
      <c r="AO69" s="15"/>
      <c r="AP69" s="15"/>
      <c r="AQ69" s="15"/>
      <c r="AR69" s="15"/>
      <c r="AS69" s="15"/>
      <c r="AT69" s="10" t="str">
        <f aca="false">IF(A69="", "","'"&amp;A69&amp;"': {megami: '"&amp;B69&amp;"'"&amp;IF(C69&lt;&gt;"",", anotherID: '"&amp;C69&amp;"', replace: '"&amp;D69&amp;"'","")&amp;", name: '"&amp;SUBSTITUTE(E69,"'","\'")&amp;"', nameEn: '"&amp;SUBSTITUTE(K69,"'","\'")&amp;"', nameZh: '"&amp;SUBSTITUTE(G69,"'","\'")&amp;"', nameZhG1: '"&amp;SUBSTITUTE(H69,"'","\'")&amp;"', nameKo: '"&amp;SUBSTITUTE(J69,"'","\'")&amp;"', ruby: '"&amp;F69&amp;"', rubyEn: '"&amp;L69&amp;IF(I69&lt;&gt;"", "', rubyZh: '"&amp;I69, "")&amp;"', baseType: '"&amp;VLOOKUP(M69,マスタ!$A$1:$B$99,2,0)&amp;"'"&amp;IF(N69="○",", extra: true","")&amp;IF(O69&lt;&gt;"",", extraFrom: '"&amp;O69&amp;"'","")&amp;IF(P69&lt;&gt;"",", exchangableTo: '"&amp;P69&amp;"'","")&amp;IF(Q69="○",", poison: true","")&amp;IF(R69&lt;&gt;"", ", type: '"&amp;VLOOKUP(R69,マスタ!$D$1:$E$99,2,0)&amp;"'", "")&amp;IF(S69&lt;&gt;"",", subType: '"&amp;VLOOKUP(S69,マスタ!$D$1:$E$99,2,0)&amp;"'","")&amp;""&amp;IF(T69&lt;&gt;"",", range: '"&amp;T69&amp;"'","")&amp;IF(V69&lt;&gt;"",", damage: '"&amp;V69&amp;"'","")&amp;IF(X69&lt;&gt;"",", capacity: '"&amp;X69&amp;"'","")&amp;IF(Y69&lt;&gt;"",", growth: "&amp;Y69&amp;"","")&amp;IF(Z69&lt;&gt;"",", cost: '"&amp;Z69&amp;"'","")&amp;", text: '"&amp;SUBSTITUTE(SUBSTITUTE(AE69, CHAR(13), ""),CHAR(10),"\n")&amp;IF(AF69&lt;&gt;"", "', textAdditional: '"&amp;SUBSTITUTE(SUBSTITUTE(AF69, CHAR(13), ""),CHAR(10),"\n"), "")&amp;"', textZh: '"&amp;SUBSTITUTE(SUBSTITUTE(SUBSTITUTE(AG69, CHAR(13), ""),CHAR(10),"\n"),"'","\'")&amp;"', textZhG1: '"&amp;SUBSTITUTE(SUBSTITUTE(SUBSTITUTE(AI69, CHAR(13), ""),CHAR(10),"\n"),"'","\'")&amp;IF(AH69&lt;&gt;"", "', textZhAdditional: '"&amp;SUBSTITUTE(SUBSTITUTE(AH69, CHAR(13), ""),CHAR(10),"\n"), "")&amp;IF(AJ69&lt;&gt;"", "', textZhG1Additional: '"&amp;SUBSTITUTE(SUBSTITUTE(AJ69, CHAR(13), ""),CHAR(10),"\n"), "")&amp;"', textKo: '"&amp;SUBSTITUTE(SUBSTITUTE(SUBSTITUTE(AK69, CHAR(13), ""),CHAR(10),"\n"),"'","\'")&amp;IF(AL69&lt;&gt;"", "', textKoAdditional: '"&amp;SUBSTITUTE(SUBSTITUTE(AL69, CHAR(13), ""),CHAR(10),"\n"), "")&amp;"', textEn: '"&amp;SUBSTITUTE(SUBSTITUTE(SUBSTITUTE(AM69, CHAR(13), ""),CHAR(10),"\n"),"'","\'")&amp;IF(AN69&lt;&gt;"", "', textEnAdditional: '"&amp;SUBSTITUTE(SUBSTITUTE(AN69, CHAR(13), ""),CHAR(10),"\n"), "")&amp;"'"&amp;IF(AB69="○",", sealable: true","")&amp;IF(AC69="○",", removable: true","")&amp;IF(AA69="○",", lie: true","")&amp;IF(AD69="○",", investable: true","")&amp;"},")</f>
        <v/>
      </c>
      <c r="AU69" s="11" t="str">
        <f aca="false">IF($A69&lt;&gt;"", "    /** 《"&amp;$E69&amp;"》 */ export const "&amp;SUBSTITUTE(UPPER(IF(MID($A69, 3, 1)="-", RIGHT($A69,LEN($A69)-3), $A69)), "-", "_")&amp;": TCardId = '"&amp;$A69&amp;"';", "")</f>
        <v/>
      </c>
      <c r="AV69" s="12" t="str">
        <f aca="false">IF($A70&lt;&gt;"", "    | '"&amp;$A70&amp;"'", "")</f>
        <v/>
      </c>
    </row>
    <row r="70" customFormat="false" ht="13.8" hidden="false" customHeight="false" outlineLevel="0" collapsed="false">
      <c r="A70" s="2"/>
      <c r="B70" s="2"/>
      <c r="C70" s="2"/>
      <c r="D70" s="2"/>
      <c r="E70" s="2"/>
      <c r="F70" s="2"/>
      <c r="G70" s="2"/>
      <c r="H70" s="2"/>
      <c r="I70" s="2"/>
      <c r="J70" s="2"/>
      <c r="K70" s="2"/>
      <c r="L70" s="2"/>
      <c r="M70" s="2"/>
      <c r="N70" s="2"/>
      <c r="O70" s="2"/>
      <c r="P70" s="2"/>
      <c r="Q70" s="2"/>
      <c r="R70" s="2"/>
      <c r="S70" s="2"/>
      <c r="T70" s="2"/>
      <c r="U70" s="15"/>
      <c r="V70" s="14"/>
      <c r="W70" s="15"/>
      <c r="X70" s="14"/>
      <c r="Y70" s="14"/>
      <c r="Z70" s="14"/>
      <c r="AA70" s="14"/>
      <c r="AB70" s="17"/>
      <c r="AC70" s="17"/>
      <c r="AD70" s="18"/>
      <c r="AE70" s="17"/>
      <c r="AF70" s="19"/>
      <c r="AG70" s="17"/>
      <c r="AH70" s="20"/>
      <c r="AI70" s="17"/>
      <c r="AJ70" s="17"/>
      <c r="AK70" s="17"/>
      <c r="AL70" s="17"/>
      <c r="AM70" s="17"/>
      <c r="AN70" s="17"/>
      <c r="AO70" s="15"/>
      <c r="AP70" s="15"/>
      <c r="AQ70" s="15"/>
      <c r="AR70" s="15"/>
      <c r="AS70" s="15"/>
      <c r="AT70" s="10" t="str">
        <f aca="false">IF(A70="", "","'"&amp;A70&amp;"': {megami: '"&amp;B70&amp;"'"&amp;IF(C70&lt;&gt;"",", anotherID: '"&amp;C70&amp;"', replace: '"&amp;D70&amp;"'","")&amp;", name: '"&amp;SUBSTITUTE(E70,"'","\'")&amp;"', nameEn: '"&amp;SUBSTITUTE(K70,"'","\'")&amp;"', nameZh: '"&amp;SUBSTITUTE(G70,"'","\'")&amp;"', nameZhG1: '"&amp;SUBSTITUTE(H70,"'","\'")&amp;"', nameKo: '"&amp;SUBSTITUTE(J70,"'","\'")&amp;"', ruby: '"&amp;F70&amp;"', rubyEn: '"&amp;L70&amp;IF(I70&lt;&gt;"", "', rubyZh: '"&amp;I70, "")&amp;"', baseType: '"&amp;VLOOKUP(M70,マスタ!$A$1:$B$99,2,0)&amp;"'"&amp;IF(N70="○",", extra: true","")&amp;IF(O70&lt;&gt;"",", extraFrom: '"&amp;O70&amp;"'","")&amp;IF(P70&lt;&gt;"",", exchangableTo: '"&amp;P70&amp;"'","")&amp;IF(Q70="○",", poison: true","")&amp;IF(R70&lt;&gt;"", ", type: '"&amp;VLOOKUP(R70,マスタ!$D$1:$E$99,2,0)&amp;"'", "")&amp;IF(S70&lt;&gt;"",", subType: '"&amp;VLOOKUP(S70,マスタ!$D$1:$E$99,2,0)&amp;"'","")&amp;""&amp;IF(T70&lt;&gt;"",", range: '"&amp;T70&amp;"'","")&amp;IF(V70&lt;&gt;"",", damage: '"&amp;V70&amp;"'","")&amp;IF(X70&lt;&gt;"",", capacity: '"&amp;X70&amp;"'","")&amp;IF(Y70&lt;&gt;"",", growth: "&amp;Y70&amp;"","")&amp;IF(Z70&lt;&gt;"",", cost: '"&amp;Z70&amp;"'","")&amp;", text: '"&amp;SUBSTITUTE(SUBSTITUTE(AE70, CHAR(13), ""),CHAR(10),"\n")&amp;IF(AF70&lt;&gt;"", "', textAdditional: '"&amp;SUBSTITUTE(SUBSTITUTE(AF70, CHAR(13), ""),CHAR(10),"\n"), "")&amp;"', textZh: '"&amp;SUBSTITUTE(SUBSTITUTE(SUBSTITUTE(AG70, CHAR(13), ""),CHAR(10),"\n"),"'","\'")&amp;"', textZhG1: '"&amp;SUBSTITUTE(SUBSTITUTE(SUBSTITUTE(AI70, CHAR(13), ""),CHAR(10),"\n"),"'","\'")&amp;IF(AH70&lt;&gt;"", "', textZhAdditional: '"&amp;SUBSTITUTE(SUBSTITUTE(AH70, CHAR(13), ""),CHAR(10),"\n"), "")&amp;IF(AJ70&lt;&gt;"", "', textZhG1Additional: '"&amp;SUBSTITUTE(SUBSTITUTE(AJ70, CHAR(13), ""),CHAR(10),"\n"), "")&amp;"', textKo: '"&amp;SUBSTITUTE(SUBSTITUTE(SUBSTITUTE(AK70, CHAR(13), ""),CHAR(10),"\n"),"'","\'")&amp;IF(AL70&lt;&gt;"", "', textKoAdditional: '"&amp;SUBSTITUTE(SUBSTITUTE(AL70, CHAR(13), ""),CHAR(10),"\n"), "")&amp;"', textEn: '"&amp;SUBSTITUTE(SUBSTITUTE(SUBSTITUTE(AM70, CHAR(13), ""),CHAR(10),"\n"),"'","\'")&amp;IF(AN70&lt;&gt;"", "', textEnAdditional: '"&amp;SUBSTITUTE(SUBSTITUTE(AN70, CHAR(13), ""),CHAR(10),"\n"), "")&amp;"'"&amp;IF(AB70="○",", sealable: true","")&amp;IF(AC70="○",", removable: true","")&amp;IF(AA70="○",", lie: true","")&amp;IF(AD70="○",", investable: true","")&amp;"},")</f>
        <v/>
      </c>
      <c r="AU70" s="11" t="str">
        <f aca="false">IF($A70&lt;&gt;"", "    /** 《"&amp;$E70&amp;"》 */ export const "&amp;SUBSTITUTE(UPPER(IF(MID($A70, 3, 1)="-", RIGHT($A70,LEN($A70)-3), $A70)), "-", "_")&amp;": TCardId = '"&amp;$A70&amp;"';", "")</f>
        <v/>
      </c>
      <c r="AV70" s="12" t="str">
        <f aca="false">IF($A71&lt;&gt;"", "    | '"&amp;$A71&amp;"'", "")</f>
        <v/>
      </c>
    </row>
    <row r="71" customFormat="false" ht="13.8" hidden="false" customHeight="false" outlineLevel="0" collapsed="false">
      <c r="A71" s="2"/>
      <c r="B71" s="2"/>
      <c r="C71" s="2"/>
      <c r="D71" s="2"/>
      <c r="E71" s="2"/>
      <c r="F71" s="2"/>
      <c r="G71" s="2"/>
      <c r="H71" s="2"/>
      <c r="I71" s="2"/>
      <c r="J71" s="2"/>
      <c r="K71" s="2"/>
      <c r="L71" s="2"/>
      <c r="M71" s="2"/>
      <c r="N71" s="2"/>
      <c r="O71" s="2"/>
      <c r="P71" s="2"/>
      <c r="Q71" s="2"/>
      <c r="R71" s="2"/>
      <c r="S71" s="2"/>
      <c r="T71" s="2"/>
      <c r="U71" s="15"/>
      <c r="V71" s="14"/>
      <c r="W71" s="15"/>
      <c r="X71" s="14"/>
      <c r="Y71" s="14"/>
      <c r="Z71" s="14"/>
      <c r="AA71" s="14"/>
      <c r="AB71" s="17"/>
      <c r="AC71" s="17"/>
      <c r="AD71" s="18"/>
      <c r="AE71" s="17"/>
      <c r="AF71" s="19"/>
      <c r="AG71" s="17"/>
      <c r="AH71" s="20"/>
      <c r="AI71" s="17"/>
      <c r="AJ71" s="17"/>
      <c r="AK71" s="17"/>
      <c r="AL71" s="17"/>
      <c r="AM71" s="17"/>
      <c r="AN71" s="17"/>
      <c r="AO71" s="15"/>
      <c r="AP71" s="15"/>
      <c r="AQ71" s="15"/>
      <c r="AR71" s="15"/>
      <c r="AS71" s="15"/>
      <c r="AT71" s="10" t="str">
        <f aca="false">IF(A71="", "","'"&amp;A71&amp;"': {megami: '"&amp;B71&amp;"'"&amp;IF(C71&lt;&gt;"",", anotherID: '"&amp;C71&amp;"', replace: '"&amp;D71&amp;"'","")&amp;", name: '"&amp;SUBSTITUTE(E71,"'","\'")&amp;"', nameEn: '"&amp;SUBSTITUTE(K71,"'","\'")&amp;"', nameZh: '"&amp;SUBSTITUTE(G71,"'","\'")&amp;"', nameZhG1: '"&amp;SUBSTITUTE(H71,"'","\'")&amp;"', nameKo: '"&amp;SUBSTITUTE(J71,"'","\'")&amp;"', ruby: '"&amp;F71&amp;"', rubyEn: '"&amp;L71&amp;IF(I71&lt;&gt;"", "', rubyZh: '"&amp;I71, "")&amp;"', baseType: '"&amp;VLOOKUP(M71,マスタ!$A$1:$B$99,2,0)&amp;"'"&amp;IF(N71="○",", extra: true","")&amp;IF(O71&lt;&gt;"",", extraFrom: '"&amp;O71&amp;"'","")&amp;IF(P71&lt;&gt;"",", exchangableTo: '"&amp;P71&amp;"'","")&amp;IF(Q71="○",", poison: true","")&amp;IF(R71&lt;&gt;"", ", type: '"&amp;VLOOKUP(R71,マスタ!$D$1:$E$99,2,0)&amp;"'", "")&amp;IF(S71&lt;&gt;"",", subType: '"&amp;VLOOKUP(S71,マスタ!$D$1:$E$99,2,0)&amp;"'","")&amp;""&amp;IF(T71&lt;&gt;"",", range: '"&amp;T71&amp;"'","")&amp;IF(V71&lt;&gt;"",", damage: '"&amp;V71&amp;"'","")&amp;IF(X71&lt;&gt;"",", capacity: '"&amp;X71&amp;"'","")&amp;IF(Y71&lt;&gt;"",", growth: "&amp;Y71&amp;"","")&amp;IF(Z71&lt;&gt;"",", cost: '"&amp;Z71&amp;"'","")&amp;", text: '"&amp;SUBSTITUTE(SUBSTITUTE(AE71, CHAR(13), ""),CHAR(10),"\n")&amp;IF(AF71&lt;&gt;"", "', textAdditional: '"&amp;SUBSTITUTE(SUBSTITUTE(AF71, CHAR(13), ""),CHAR(10),"\n"), "")&amp;"', textZh: '"&amp;SUBSTITUTE(SUBSTITUTE(SUBSTITUTE(AG71, CHAR(13), ""),CHAR(10),"\n"),"'","\'")&amp;"', textZhG1: '"&amp;SUBSTITUTE(SUBSTITUTE(SUBSTITUTE(AI71, CHAR(13), ""),CHAR(10),"\n"),"'","\'")&amp;IF(AH71&lt;&gt;"", "', textZhAdditional: '"&amp;SUBSTITUTE(SUBSTITUTE(AH71, CHAR(13), ""),CHAR(10),"\n"), "")&amp;IF(AJ71&lt;&gt;"", "', textZhG1Additional: '"&amp;SUBSTITUTE(SUBSTITUTE(AJ71, CHAR(13), ""),CHAR(10),"\n"), "")&amp;"', textKo: '"&amp;SUBSTITUTE(SUBSTITUTE(SUBSTITUTE(AK71, CHAR(13), ""),CHAR(10),"\n"),"'","\'")&amp;IF(AL71&lt;&gt;"", "', textKoAdditional: '"&amp;SUBSTITUTE(SUBSTITUTE(AL71, CHAR(13), ""),CHAR(10),"\n"), "")&amp;"', textEn: '"&amp;SUBSTITUTE(SUBSTITUTE(SUBSTITUTE(AM71, CHAR(13), ""),CHAR(10),"\n"),"'","\'")&amp;IF(AN71&lt;&gt;"", "', textEnAdditional: '"&amp;SUBSTITUTE(SUBSTITUTE(AN71, CHAR(13), ""),CHAR(10),"\n"), "")&amp;"'"&amp;IF(AB71="○",", sealable: true","")&amp;IF(AC71="○",", removable: true","")&amp;IF(AA71="○",", lie: true","")&amp;IF(AD71="○",", investable: true","")&amp;"},")</f>
        <v/>
      </c>
      <c r="AU71" s="11" t="str">
        <f aca="false">IF($A71&lt;&gt;"", "    /** 《"&amp;$E71&amp;"》 */ export const "&amp;SUBSTITUTE(UPPER(IF(MID($A71, 3, 1)="-", RIGHT($A71,LEN($A71)-3), $A71)), "-", "_")&amp;": TCardId = '"&amp;$A71&amp;"';", "")</f>
        <v/>
      </c>
      <c r="AV71" s="12" t="str">
        <f aca="false">IF($A72&lt;&gt;"", "    | '"&amp;$A72&amp;"'", "")</f>
        <v/>
      </c>
    </row>
    <row r="72" customFormat="false" ht="13.8" hidden="false" customHeight="false" outlineLevel="0" collapsed="false">
      <c r="A72" s="2"/>
      <c r="B72" s="2"/>
      <c r="C72" s="2"/>
      <c r="D72" s="2"/>
      <c r="E72" s="2"/>
      <c r="F72" s="2"/>
      <c r="G72" s="2"/>
      <c r="H72" s="2"/>
      <c r="I72" s="2"/>
      <c r="J72" s="2"/>
      <c r="K72" s="2"/>
      <c r="L72" s="2"/>
      <c r="M72" s="2"/>
      <c r="N72" s="2"/>
      <c r="O72" s="2"/>
      <c r="P72" s="2"/>
      <c r="Q72" s="2"/>
      <c r="R72" s="2"/>
      <c r="S72" s="2"/>
      <c r="T72" s="2"/>
      <c r="U72" s="15"/>
      <c r="V72" s="14"/>
      <c r="W72" s="15"/>
      <c r="X72" s="14"/>
      <c r="Y72" s="14"/>
      <c r="Z72" s="14"/>
      <c r="AA72" s="14"/>
      <c r="AB72" s="17"/>
      <c r="AC72" s="17"/>
      <c r="AD72" s="18"/>
      <c r="AE72" s="17"/>
      <c r="AF72" s="19"/>
      <c r="AG72" s="17"/>
      <c r="AH72" s="20"/>
      <c r="AI72" s="17"/>
      <c r="AJ72" s="17"/>
      <c r="AK72" s="17"/>
      <c r="AL72" s="17"/>
      <c r="AM72" s="17"/>
      <c r="AN72" s="17"/>
      <c r="AO72" s="15"/>
      <c r="AP72" s="15"/>
      <c r="AQ72" s="15"/>
      <c r="AR72" s="15"/>
      <c r="AS72" s="15"/>
      <c r="AT72" s="10" t="str">
        <f aca="false">IF(A72="", "","'"&amp;A72&amp;"': {megami: '"&amp;B72&amp;"'"&amp;IF(C72&lt;&gt;"",", anotherID: '"&amp;C72&amp;"', replace: '"&amp;D72&amp;"'","")&amp;", name: '"&amp;SUBSTITUTE(E72,"'","\'")&amp;"', nameEn: '"&amp;SUBSTITUTE(K72,"'","\'")&amp;"', nameZh: '"&amp;SUBSTITUTE(G72,"'","\'")&amp;"', nameZhG1: '"&amp;SUBSTITUTE(H72,"'","\'")&amp;"', nameKo: '"&amp;SUBSTITUTE(J72,"'","\'")&amp;"', ruby: '"&amp;F72&amp;"', rubyEn: '"&amp;L72&amp;IF(I72&lt;&gt;"", "', rubyZh: '"&amp;I72, "")&amp;"', baseType: '"&amp;VLOOKUP(M72,マスタ!$A$1:$B$99,2,0)&amp;"'"&amp;IF(N72="○",", extra: true","")&amp;IF(O72&lt;&gt;"",", extraFrom: '"&amp;O72&amp;"'","")&amp;IF(P72&lt;&gt;"",", exchangableTo: '"&amp;P72&amp;"'","")&amp;IF(Q72="○",", poison: true","")&amp;IF(R72&lt;&gt;"", ", type: '"&amp;VLOOKUP(R72,マスタ!$D$1:$E$99,2,0)&amp;"'", "")&amp;IF(S72&lt;&gt;"",", subType: '"&amp;VLOOKUP(S72,マスタ!$D$1:$E$99,2,0)&amp;"'","")&amp;""&amp;IF(T72&lt;&gt;"",", range: '"&amp;T72&amp;"'","")&amp;IF(V72&lt;&gt;"",", damage: '"&amp;V72&amp;"'","")&amp;IF(X72&lt;&gt;"",", capacity: '"&amp;X72&amp;"'","")&amp;IF(Y72&lt;&gt;"",", growth: "&amp;Y72&amp;"","")&amp;IF(Z72&lt;&gt;"",", cost: '"&amp;Z72&amp;"'","")&amp;", text: '"&amp;SUBSTITUTE(SUBSTITUTE(AE72, CHAR(13), ""),CHAR(10),"\n")&amp;IF(AF72&lt;&gt;"", "', textAdditional: '"&amp;SUBSTITUTE(SUBSTITUTE(AF72, CHAR(13), ""),CHAR(10),"\n"), "")&amp;"', textZh: '"&amp;SUBSTITUTE(SUBSTITUTE(SUBSTITUTE(AG72, CHAR(13), ""),CHAR(10),"\n"),"'","\'")&amp;"', textZhG1: '"&amp;SUBSTITUTE(SUBSTITUTE(SUBSTITUTE(AI72, CHAR(13), ""),CHAR(10),"\n"),"'","\'")&amp;IF(AH72&lt;&gt;"", "', textZhAdditional: '"&amp;SUBSTITUTE(SUBSTITUTE(AH72, CHAR(13), ""),CHAR(10),"\n"), "")&amp;IF(AJ72&lt;&gt;"", "', textZhG1Additional: '"&amp;SUBSTITUTE(SUBSTITUTE(AJ72, CHAR(13), ""),CHAR(10),"\n"), "")&amp;"', textKo: '"&amp;SUBSTITUTE(SUBSTITUTE(SUBSTITUTE(AK72, CHAR(13), ""),CHAR(10),"\n"),"'","\'")&amp;IF(AL72&lt;&gt;"", "', textKoAdditional: '"&amp;SUBSTITUTE(SUBSTITUTE(AL72, CHAR(13), ""),CHAR(10),"\n"), "")&amp;"', textEn: '"&amp;SUBSTITUTE(SUBSTITUTE(SUBSTITUTE(AM72, CHAR(13), ""),CHAR(10),"\n"),"'","\'")&amp;IF(AN72&lt;&gt;"", "', textEnAdditional: '"&amp;SUBSTITUTE(SUBSTITUTE(AN72, CHAR(13), ""),CHAR(10),"\n"), "")&amp;"'"&amp;IF(AB72="○",", sealable: true","")&amp;IF(AC72="○",", removable: true","")&amp;IF(AA72="○",", lie: true","")&amp;IF(AD72="○",", investable: true","")&amp;"},")</f>
        <v/>
      </c>
      <c r="AU72" s="11" t="str">
        <f aca="false">IF($A72&lt;&gt;"", "    /** 《"&amp;$E72&amp;"》 */ export const "&amp;SUBSTITUTE(UPPER(IF(MID($A72, 3, 1)="-", RIGHT($A72,LEN($A72)-3), $A72)), "-", "_")&amp;": TCardId = '"&amp;$A72&amp;"';", "")</f>
        <v/>
      </c>
      <c r="AV72" s="12" t="str">
        <f aca="false">IF($A73&lt;&gt;"", "    | '"&amp;$A73&amp;"'", "")</f>
        <v/>
      </c>
    </row>
    <row r="73" customFormat="false" ht="13.8" hidden="false" customHeight="false" outlineLevel="0" collapsed="false">
      <c r="A73" s="2"/>
      <c r="B73" s="2"/>
      <c r="C73" s="2"/>
      <c r="D73" s="2"/>
      <c r="E73" s="2"/>
      <c r="F73" s="2"/>
      <c r="G73" s="2"/>
      <c r="H73" s="2"/>
      <c r="I73" s="2"/>
      <c r="J73" s="2"/>
      <c r="K73" s="2"/>
      <c r="L73" s="2"/>
      <c r="M73" s="2"/>
      <c r="N73" s="2"/>
      <c r="O73" s="2"/>
      <c r="P73" s="2"/>
      <c r="Q73" s="2"/>
      <c r="R73" s="2"/>
      <c r="S73" s="2"/>
      <c r="T73" s="2"/>
      <c r="U73" s="15"/>
      <c r="V73" s="14"/>
      <c r="W73" s="15"/>
      <c r="X73" s="14"/>
      <c r="Y73" s="14"/>
      <c r="Z73" s="14"/>
      <c r="AA73" s="14"/>
      <c r="AB73" s="17"/>
      <c r="AC73" s="17"/>
      <c r="AD73" s="18"/>
      <c r="AE73" s="17"/>
      <c r="AF73" s="19"/>
      <c r="AG73" s="17"/>
      <c r="AH73" s="20"/>
      <c r="AI73" s="17"/>
      <c r="AJ73" s="17"/>
      <c r="AK73" s="17"/>
      <c r="AL73" s="17"/>
      <c r="AM73" s="17"/>
      <c r="AN73" s="17"/>
      <c r="AO73" s="15"/>
      <c r="AP73" s="15"/>
      <c r="AQ73" s="15"/>
      <c r="AR73" s="15"/>
      <c r="AS73" s="15"/>
      <c r="AT73" s="10" t="str">
        <f aca="false">IF(A73="", "","'"&amp;A73&amp;"': {megami: '"&amp;B73&amp;"'"&amp;IF(C73&lt;&gt;"",", anotherID: '"&amp;C73&amp;"', replace: '"&amp;D73&amp;"'","")&amp;", name: '"&amp;SUBSTITUTE(E73,"'","\'")&amp;"', nameEn: '"&amp;SUBSTITUTE(K73,"'","\'")&amp;"', nameZh: '"&amp;SUBSTITUTE(G73,"'","\'")&amp;"', nameZhG1: '"&amp;SUBSTITUTE(H73,"'","\'")&amp;"', nameKo: '"&amp;SUBSTITUTE(J73,"'","\'")&amp;"', ruby: '"&amp;F73&amp;"', rubyEn: '"&amp;L73&amp;IF(I73&lt;&gt;"", "', rubyZh: '"&amp;I73, "")&amp;"', baseType: '"&amp;VLOOKUP(M73,マスタ!$A$1:$B$99,2,0)&amp;"'"&amp;IF(N73="○",", extra: true","")&amp;IF(O73&lt;&gt;"",", extraFrom: '"&amp;O73&amp;"'","")&amp;IF(P73&lt;&gt;"",", exchangableTo: '"&amp;P73&amp;"'","")&amp;IF(Q73="○",", poison: true","")&amp;IF(R73&lt;&gt;"", ", type: '"&amp;VLOOKUP(R73,マスタ!$D$1:$E$99,2,0)&amp;"'", "")&amp;IF(S73&lt;&gt;"",", subType: '"&amp;VLOOKUP(S73,マスタ!$D$1:$E$99,2,0)&amp;"'","")&amp;""&amp;IF(T73&lt;&gt;"",", range: '"&amp;T73&amp;"'","")&amp;IF(V73&lt;&gt;"",", damage: '"&amp;V73&amp;"'","")&amp;IF(X73&lt;&gt;"",", capacity: '"&amp;X73&amp;"'","")&amp;IF(Y73&lt;&gt;"",", growth: "&amp;Y73&amp;"","")&amp;IF(Z73&lt;&gt;"",", cost: '"&amp;Z73&amp;"'","")&amp;", text: '"&amp;SUBSTITUTE(SUBSTITUTE(AE73, CHAR(13), ""),CHAR(10),"\n")&amp;IF(AF73&lt;&gt;"", "', textAdditional: '"&amp;SUBSTITUTE(SUBSTITUTE(AF73, CHAR(13), ""),CHAR(10),"\n"), "")&amp;"', textZh: '"&amp;SUBSTITUTE(SUBSTITUTE(SUBSTITUTE(AG73, CHAR(13), ""),CHAR(10),"\n"),"'","\'")&amp;"', textZhG1: '"&amp;SUBSTITUTE(SUBSTITUTE(SUBSTITUTE(AI73, CHAR(13), ""),CHAR(10),"\n"),"'","\'")&amp;IF(AH73&lt;&gt;"", "', textZhAdditional: '"&amp;SUBSTITUTE(SUBSTITUTE(AH73, CHAR(13), ""),CHAR(10),"\n"), "")&amp;IF(AJ73&lt;&gt;"", "', textZhG1Additional: '"&amp;SUBSTITUTE(SUBSTITUTE(AJ73, CHAR(13), ""),CHAR(10),"\n"), "")&amp;"', textKo: '"&amp;SUBSTITUTE(SUBSTITUTE(SUBSTITUTE(AK73, CHAR(13), ""),CHAR(10),"\n"),"'","\'")&amp;IF(AL73&lt;&gt;"", "', textKoAdditional: '"&amp;SUBSTITUTE(SUBSTITUTE(AL73, CHAR(13), ""),CHAR(10),"\n"), "")&amp;"', textEn: '"&amp;SUBSTITUTE(SUBSTITUTE(SUBSTITUTE(AM73, CHAR(13), ""),CHAR(10),"\n"),"'","\'")&amp;IF(AN73&lt;&gt;"", "', textEnAdditional: '"&amp;SUBSTITUTE(SUBSTITUTE(AN73, CHAR(13), ""),CHAR(10),"\n"), "")&amp;"'"&amp;IF(AB73="○",", sealable: true","")&amp;IF(AC73="○",", removable: true","")&amp;IF(AA73="○",", lie: true","")&amp;IF(AD73="○",", investable: true","")&amp;"},")</f>
        <v/>
      </c>
      <c r="AU73" s="11" t="str">
        <f aca="false">IF($A73&lt;&gt;"", "    /** 《"&amp;$E73&amp;"》 */ export const "&amp;SUBSTITUTE(UPPER(IF(MID($A73, 3, 1)="-", RIGHT($A73,LEN($A73)-3), $A73)), "-", "_")&amp;": TCardId = '"&amp;$A73&amp;"';", "")</f>
        <v/>
      </c>
      <c r="AV73" s="12" t="str">
        <f aca="false">IF($A74&lt;&gt;"", "    | '"&amp;$A74&amp;"'", "")</f>
        <v/>
      </c>
    </row>
    <row r="74" customFormat="false" ht="13.8" hidden="false" customHeight="false" outlineLevel="0" collapsed="false">
      <c r="A74" s="2"/>
      <c r="B74" s="2"/>
      <c r="C74" s="2"/>
      <c r="D74" s="2"/>
      <c r="E74" s="2"/>
      <c r="F74" s="2"/>
      <c r="G74" s="2"/>
      <c r="H74" s="2"/>
      <c r="I74" s="2"/>
      <c r="J74" s="2"/>
      <c r="K74" s="2"/>
      <c r="L74" s="2"/>
      <c r="M74" s="2"/>
      <c r="N74" s="2"/>
      <c r="O74" s="2"/>
      <c r="P74" s="2"/>
      <c r="Q74" s="2"/>
      <c r="R74" s="2"/>
      <c r="S74" s="2"/>
      <c r="T74" s="2"/>
      <c r="U74" s="15"/>
      <c r="V74" s="14"/>
      <c r="W74" s="15"/>
      <c r="X74" s="14"/>
      <c r="Y74" s="14"/>
      <c r="Z74" s="14"/>
      <c r="AA74" s="14"/>
      <c r="AB74" s="17"/>
      <c r="AC74" s="17"/>
      <c r="AD74" s="18"/>
      <c r="AE74" s="17"/>
      <c r="AF74" s="19"/>
      <c r="AG74" s="17"/>
      <c r="AH74" s="20"/>
      <c r="AI74" s="17"/>
      <c r="AJ74" s="17"/>
      <c r="AK74" s="17"/>
      <c r="AL74" s="17"/>
      <c r="AM74" s="17"/>
      <c r="AN74" s="17"/>
      <c r="AO74" s="15"/>
      <c r="AP74" s="15"/>
      <c r="AQ74" s="15"/>
      <c r="AR74" s="15"/>
      <c r="AS74" s="15"/>
      <c r="AT74" s="10" t="str">
        <f aca="false">IF(A74="", "","'"&amp;A74&amp;"': {megami: '"&amp;B74&amp;"'"&amp;IF(C74&lt;&gt;"",", anotherID: '"&amp;C74&amp;"', replace: '"&amp;D74&amp;"'","")&amp;", name: '"&amp;SUBSTITUTE(E74,"'","\'")&amp;"', nameEn: '"&amp;SUBSTITUTE(K74,"'","\'")&amp;"', nameZh: '"&amp;SUBSTITUTE(G74,"'","\'")&amp;"', nameZhG1: '"&amp;SUBSTITUTE(H74,"'","\'")&amp;"', nameKo: '"&amp;SUBSTITUTE(J74,"'","\'")&amp;"', ruby: '"&amp;F74&amp;"', rubyEn: '"&amp;L74&amp;IF(I74&lt;&gt;"", "', rubyZh: '"&amp;I74, "")&amp;"', baseType: '"&amp;VLOOKUP(M74,マスタ!$A$1:$B$99,2,0)&amp;"'"&amp;IF(N74="○",", extra: true","")&amp;IF(O74&lt;&gt;"",", extraFrom: '"&amp;O74&amp;"'","")&amp;IF(P74&lt;&gt;"",", exchangableTo: '"&amp;P74&amp;"'","")&amp;IF(Q74="○",", poison: true","")&amp;IF(R74&lt;&gt;"", ", type: '"&amp;VLOOKUP(R74,マスタ!$D$1:$E$99,2,0)&amp;"'", "")&amp;IF(S74&lt;&gt;"",", subType: '"&amp;VLOOKUP(S74,マスタ!$D$1:$E$99,2,0)&amp;"'","")&amp;""&amp;IF(T74&lt;&gt;"",", range: '"&amp;T74&amp;"'","")&amp;IF(V74&lt;&gt;"",", damage: '"&amp;V74&amp;"'","")&amp;IF(X74&lt;&gt;"",", capacity: '"&amp;X74&amp;"'","")&amp;IF(Y74&lt;&gt;"",", growth: "&amp;Y74&amp;"","")&amp;IF(Z74&lt;&gt;"",", cost: '"&amp;Z74&amp;"'","")&amp;", text: '"&amp;SUBSTITUTE(SUBSTITUTE(AE74, CHAR(13), ""),CHAR(10),"\n")&amp;IF(AF74&lt;&gt;"", "', textAdditional: '"&amp;SUBSTITUTE(SUBSTITUTE(AF74, CHAR(13), ""),CHAR(10),"\n"), "")&amp;"', textZh: '"&amp;SUBSTITUTE(SUBSTITUTE(SUBSTITUTE(AG74, CHAR(13), ""),CHAR(10),"\n"),"'","\'")&amp;"', textZhG1: '"&amp;SUBSTITUTE(SUBSTITUTE(SUBSTITUTE(AI74, CHAR(13), ""),CHAR(10),"\n"),"'","\'")&amp;IF(AH74&lt;&gt;"", "', textZhAdditional: '"&amp;SUBSTITUTE(SUBSTITUTE(AH74, CHAR(13), ""),CHAR(10),"\n"), "")&amp;IF(AJ74&lt;&gt;"", "', textZhG1Additional: '"&amp;SUBSTITUTE(SUBSTITUTE(AJ74, CHAR(13), ""),CHAR(10),"\n"), "")&amp;"', textKo: '"&amp;SUBSTITUTE(SUBSTITUTE(SUBSTITUTE(AK74, CHAR(13), ""),CHAR(10),"\n"),"'","\'")&amp;IF(AL74&lt;&gt;"", "', textKoAdditional: '"&amp;SUBSTITUTE(SUBSTITUTE(AL74, CHAR(13), ""),CHAR(10),"\n"), "")&amp;"', textEn: '"&amp;SUBSTITUTE(SUBSTITUTE(SUBSTITUTE(AM74, CHAR(13), ""),CHAR(10),"\n"),"'","\'")&amp;IF(AN74&lt;&gt;"", "', textEnAdditional: '"&amp;SUBSTITUTE(SUBSTITUTE(AN74, CHAR(13), ""),CHAR(10),"\n"), "")&amp;"'"&amp;IF(AB74="○",", sealable: true","")&amp;IF(AC74="○",", removable: true","")&amp;IF(AA74="○",", lie: true","")&amp;IF(AD74="○",", investable: true","")&amp;"},")</f>
        <v/>
      </c>
      <c r="AU74" s="11" t="str">
        <f aca="false">IF($A74&lt;&gt;"", "    /** 《"&amp;$E74&amp;"》 */ export const "&amp;SUBSTITUTE(UPPER(IF(MID($A74, 3, 1)="-", RIGHT($A74,LEN($A74)-3), $A74)), "-", "_")&amp;": TCardId = '"&amp;$A74&amp;"';", "")</f>
        <v/>
      </c>
      <c r="AV74" s="12" t="str">
        <f aca="false">IF($A75&lt;&gt;"", "    | '"&amp;$A75&amp;"'", "")</f>
        <v/>
      </c>
    </row>
    <row r="75" customFormat="false" ht="13.8" hidden="false" customHeight="false" outlineLevel="0" collapsed="false">
      <c r="A75" s="2"/>
      <c r="B75" s="2"/>
      <c r="C75" s="2"/>
      <c r="D75" s="2"/>
      <c r="E75" s="2"/>
      <c r="F75" s="2"/>
      <c r="G75" s="2"/>
      <c r="H75" s="2"/>
      <c r="I75" s="2"/>
      <c r="J75" s="2"/>
      <c r="K75" s="2"/>
      <c r="L75" s="2"/>
      <c r="M75" s="2"/>
      <c r="N75" s="2"/>
      <c r="O75" s="2"/>
      <c r="P75" s="2"/>
      <c r="Q75" s="2"/>
      <c r="R75" s="2"/>
      <c r="S75" s="2"/>
      <c r="T75" s="2"/>
      <c r="U75" s="15"/>
      <c r="V75" s="14"/>
      <c r="W75" s="15"/>
      <c r="X75" s="14"/>
      <c r="Y75" s="14"/>
      <c r="Z75" s="14"/>
      <c r="AA75" s="14"/>
      <c r="AB75" s="17"/>
      <c r="AC75" s="17"/>
      <c r="AD75" s="18"/>
      <c r="AE75" s="17"/>
      <c r="AF75" s="19"/>
      <c r="AG75" s="17"/>
      <c r="AH75" s="20"/>
      <c r="AI75" s="17"/>
      <c r="AJ75" s="17"/>
      <c r="AK75" s="17"/>
      <c r="AL75" s="17"/>
      <c r="AM75" s="17"/>
      <c r="AN75" s="17"/>
      <c r="AO75" s="15"/>
      <c r="AP75" s="15"/>
      <c r="AQ75" s="15"/>
      <c r="AR75" s="15"/>
      <c r="AS75" s="15"/>
      <c r="AT75" s="10" t="str">
        <f aca="false">IF(A75="", "","'"&amp;A75&amp;"': {megami: '"&amp;B75&amp;"'"&amp;IF(C75&lt;&gt;"",", anotherID: '"&amp;C75&amp;"', replace: '"&amp;D75&amp;"'","")&amp;", name: '"&amp;SUBSTITUTE(E75,"'","\'")&amp;"', nameEn: '"&amp;SUBSTITUTE(K75,"'","\'")&amp;"', nameZh: '"&amp;SUBSTITUTE(G75,"'","\'")&amp;"', nameZhG1: '"&amp;SUBSTITUTE(H75,"'","\'")&amp;"', nameKo: '"&amp;SUBSTITUTE(J75,"'","\'")&amp;"', ruby: '"&amp;F75&amp;"', rubyEn: '"&amp;L75&amp;IF(I75&lt;&gt;"", "', rubyZh: '"&amp;I75, "")&amp;"', baseType: '"&amp;VLOOKUP(M75,マスタ!$A$1:$B$99,2,0)&amp;"'"&amp;IF(N75="○",", extra: true","")&amp;IF(O75&lt;&gt;"",", extraFrom: '"&amp;O75&amp;"'","")&amp;IF(P75&lt;&gt;"",", exchangableTo: '"&amp;P75&amp;"'","")&amp;IF(Q75="○",", poison: true","")&amp;IF(R75&lt;&gt;"", ", type: '"&amp;VLOOKUP(R75,マスタ!$D$1:$E$99,2,0)&amp;"'", "")&amp;IF(S75&lt;&gt;"",", subType: '"&amp;VLOOKUP(S75,マスタ!$D$1:$E$99,2,0)&amp;"'","")&amp;""&amp;IF(T75&lt;&gt;"",", range: '"&amp;T75&amp;"'","")&amp;IF(V75&lt;&gt;"",", damage: '"&amp;V75&amp;"'","")&amp;IF(X75&lt;&gt;"",", capacity: '"&amp;X75&amp;"'","")&amp;IF(Y75&lt;&gt;"",", growth: "&amp;Y75&amp;"","")&amp;IF(Z75&lt;&gt;"",", cost: '"&amp;Z75&amp;"'","")&amp;", text: '"&amp;SUBSTITUTE(SUBSTITUTE(AE75, CHAR(13), ""),CHAR(10),"\n")&amp;IF(AF75&lt;&gt;"", "', textAdditional: '"&amp;SUBSTITUTE(SUBSTITUTE(AF75, CHAR(13), ""),CHAR(10),"\n"), "")&amp;"', textZh: '"&amp;SUBSTITUTE(SUBSTITUTE(SUBSTITUTE(AG75, CHAR(13), ""),CHAR(10),"\n"),"'","\'")&amp;"', textZhG1: '"&amp;SUBSTITUTE(SUBSTITUTE(SUBSTITUTE(AI75, CHAR(13), ""),CHAR(10),"\n"),"'","\'")&amp;IF(AH75&lt;&gt;"", "', textZhAdditional: '"&amp;SUBSTITUTE(SUBSTITUTE(AH75, CHAR(13), ""),CHAR(10),"\n"), "")&amp;IF(AJ75&lt;&gt;"", "', textZhG1Additional: '"&amp;SUBSTITUTE(SUBSTITUTE(AJ75, CHAR(13), ""),CHAR(10),"\n"), "")&amp;"', textKo: '"&amp;SUBSTITUTE(SUBSTITUTE(SUBSTITUTE(AK75, CHAR(13), ""),CHAR(10),"\n"),"'","\'")&amp;IF(AL75&lt;&gt;"", "', textKoAdditional: '"&amp;SUBSTITUTE(SUBSTITUTE(AL75, CHAR(13), ""),CHAR(10),"\n"), "")&amp;"', textEn: '"&amp;SUBSTITUTE(SUBSTITUTE(SUBSTITUTE(AM75, CHAR(13), ""),CHAR(10),"\n"),"'","\'")&amp;IF(AN75&lt;&gt;"", "', textEnAdditional: '"&amp;SUBSTITUTE(SUBSTITUTE(AN75, CHAR(13), ""),CHAR(10),"\n"), "")&amp;"'"&amp;IF(AB75="○",", sealable: true","")&amp;IF(AC75="○",", removable: true","")&amp;IF(AA75="○",", lie: true","")&amp;IF(AD75="○",", investable: true","")&amp;"},")</f>
        <v/>
      </c>
      <c r="AU75" s="11" t="str">
        <f aca="false">IF($A75&lt;&gt;"", "    /** 《"&amp;$E75&amp;"》 */ export const "&amp;SUBSTITUTE(UPPER(IF(MID($A75, 3, 1)="-", RIGHT($A75,LEN($A75)-3), $A75)), "-", "_")&amp;": TCardId = '"&amp;$A75&amp;"';", "")</f>
        <v/>
      </c>
      <c r="AV75" s="12" t="str">
        <f aca="false">IF($A76&lt;&gt;"", "    | '"&amp;$A76&amp;"'", "")</f>
        <v/>
      </c>
    </row>
    <row r="76" customFormat="false" ht="13.8" hidden="false" customHeight="false" outlineLevel="0" collapsed="false">
      <c r="A76" s="2"/>
      <c r="B76" s="2"/>
      <c r="C76" s="2"/>
      <c r="D76" s="2"/>
      <c r="E76" s="2"/>
      <c r="F76" s="2"/>
      <c r="G76" s="2"/>
      <c r="H76" s="2"/>
      <c r="I76" s="2"/>
      <c r="J76" s="2"/>
      <c r="K76" s="2"/>
      <c r="L76" s="2"/>
      <c r="M76" s="2"/>
      <c r="N76" s="2"/>
      <c r="O76" s="2"/>
      <c r="P76" s="2"/>
      <c r="Q76" s="2"/>
      <c r="R76" s="2"/>
      <c r="S76" s="2"/>
      <c r="T76" s="2"/>
      <c r="U76" s="15"/>
      <c r="V76" s="14"/>
      <c r="W76" s="15"/>
      <c r="X76" s="14"/>
      <c r="Y76" s="14"/>
      <c r="Z76" s="14"/>
      <c r="AA76" s="14"/>
      <c r="AB76" s="17"/>
      <c r="AC76" s="17"/>
      <c r="AD76" s="18"/>
      <c r="AE76" s="17"/>
      <c r="AF76" s="19"/>
      <c r="AG76" s="17"/>
      <c r="AH76" s="20"/>
      <c r="AI76" s="17"/>
      <c r="AJ76" s="17"/>
      <c r="AK76" s="17"/>
      <c r="AL76" s="17"/>
      <c r="AM76" s="17"/>
      <c r="AN76" s="17"/>
      <c r="AO76" s="15"/>
      <c r="AP76" s="15"/>
      <c r="AQ76" s="15"/>
      <c r="AR76" s="15"/>
      <c r="AS76" s="15"/>
      <c r="AT76" s="10" t="str">
        <f aca="false">IF(A76="", "","'"&amp;A76&amp;"': {megami: '"&amp;B76&amp;"'"&amp;IF(C76&lt;&gt;"",", anotherID: '"&amp;C76&amp;"', replace: '"&amp;D76&amp;"'","")&amp;", name: '"&amp;SUBSTITUTE(E76,"'","\'")&amp;"', nameEn: '"&amp;SUBSTITUTE(K76,"'","\'")&amp;"', nameZh: '"&amp;SUBSTITUTE(G76,"'","\'")&amp;"', nameZhG1: '"&amp;SUBSTITUTE(H76,"'","\'")&amp;"', nameKo: '"&amp;SUBSTITUTE(J76,"'","\'")&amp;"', ruby: '"&amp;F76&amp;"', rubyEn: '"&amp;L76&amp;IF(I76&lt;&gt;"", "', rubyZh: '"&amp;I76, "")&amp;"', baseType: '"&amp;VLOOKUP(M76,マスタ!$A$1:$B$99,2,0)&amp;"'"&amp;IF(N76="○",", extra: true","")&amp;IF(O76&lt;&gt;"",", extraFrom: '"&amp;O76&amp;"'","")&amp;IF(P76&lt;&gt;"",", exchangableTo: '"&amp;P76&amp;"'","")&amp;IF(Q76="○",", poison: true","")&amp;IF(R76&lt;&gt;"", ", type: '"&amp;VLOOKUP(R76,マスタ!$D$1:$E$99,2,0)&amp;"'", "")&amp;IF(S76&lt;&gt;"",", subType: '"&amp;VLOOKUP(S76,マスタ!$D$1:$E$99,2,0)&amp;"'","")&amp;""&amp;IF(T76&lt;&gt;"",", range: '"&amp;T76&amp;"'","")&amp;IF(V76&lt;&gt;"",", damage: '"&amp;V76&amp;"'","")&amp;IF(X76&lt;&gt;"",", capacity: '"&amp;X76&amp;"'","")&amp;IF(Y76&lt;&gt;"",", growth: "&amp;Y76&amp;"","")&amp;IF(Z76&lt;&gt;"",", cost: '"&amp;Z76&amp;"'","")&amp;", text: '"&amp;SUBSTITUTE(SUBSTITUTE(AE76, CHAR(13), ""),CHAR(10),"\n")&amp;IF(AF76&lt;&gt;"", "', textAdditional: '"&amp;SUBSTITUTE(SUBSTITUTE(AF76, CHAR(13), ""),CHAR(10),"\n"), "")&amp;"', textZh: '"&amp;SUBSTITUTE(SUBSTITUTE(SUBSTITUTE(AG76, CHAR(13), ""),CHAR(10),"\n"),"'","\'")&amp;"', textZhG1: '"&amp;SUBSTITUTE(SUBSTITUTE(SUBSTITUTE(AI76, CHAR(13), ""),CHAR(10),"\n"),"'","\'")&amp;IF(AH76&lt;&gt;"", "', textZhAdditional: '"&amp;SUBSTITUTE(SUBSTITUTE(AH76, CHAR(13), ""),CHAR(10),"\n"), "")&amp;IF(AJ76&lt;&gt;"", "', textZhG1Additional: '"&amp;SUBSTITUTE(SUBSTITUTE(AJ76, CHAR(13), ""),CHAR(10),"\n"), "")&amp;"', textKo: '"&amp;SUBSTITUTE(SUBSTITUTE(SUBSTITUTE(AK76, CHAR(13), ""),CHAR(10),"\n"),"'","\'")&amp;IF(AL76&lt;&gt;"", "', textKoAdditional: '"&amp;SUBSTITUTE(SUBSTITUTE(AL76, CHAR(13), ""),CHAR(10),"\n"), "")&amp;"', textEn: '"&amp;SUBSTITUTE(SUBSTITUTE(SUBSTITUTE(AM76, CHAR(13), ""),CHAR(10),"\n"),"'","\'")&amp;IF(AN76&lt;&gt;"", "', textEnAdditional: '"&amp;SUBSTITUTE(SUBSTITUTE(AN76, CHAR(13), ""),CHAR(10),"\n"), "")&amp;"'"&amp;IF(AB76="○",", sealable: true","")&amp;IF(AC76="○",", removable: true","")&amp;IF(AA76="○",", lie: true","")&amp;IF(AD76="○",", investable: true","")&amp;"},")</f>
        <v/>
      </c>
      <c r="AU76" s="11" t="str">
        <f aca="false">IF($A76&lt;&gt;"", "    /** 《"&amp;$E76&amp;"》 */ export const "&amp;SUBSTITUTE(UPPER(IF(MID($A76, 3, 1)="-", RIGHT($A76,LEN($A76)-3), $A76)), "-", "_")&amp;": TCardId = '"&amp;$A76&amp;"';", "")</f>
        <v/>
      </c>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row>
    <row r="77" customFormat="false" ht="13.8" hidden="false" customHeight="false" outlineLevel="0" collapsed="false">
      <c r="A77" s="2"/>
      <c r="B77" s="2"/>
      <c r="C77" s="2"/>
      <c r="D77" s="2"/>
      <c r="E77" s="2"/>
      <c r="F77" s="2"/>
      <c r="G77" s="2"/>
      <c r="H77" s="2"/>
      <c r="I77" s="2"/>
      <c r="J77" s="2"/>
      <c r="K77" s="2"/>
      <c r="L77" s="2"/>
      <c r="M77" s="2"/>
      <c r="N77" s="2"/>
      <c r="O77" s="2"/>
      <c r="P77" s="2"/>
      <c r="Q77" s="2"/>
      <c r="R77" s="2"/>
      <c r="S77" s="2"/>
      <c r="T77" s="2"/>
      <c r="U77" s="15"/>
      <c r="V77" s="14"/>
      <c r="W77" s="15"/>
      <c r="X77" s="14"/>
      <c r="Y77" s="14"/>
      <c r="Z77" s="14"/>
      <c r="AA77" s="14"/>
      <c r="AB77" s="17"/>
      <c r="AC77" s="17"/>
      <c r="AD77" s="18"/>
      <c r="AE77" s="17"/>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row>
    <row r="78" customFormat="false" ht="13.8" hidden="false" customHeight="false" outlineLevel="0" collapsed="false">
      <c r="A78" s="2"/>
      <c r="B78" s="2"/>
      <c r="C78" s="2"/>
      <c r="D78" s="2"/>
      <c r="E78" s="2"/>
      <c r="F78" s="2"/>
      <c r="G78" s="2"/>
      <c r="H78" s="2"/>
      <c r="I78" s="2"/>
      <c r="J78" s="2"/>
      <c r="K78" s="2"/>
      <c r="L78" s="2"/>
      <c r="M78" s="2"/>
      <c r="N78" s="2"/>
      <c r="O78" s="2"/>
      <c r="P78" s="2"/>
      <c r="Q78" s="2"/>
      <c r="R78" s="2"/>
      <c r="S78" s="2"/>
      <c r="T78" s="2"/>
      <c r="U78" s="15"/>
      <c r="V78" s="14"/>
      <c r="W78" s="15"/>
      <c r="X78" s="14"/>
      <c r="Y78" s="14"/>
      <c r="Z78" s="14"/>
      <c r="AA78" s="14"/>
      <c r="AB78" s="17"/>
      <c r="AC78" s="17"/>
      <c r="AD78" s="18"/>
      <c r="AE78" s="17"/>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row>
    <row r="79" customFormat="false" ht="13.8" hidden="false" customHeight="false" outlineLevel="0" collapsed="false">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row>
    <row r="80" customFormat="false" ht="13.8" hidden="false" customHeight="false" outlineLevel="0" collapsed="false">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row>
    <row r="81" customFormat="false" ht="13.8" hidden="false" customHeight="false" outlineLevel="0" collapsed="false">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row>
    <row r="82" customFormat="false" ht="13.8" hidden="false" customHeight="false" outlineLevel="0" collapsed="false">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row>
    <row r="83" customFormat="false" ht="13.8" hidden="false" customHeight="false" outlineLevel="0" collapsed="false">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row>
    <row r="84" customFormat="false" ht="13.8" hidden="false" customHeight="false" outlineLevel="0" collapsed="false">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row>
    <row r="85" customFormat="false" ht="13.8" hidden="false" customHeight="false" outlineLevel="0" collapsed="false">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row>
    <row r="86" customFormat="false" ht="13.8" hidden="false" customHeight="false" outlineLevel="0" collapsed="false">
      <c r="AF86" s="19"/>
      <c r="AG86" s="19"/>
      <c r="AH86" s="19"/>
      <c r="AI86" s="19"/>
      <c r="AJ86" s="19"/>
      <c r="AK86" s="19"/>
      <c r="AL86" s="19"/>
      <c r="AM86" s="19"/>
      <c r="AN86" s="19"/>
      <c r="AO86" s="19"/>
      <c r="AP86" s="19"/>
      <c r="AQ86" s="19"/>
      <c r="AR86" s="19"/>
      <c r="AS86" s="19"/>
      <c r="AT86" s="19"/>
      <c r="AU86" s="19"/>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1" activeCellId="0" sqref="K11"/>
    </sheetView>
  </sheetViews>
  <sheetFormatPr defaultColWidth="8.546875" defaultRowHeight="13.5" customHeight="false" zeroHeight="false" outlineLevelRow="0" outlineLevelCol="0"/>
  <cols>
    <col collapsed="false" customWidth="true" hidden="false" outlineLevel="0" max="6" min="1" style="64" width="6.88"/>
    <col collapsed="false" customWidth="true" hidden="false" outlineLevel="0" max="26" min="7" style="64" width="11"/>
    <col collapsed="false" customWidth="true" hidden="false" outlineLevel="0" max="1025" min="27" style="64" width="12.62"/>
  </cols>
  <sheetData>
    <row r="1" customFormat="false" ht="13.5" hidden="false" customHeight="true" outlineLevel="0" collapsed="false">
      <c r="A1" s="65" t="s">
        <v>65</v>
      </c>
      <c r="B1" s="66" t="s">
        <v>184</v>
      </c>
      <c r="C1" s="65"/>
      <c r="D1" s="65" t="s">
        <v>51</v>
      </c>
      <c r="E1" s="66" t="s">
        <v>185</v>
      </c>
    </row>
    <row r="2" customFormat="false" ht="13.5" hidden="false" customHeight="true" outlineLevel="0" collapsed="false">
      <c r="A2" s="65" t="s">
        <v>50</v>
      </c>
      <c r="B2" s="66" t="s">
        <v>186</v>
      </c>
      <c r="C2" s="65"/>
      <c r="D2" s="65" t="s">
        <v>77</v>
      </c>
      <c r="E2" s="66" t="s">
        <v>187</v>
      </c>
    </row>
    <row r="3" customFormat="false" ht="13.5" hidden="false" customHeight="true" outlineLevel="0" collapsed="false">
      <c r="A3" s="65" t="s">
        <v>13</v>
      </c>
      <c r="B3" s="66" t="s">
        <v>188</v>
      </c>
      <c r="C3" s="65"/>
      <c r="D3" s="65" t="s">
        <v>189</v>
      </c>
      <c r="E3" s="66" t="s">
        <v>190</v>
      </c>
    </row>
    <row r="4" customFormat="false" ht="13.5" hidden="false" customHeight="true" outlineLevel="0" collapsed="false">
      <c r="A4" s="67" t="s">
        <v>191</v>
      </c>
      <c r="B4" s="67" t="s">
        <v>191</v>
      </c>
      <c r="C4" s="65"/>
      <c r="D4" s="65" t="s">
        <v>115</v>
      </c>
      <c r="E4" s="66" t="s">
        <v>192</v>
      </c>
    </row>
    <row r="5" customFormat="false" ht="13.5" hidden="false" customHeight="true" outlineLevel="0" collapsed="false">
      <c r="A5" s="68" t="s">
        <v>193</v>
      </c>
      <c r="B5" s="68" t="s">
        <v>194</v>
      </c>
      <c r="C5" s="65"/>
      <c r="D5" s="65" t="s">
        <v>195</v>
      </c>
      <c r="E5" s="66" t="s">
        <v>196</v>
      </c>
    </row>
    <row r="6" customFormat="false" ht="13.5" hidden="false" customHeight="true" outlineLevel="0" collapsed="false">
      <c r="A6" s="68" t="s">
        <v>197</v>
      </c>
      <c r="B6" s="68" t="s">
        <v>198</v>
      </c>
      <c r="C6" s="65"/>
      <c r="D6" s="65" t="s">
        <v>104</v>
      </c>
      <c r="E6" s="66" t="s">
        <v>199</v>
      </c>
    </row>
    <row r="7" customFormat="false" ht="13.5" hidden="false" customHeight="true" outlineLevel="0" collapsed="false">
      <c r="A7" s="68" t="s">
        <v>200</v>
      </c>
      <c r="B7" s="68" t="s">
        <v>201</v>
      </c>
      <c r="C7" s="65"/>
      <c r="D7" s="65"/>
      <c r="E7" s="65"/>
    </row>
    <row r="8" customFormat="false" ht="13.5" hidden="false" customHeight="true" outlineLevel="0" collapsed="false">
      <c r="A8" s="68" t="s">
        <v>202</v>
      </c>
      <c r="B8" s="68" t="s">
        <v>203</v>
      </c>
    </row>
    <row r="9" customFormat="false" ht="13.5" hidden="false" customHeight="false" outlineLevel="0" collapsed="false">
      <c r="A9" s="64" t="s">
        <v>204</v>
      </c>
      <c r="B9" s="64" t="s">
        <v>205</v>
      </c>
    </row>
    <row r="10" customFormat="false" ht="13.5" hidden="false" customHeight="false" outlineLevel="0" collapsed="false">
      <c r="A10" s="68" t="s">
        <v>178</v>
      </c>
      <c r="B10" s="68" t="s">
        <v>206</v>
      </c>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1334</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ja-JP</dc:language>
  <cp:lastModifiedBy/>
  <dcterms:modified xsi:type="dcterms:W3CDTF">2026-03-25T08:46:30Z</dcterms:modified>
  <cp:revision>135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